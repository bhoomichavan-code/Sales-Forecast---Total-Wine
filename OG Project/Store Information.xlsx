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talwine4-my.sharepoint.com/personal/dlavnik_totalwine_com/Documents/Projects/UMD Fall 2024 internal/"/>
    </mc:Choice>
  </mc:AlternateContent>
  <xr:revisionPtr revIDLastSave="273" documentId="8_{BAA4C554-864C-4934-8E7F-3C5D967385FB}" xr6:coauthVersionLast="47" xr6:coauthVersionMax="47" xr10:uidLastSave="{82141D25-BDE4-460C-B642-EB148F0FD5A8}"/>
  <bookViews>
    <workbookView xWindow="-120" yWindow="-120" windowWidth="21840" windowHeight="13020" xr2:uid="{F509C07F-3F97-4C7F-B6D8-AA1B76B0C78F}"/>
  </bookViews>
  <sheets>
    <sheet name="Sheet1" sheetId="1" r:id="rId1"/>
    <sheet name="R52 pre 5.22 update" sheetId="2" state="hidden" r:id="rId2"/>
  </sheets>
  <definedNames>
    <definedName name="_xlnm._FilterDatabase" localSheetId="1" hidden="1">'R52 pre 5.22 update'!$A$2:$CI$293</definedName>
    <definedName name="_xlnm._FilterDatabase" localSheetId="0" hidden="1">Sheet1!$A$2:$AI$270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293" i="2" l="1"/>
  <c r="CQ293" i="2" s="1"/>
  <c r="CD293" i="2"/>
  <c r="CC293" i="2"/>
  <c r="CK292" i="2"/>
  <c r="CR292" i="2" s="1"/>
  <c r="CG292" i="2"/>
  <c r="CD292" i="2"/>
  <c r="CH292" i="2" s="1"/>
  <c r="CC292" i="2"/>
  <c r="CP291" i="2"/>
  <c r="CK291" i="2"/>
  <c r="CB291" i="2"/>
  <c r="CR290" i="2"/>
  <c r="CQ290" i="2"/>
  <c r="CP290" i="2"/>
  <c r="CK290" i="2"/>
  <c r="CB290" i="2"/>
  <c r="CR289" i="2"/>
  <c r="CK289" i="2"/>
  <c r="CQ289" i="2" s="1"/>
  <c r="CI289" i="2"/>
  <c r="CH289" i="2"/>
  <c r="CG289" i="2"/>
  <c r="CB289" i="2"/>
  <c r="CK288" i="2"/>
  <c r="CI288" i="2"/>
  <c r="CH288" i="2"/>
  <c r="CG288" i="2"/>
  <c r="CB288" i="2"/>
  <c r="CR287" i="2"/>
  <c r="CQ287" i="2"/>
  <c r="CP287" i="2"/>
  <c r="CK287" i="2"/>
  <c r="CG287" i="2"/>
  <c r="CB287" i="2"/>
  <c r="CK286" i="2"/>
  <c r="CR286" i="2" s="1"/>
  <c r="CI286" i="2"/>
  <c r="CH286" i="2"/>
  <c r="CG286" i="2"/>
  <c r="CB286" i="2"/>
  <c r="D286" i="2"/>
  <c r="CQ285" i="2"/>
  <c r="CP285" i="2"/>
  <c r="CK285" i="2"/>
  <c r="CR285" i="2" s="1"/>
  <c r="CB285" i="2"/>
  <c r="CI285" i="2" s="1"/>
  <c r="CR284" i="2"/>
  <c r="CQ284" i="2"/>
  <c r="CK284" i="2"/>
  <c r="CP284" i="2" s="1"/>
  <c r="CB284" i="2"/>
  <c r="CG284" i="2" s="1"/>
  <c r="CR283" i="2"/>
  <c r="CQ283" i="2"/>
  <c r="CP283" i="2"/>
  <c r="CK283" i="2"/>
  <c r="CB283" i="2"/>
  <c r="CG283" i="2" s="1"/>
  <c r="CK282" i="2"/>
  <c r="CB282" i="2"/>
  <c r="CI282" i="2" s="1"/>
  <c r="CK281" i="2"/>
  <c r="CP281" i="2" s="1"/>
  <c r="CI281" i="2"/>
  <c r="CB281" i="2"/>
  <c r="CH281" i="2" s="1"/>
  <c r="CR280" i="2"/>
  <c r="CQ280" i="2"/>
  <c r="CP280" i="2"/>
  <c r="CK280" i="2"/>
  <c r="CB280" i="2"/>
  <c r="CG280" i="2" s="1"/>
  <c r="CR279" i="2"/>
  <c r="CQ279" i="2"/>
  <c r="CP279" i="2"/>
  <c r="CK279" i="2"/>
  <c r="CB279" i="2"/>
  <c r="CI279" i="2" s="1"/>
  <c r="D279" i="2"/>
  <c r="CK278" i="2"/>
  <c r="CQ278" i="2" s="1"/>
  <c r="CI278" i="2"/>
  <c r="CH278" i="2"/>
  <c r="CG278" i="2"/>
  <c r="CB278" i="2"/>
  <c r="CK277" i="2"/>
  <c r="CR277" i="2" s="1"/>
  <c r="CI277" i="2"/>
  <c r="CG277" i="2"/>
  <c r="CB277" i="2"/>
  <c r="CH277" i="2" s="1"/>
  <c r="CR276" i="2"/>
  <c r="CQ276" i="2"/>
  <c r="CP276" i="2"/>
  <c r="CK276" i="2"/>
  <c r="CB276" i="2"/>
  <c r="CG276" i="2" s="1"/>
  <c r="CR275" i="2"/>
  <c r="CQ275" i="2"/>
  <c r="CI275" i="2"/>
  <c r="CH275" i="2"/>
  <c r="CS274" i="2"/>
  <c r="CR274" i="2"/>
  <c r="CQ274" i="2"/>
  <c r="CP274" i="2"/>
  <c r="CK274" i="2"/>
  <c r="CB274" i="2"/>
  <c r="CI274" i="2" s="1"/>
  <c r="CK273" i="2"/>
  <c r="CR273" i="2" s="1"/>
  <c r="CI273" i="2"/>
  <c r="CH273" i="2"/>
  <c r="CG273" i="2"/>
  <c r="CB273" i="2"/>
  <c r="CR272" i="2"/>
  <c r="CQ272" i="2"/>
  <c r="CP272" i="2"/>
  <c r="CK272" i="2"/>
  <c r="CB272" i="2"/>
  <c r="CS272" i="2" s="1"/>
  <c r="CR271" i="2"/>
  <c r="CQ271" i="2"/>
  <c r="CP271" i="2"/>
  <c r="CK271" i="2"/>
  <c r="CI271" i="2"/>
  <c r="CH271" i="2"/>
  <c r="CG271" i="2"/>
  <c r="CB271" i="2"/>
  <c r="CK270" i="2"/>
  <c r="CR270" i="2" s="1"/>
  <c r="CI270" i="2"/>
  <c r="CH270" i="2"/>
  <c r="CG270" i="2"/>
  <c r="CB270" i="2"/>
  <c r="CI269" i="2"/>
  <c r="CH269" i="2"/>
  <c r="CG269" i="2"/>
  <c r="CK268" i="2"/>
  <c r="CR268" i="2" s="1"/>
  <c r="CB268" i="2"/>
  <c r="CH268" i="2" s="1"/>
  <c r="CK267" i="2"/>
  <c r="CB267" i="2"/>
  <c r="CI267" i="2" s="1"/>
  <c r="CK266" i="2"/>
  <c r="CR266" i="2" s="1"/>
  <c r="CI266" i="2"/>
  <c r="CB266" i="2"/>
  <c r="CH266" i="2" s="1"/>
  <c r="CQ265" i="2"/>
  <c r="CP265" i="2"/>
  <c r="CK265" i="2"/>
  <c r="CR265" i="2" s="1"/>
  <c r="CB265" i="2"/>
  <c r="CR264" i="2"/>
  <c r="CQ264" i="2"/>
  <c r="CP264" i="2"/>
  <c r="CK264" i="2"/>
  <c r="CB264" i="2"/>
  <c r="CR263" i="2"/>
  <c r="CK263" i="2"/>
  <c r="CQ263" i="2" s="1"/>
  <c r="CI263" i="2"/>
  <c r="CH263" i="2"/>
  <c r="CG263" i="2"/>
  <c r="CB263" i="2"/>
  <c r="CK262" i="2"/>
  <c r="CI262" i="2"/>
  <c r="CB262" i="2"/>
  <c r="CH262" i="2" s="1"/>
  <c r="CK261" i="2"/>
  <c r="CR261" i="2" s="1"/>
  <c r="CB261" i="2"/>
  <c r="CI261" i="2" s="1"/>
  <c r="CR260" i="2"/>
  <c r="CQ260" i="2"/>
  <c r="CP260" i="2"/>
  <c r="CI260" i="2"/>
  <c r="CH260" i="2"/>
  <c r="CG260" i="2"/>
  <c r="CR259" i="2"/>
  <c r="CQ259" i="2"/>
  <c r="CK259" i="2"/>
  <c r="CP259" i="2" s="1"/>
  <c r="CB259" i="2"/>
  <c r="CK258" i="2"/>
  <c r="CR258" i="2" s="1"/>
  <c r="CB258" i="2"/>
  <c r="CG258" i="2" s="1"/>
  <c r="CR257" i="2"/>
  <c r="CK257" i="2"/>
  <c r="CQ257" i="2" s="1"/>
  <c r="CB257" i="2"/>
  <c r="CI257" i="2" s="1"/>
  <c r="CK256" i="2"/>
  <c r="CP256" i="2" s="1"/>
  <c r="CI256" i="2"/>
  <c r="CH256" i="2"/>
  <c r="CG256" i="2"/>
  <c r="CB256" i="2"/>
  <c r="CR255" i="2"/>
  <c r="CI255" i="2"/>
  <c r="CK254" i="2"/>
  <c r="CH254" i="2"/>
  <c r="CG254" i="2"/>
  <c r="CB254" i="2"/>
  <c r="CI254" i="2" s="1"/>
  <c r="CR253" i="2"/>
  <c r="CK253" i="2"/>
  <c r="CQ253" i="2" s="1"/>
  <c r="CI253" i="2"/>
  <c r="CH253" i="2"/>
  <c r="CG253" i="2"/>
  <c r="CK252" i="2"/>
  <c r="CQ252" i="2" s="1"/>
  <c r="CI252" i="2"/>
  <c r="CH252" i="2"/>
  <c r="CG252" i="2"/>
  <c r="CB252" i="2"/>
  <c r="CP251" i="2"/>
  <c r="CK251" i="2"/>
  <c r="CI251" i="2"/>
  <c r="CG251" i="2"/>
  <c r="CB251" i="2"/>
  <c r="CH251" i="2" s="1"/>
  <c r="CK250" i="2"/>
  <c r="CB250" i="2"/>
  <c r="CK249" i="2"/>
  <c r="CQ249" i="2" s="1"/>
  <c r="CI249" i="2"/>
  <c r="CH249" i="2"/>
  <c r="CG249" i="2"/>
  <c r="CB249" i="2"/>
  <c r="CR248" i="2"/>
  <c r="CK248" i="2"/>
  <c r="CQ248" i="2" s="1"/>
  <c r="CB248" i="2"/>
  <c r="CK247" i="2"/>
  <c r="CR247" i="2" s="1"/>
  <c r="CI247" i="2"/>
  <c r="CH247" i="2"/>
  <c r="CG247" i="2"/>
  <c r="CB247" i="2"/>
  <c r="CR246" i="2"/>
  <c r="CQ246" i="2"/>
  <c r="CI246" i="2"/>
  <c r="CH246" i="2"/>
  <c r="G246" i="2"/>
  <c r="CK245" i="2"/>
  <c r="CQ245" i="2" s="1"/>
  <c r="CI245" i="2"/>
  <c r="CB245" i="2"/>
  <c r="CH245" i="2" s="1"/>
  <c r="CK244" i="2"/>
  <c r="CR244" i="2" s="1"/>
  <c r="CB244" i="2"/>
  <c r="CG244" i="2" s="1"/>
  <c r="CS243" i="2"/>
  <c r="CR243" i="2"/>
  <c r="CQ243" i="2"/>
  <c r="CP243" i="2"/>
  <c r="CK243" i="2"/>
  <c r="CI243" i="2"/>
  <c r="CH243" i="2"/>
  <c r="CG243" i="2"/>
  <c r="CK242" i="2"/>
  <c r="CR242" i="2" s="1"/>
  <c r="CI242" i="2"/>
  <c r="CH242" i="2"/>
  <c r="CG242" i="2"/>
  <c r="CB242" i="2"/>
  <c r="CP241" i="2"/>
  <c r="CK241" i="2"/>
  <c r="CI241" i="2"/>
  <c r="G241" i="2"/>
  <c r="CK240" i="2"/>
  <c r="CR240" i="2" s="1"/>
  <c r="CI240" i="2"/>
  <c r="CH240" i="2"/>
  <c r="CB240" i="2"/>
  <c r="CG240" i="2" s="1"/>
  <c r="CR239" i="2"/>
  <c r="CI239" i="2"/>
  <c r="G239" i="2"/>
  <c r="CP238" i="2"/>
  <c r="CK238" i="2"/>
  <c r="CI238" i="2"/>
  <c r="CH238" i="2"/>
  <c r="CG238" i="2"/>
  <c r="CB238" i="2"/>
  <c r="CR237" i="2"/>
  <c r="CI237" i="2"/>
  <c r="CK236" i="2"/>
  <c r="CR236" i="2" s="1"/>
  <c r="CB236" i="2"/>
  <c r="CR235" i="2"/>
  <c r="CP235" i="2"/>
  <c r="CK235" i="2"/>
  <c r="CQ235" i="2" s="1"/>
  <c r="CH235" i="2"/>
  <c r="CG235" i="2"/>
  <c r="CB235" i="2"/>
  <c r="CI235" i="2" s="1"/>
  <c r="CK234" i="2"/>
  <c r="CI234" i="2"/>
  <c r="CG234" i="2"/>
  <c r="CB234" i="2"/>
  <c r="CH234" i="2" s="1"/>
  <c r="CP233" i="2"/>
  <c r="CK233" i="2"/>
  <c r="CI233" i="2"/>
  <c r="CB233" i="2"/>
  <c r="CH233" i="2" s="1"/>
  <c r="CK232" i="2"/>
  <c r="CB232" i="2"/>
  <c r="CK231" i="2"/>
  <c r="CQ231" i="2" s="1"/>
  <c r="CI231" i="2"/>
  <c r="CG231" i="2"/>
  <c r="CB231" i="2"/>
  <c r="CH231" i="2" s="1"/>
  <c r="CR230" i="2"/>
  <c r="CK230" i="2"/>
  <c r="CQ230" i="2" s="1"/>
  <c r="CB230" i="2"/>
  <c r="CI230" i="2" s="1"/>
  <c r="CK229" i="2"/>
  <c r="CQ229" i="2" s="1"/>
  <c r="CI229" i="2"/>
  <c r="CH229" i="2"/>
  <c r="CG229" i="2"/>
  <c r="CB229" i="2"/>
  <c r="CK228" i="2"/>
  <c r="CB228" i="2"/>
  <c r="CH228" i="2" s="1"/>
  <c r="CR227" i="2"/>
  <c r="CI227" i="2"/>
  <c r="CR226" i="2"/>
  <c r="CK226" i="2"/>
  <c r="CQ226" i="2" s="1"/>
  <c r="CI226" i="2"/>
  <c r="CD226" i="2"/>
  <c r="CC226" i="2"/>
  <c r="CI225" i="2"/>
  <c r="CH225" i="2"/>
  <c r="CG225" i="2"/>
  <c r="G225" i="2"/>
  <c r="CS224" i="2"/>
  <c r="CR224" i="2"/>
  <c r="CK224" i="2"/>
  <c r="CQ224" i="2" s="1"/>
  <c r="CI224" i="2"/>
  <c r="CH224" i="2"/>
  <c r="CG224" i="2"/>
  <c r="CB224" i="2"/>
  <c r="CI223" i="2"/>
  <c r="CH223" i="2"/>
  <c r="CG223" i="2"/>
  <c r="CR222" i="2"/>
  <c r="CQ222" i="2"/>
  <c r="CP222" i="2"/>
  <c r="CK222" i="2"/>
  <c r="CH222" i="2"/>
  <c r="CG222" i="2"/>
  <c r="CB222" i="2"/>
  <c r="CI222" i="2" s="1"/>
  <c r="CK221" i="2"/>
  <c r="CR221" i="2" s="1"/>
  <c r="CI221" i="2"/>
  <c r="CH221" i="2"/>
  <c r="CG221" i="2"/>
  <c r="CB221" i="2"/>
  <c r="CK220" i="2"/>
  <c r="CP220" i="2" s="1"/>
  <c r="CH220" i="2"/>
  <c r="CG220" i="2"/>
  <c r="CB220" i="2"/>
  <c r="CI220" i="2" s="1"/>
  <c r="CK219" i="2"/>
  <c r="CB219" i="2"/>
  <c r="CQ218" i="2"/>
  <c r="CP218" i="2"/>
  <c r="CK218" i="2"/>
  <c r="CR218" i="2" s="1"/>
  <c r="CI218" i="2"/>
  <c r="CH218" i="2"/>
  <c r="CG218" i="2"/>
  <c r="CB218" i="2"/>
  <c r="CR217" i="2"/>
  <c r="CK217" i="2"/>
  <c r="CQ217" i="2" s="1"/>
  <c r="CB217" i="2"/>
  <c r="CR216" i="2"/>
  <c r="CQ216" i="2"/>
  <c r="CP216" i="2"/>
  <c r="CK216" i="2"/>
  <c r="CI216" i="2"/>
  <c r="CH216" i="2"/>
  <c r="CG216" i="2"/>
  <c r="CB216" i="2"/>
  <c r="CK215" i="2"/>
  <c r="CB215" i="2"/>
  <c r="CI215" i="2" s="1"/>
  <c r="CR214" i="2"/>
  <c r="CQ214" i="2"/>
  <c r="CP214" i="2"/>
  <c r="CK214" i="2"/>
  <c r="CB214" i="2"/>
  <c r="CK213" i="2"/>
  <c r="CB213" i="2"/>
  <c r="CI213" i="2" s="1"/>
  <c r="CK212" i="2"/>
  <c r="CR212" i="2" s="1"/>
  <c r="CI212" i="2"/>
  <c r="CH212" i="2"/>
  <c r="CG212" i="2"/>
  <c r="CB212" i="2"/>
  <c r="CK211" i="2"/>
  <c r="CH211" i="2"/>
  <c r="CG211" i="2"/>
  <c r="CB211" i="2"/>
  <c r="CI211" i="2" s="1"/>
  <c r="CK210" i="2"/>
  <c r="CR210" i="2" s="1"/>
  <c r="CB210" i="2"/>
  <c r="CI210" i="2" s="1"/>
  <c r="G210" i="2"/>
  <c r="D210" i="2"/>
  <c r="CK209" i="2"/>
  <c r="CB209" i="2"/>
  <c r="CI209" i="2" s="1"/>
  <c r="CR208" i="2"/>
  <c r="CQ208" i="2"/>
  <c r="CK208" i="2"/>
  <c r="CP208" i="2" s="1"/>
  <c r="CI208" i="2"/>
  <c r="CB208" i="2"/>
  <c r="CH208" i="2" s="1"/>
  <c r="CR207" i="2"/>
  <c r="CK207" i="2"/>
  <c r="CQ207" i="2" s="1"/>
  <c r="CB207" i="2"/>
  <c r="CG207" i="2" s="1"/>
  <c r="CR206" i="2"/>
  <c r="CQ206" i="2"/>
  <c r="CP206" i="2"/>
  <c r="CK206" i="2"/>
  <c r="CH206" i="2"/>
  <c r="CG206" i="2"/>
  <c r="CB206" i="2"/>
  <c r="CI206" i="2" s="1"/>
  <c r="CK205" i="2"/>
  <c r="CP205" i="2" s="1"/>
  <c r="CI205" i="2"/>
  <c r="CH205" i="2"/>
  <c r="CG205" i="2"/>
  <c r="CB205" i="2"/>
  <c r="CK204" i="2"/>
  <c r="CB204" i="2"/>
  <c r="CK203" i="2"/>
  <c r="CR203" i="2" s="1"/>
  <c r="CB203" i="2"/>
  <c r="CR202" i="2"/>
  <c r="CQ202" i="2"/>
  <c r="CK202" i="2"/>
  <c r="CP202" i="2" s="1"/>
  <c r="CB202" i="2"/>
  <c r="CI202" i="2" s="1"/>
  <c r="CI201" i="2"/>
  <c r="CH201" i="2"/>
  <c r="CG201" i="2"/>
  <c r="CR200" i="2"/>
  <c r="CQ200" i="2"/>
  <c r="CP200" i="2"/>
  <c r="CK200" i="2"/>
  <c r="CB200" i="2"/>
  <c r="CR199" i="2"/>
  <c r="CQ199" i="2"/>
  <c r="CP199" i="2"/>
  <c r="CK199" i="2"/>
  <c r="CI199" i="2"/>
  <c r="CH199" i="2"/>
  <c r="CG199" i="2"/>
  <c r="CB199" i="2"/>
  <c r="CB198" i="2"/>
  <c r="CR197" i="2"/>
  <c r="CQ197" i="2"/>
  <c r="CP197" i="2"/>
  <c r="CK197" i="2"/>
  <c r="CI197" i="2"/>
  <c r="CH197" i="2"/>
  <c r="CG197" i="2"/>
  <c r="CB197" i="2"/>
  <c r="CK196" i="2"/>
  <c r="CP196" i="2" s="1"/>
  <c r="CI196" i="2"/>
  <c r="CH196" i="2"/>
  <c r="CG196" i="2"/>
  <c r="CB196" i="2"/>
  <c r="CR195" i="2"/>
  <c r="CQ195" i="2"/>
  <c r="CP195" i="2"/>
  <c r="CI195" i="2"/>
  <c r="CH195" i="2"/>
  <c r="CG195" i="2"/>
  <c r="CK194" i="2"/>
  <c r="CR194" i="2" s="1"/>
  <c r="CB194" i="2"/>
  <c r="CK193" i="2"/>
  <c r="CR193" i="2" s="1"/>
  <c r="CI193" i="2"/>
  <c r="CH193" i="2"/>
  <c r="CG193" i="2"/>
  <c r="CR192" i="2"/>
  <c r="CK192" i="2"/>
  <c r="CQ192" i="2" s="1"/>
  <c r="CB192" i="2"/>
  <c r="CH192" i="2" s="1"/>
  <c r="CK191" i="2"/>
  <c r="CR191" i="2" s="1"/>
  <c r="CI191" i="2"/>
  <c r="CH191" i="2"/>
  <c r="CG191" i="2"/>
  <c r="CB191" i="2"/>
  <c r="CK190" i="2"/>
  <c r="CI190" i="2"/>
  <c r="CH190" i="2"/>
  <c r="CG190" i="2"/>
  <c r="CR189" i="2"/>
  <c r="CQ189" i="2"/>
  <c r="CI189" i="2"/>
  <c r="CH189" i="2"/>
  <c r="G189" i="2"/>
  <c r="CK188" i="2"/>
  <c r="CB188" i="2"/>
  <c r="CI188" i="2" s="1"/>
  <c r="CS187" i="2"/>
  <c r="CR187" i="2"/>
  <c r="CQ187" i="2"/>
  <c r="CP187" i="2"/>
  <c r="CK187" i="2"/>
  <c r="CB187" i="2"/>
  <c r="CK186" i="2"/>
  <c r="CI186" i="2"/>
  <c r="CH186" i="2"/>
  <c r="CG186" i="2"/>
  <c r="CB186" i="2"/>
  <c r="CK185" i="2"/>
  <c r="CB185" i="2"/>
  <c r="CR184" i="2"/>
  <c r="CQ184" i="2"/>
  <c r="CP184" i="2"/>
  <c r="CK184" i="2"/>
  <c r="CB184" i="2"/>
  <c r="CR183" i="2"/>
  <c r="CQ183" i="2"/>
  <c r="CP183" i="2"/>
  <c r="CK183" i="2"/>
  <c r="CI183" i="2"/>
  <c r="CH183" i="2"/>
  <c r="CG183" i="2"/>
  <c r="CB183" i="2"/>
  <c r="CP182" i="2"/>
  <c r="CK182" i="2"/>
  <c r="CB182" i="2"/>
  <c r="CH182" i="2" s="1"/>
  <c r="CR181" i="2"/>
  <c r="CQ181" i="2"/>
  <c r="CP181" i="2"/>
  <c r="CK181" i="2"/>
  <c r="CB181" i="2"/>
  <c r="CK180" i="2"/>
  <c r="CR180" i="2" s="1"/>
  <c r="CI180" i="2"/>
  <c r="CH180" i="2"/>
  <c r="CG180" i="2"/>
  <c r="CB180" i="2"/>
  <c r="CK179" i="2"/>
  <c r="CI179" i="2"/>
  <c r="CH179" i="2"/>
  <c r="CG179" i="2"/>
  <c r="CB179" i="2"/>
  <c r="CR178" i="2"/>
  <c r="CQ178" i="2"/>
  <c r="CP178" i="2"/>
  <c r="CK178" i="2"/>
  <c r="CG178" i="2"/>
  <c r="CB178" i="2"/>
  <c r="CK177" i="2"/>
  <c r="CR177" i="2" s="1"/>
  <c r="CI177" i="2"/>
  <c r="CH177" i="2"/>
  <c r="CG177" i="2"/>
  <c r="CB177" i="2"/>
  <c r="CQ176" i="2"/>
  <c r="CP176" i="2"/>
  <c r="CK176" i="2"/>
  <c r="CB176" i="2"/>
  <c r="CG176" i="2" s="1"/>
  <c r="CR175" i="2"/>
  <c r="CI175" i="2"/>
  <c r="CK174" i="2"/>
  <c r="CR174" i="2" s="1"/>
  <c r="CI174" i="2"/>
  <c r="CH174" i="2"/>
  <c r="CG174" i="2"/>
  <c r="CB174" i="2"/>
  <c r="CK173" i="2"/>
  <c r="CH173" i="2"/>
  <c r="CG173" i="2"/>
  <c r="CB173" i="2"/>
  <c r="CI173" i="2" s="1"/>
  <c r="CK172" i="2"/>
  <c r="CR172" i="2" s="1"/>
  <c r="CI172" i="2"/>
  <c r="CH172" i="2"/>
  <c r="CG172" i="2"/>
  <c r="CB172" i="2"/>
  <c r="CR171" i="2"/>
  <c r="CQ171" i="2"/>
  <c r="CP171" i="2"/>
  <c r="CK171" i="2"/>
  <c r="CB171" i="2"/>
  <c r="CI171" i="2" s="1"/>
  <c r="CR170" i="2"/>
  <c r="CQ170" i="2"/>
  <c r="CP170" i="2"/>
  <c r="CK170" i="2"/>
  <c r="CI170" i="2"/>
  <c r="CH170" i="2"/>
  <c r="CG170" i="2"/>
  <c r="CB170" i="2"/>
  <c r="CK169" i="2"/>
  <c r="CS169" i="2" s="1"/>
  <c r="CI169" i="2"/>
  <c r="CH169" i="2"/>
  <c r="CG169" i="2"/>
  <c r="CR168" i="2"/>
  <c r="CQ168" i="2"/>
  <c r="CP168" i="2"/>
  <c r="CK168" i="2"/>
  <c r="CB168" i="2"/>
  <c r="CI168" i="2" s="1"/>
  <c r="CR167" i="2"/>
  <c r="CQ167" i="2"/>
  <c r="CP167" i="2"/>
  <c r="CK167" i="2"/>
  <c r="CI167" i="2"/>
  <c r="CH167" i="2"/>
  <c r="CG167" i="2"/>
  <c r="CB167" i="2"/>
  <c r="CI166" i="2"/>
  <c r="CH166" i="2"/>
  <c r="CG166" i="2"/>
  <c r="CR165" i="2"/>
  <c r="CI165" i="2"/>
  <c r="CK164" i="2"/>
  <c r="CP164" i="2" s="1"/>
  <c r="CI164" i="2"/>
  <c r="CH164" i="2"/>
  <c r="CG164" i="2"/>
  <c r="CB164" i="2"/>
  <c r="CK163" i="2"/>
  <c r="CR163" i="2" s="1"/>
  <c r="CB163" i="2"/>
  <c r="CG163" i="2" s="1"/>
  <c r="CR162" i="2"/>
  <c r="CQ162" i="2"/>
  <c r="CP162" i="2"/>
  <c r="CK162" i="2"/>
  <c r="CB162" i="2"/>
  <c r="CG162" i="2" s="1"/>
  <c r="CK161" i="2"/>
  <c r="CP161" i="2" s="1"/>
  <c r="CB161" i="2"/>
  <c r="CI161" i="2" s="1"/>
  <c r="CK160" i="2"/>
  <c r="CI160" i="2"/>
  <c r="CH160" i="2"/>
  <c r="CB160" i="2"/>
  <c r="CG160" i="2" s="1"/>
  <c r="CK159" i="2"/>
  <c r="CR159" i="2" s="1"/>
  <c r="CI159" i="2"/>
  <c r="CB159" i="2"/>
  <c r="CH159" i="2" s="1"/>
  <c r="CR158" i="2"/>
  <c r="CI158" i="2"/>
  <c r="CQ157" i="2"/>
  <c r="CP157" i="2"/>
  <c r="CK157" i="2"/>
  <c r="CR157" i="2" s="1"/>
  <c r="CB157" i="2"/>
  <c r="CK156" i="2"/>
  <c r="CB156" i="2"/>
  <c r="CI156" i="2" s="1"/>
  <c r="CR155" i="2"/>
  <c r="CQ155" i="2"/>
  <c r="CP155" i="2"/>
  <c r="CK155" i="2"/>
  <c r="CI155" i="2"/>
  <c r="CB155" i="2"/>
  <c r="CH155" i="2" s="1"/>
  <c r="CQ154" i="2"/>
  <c r="CP154" i="2"/>
  <c r="CK154" i="2"/>
  <c r="CR154" i="2" s="1"/>
  <c r="CB154" i="2"/>
  <c r="CI154" i="2" s="1"/>
  <c r="CR153" i="2"/>
  <c r="CQ153" i="2"/>
  <c r="CP153" i="2"/>
  <c r="CK153" i="2"/>
  <c r="CB153" i="2"/>
  <c r="CR152" i="2"/>
  <c r="CQ152" i="2"/>
  <c r="CP152" i="2"/>
  <c r="CK152" i="2"/>
  <c r="CI152" i="2"/>
  <c r="CH152" i="2"/>
  <c r="CG152" i="2"/>
  <c r="CB152" i="2"/>
  <c r="CK151" i="2"/>
  <c r="CB151" i="2"/>
  <c r="CR150" i="2"/>
  <c r="CQ150" i="2"/>
  <c r="CP150" i="2"/>
  <c r="CK150" i="2"/>
  <c r="CB150" i="2"/>
  <c r="CI150" i="2" s="1"/>
  <c r="CR149" i="2"/>
  <c r="CQ149" i="2"/>
  <c r="CP149" i="2"/>
  <c r="CK149" i="2"/>
  <c r="CB149" i="2"/>
  <c r="CI149" i="2" s="1"/>
  <c r="CQ148" i="2"/>
  <c r="CP148" i="2"/>
  <c r="CK148" i="2"/>
  <c r="CR148" i="2" s="1"/>
  <c r="CB148" i="2"/>
  <c r="CI148" i="2" s="1"/>
  <c r="CI147" i="2"/>
  <c r="CH147" i="2"/>
  <c r="CG147" i="2"/>
  <c r="CK146" i="2"/>
  <c r="CQ146" i="2" s="1"/>
  <c r="CB146" i="2"/>
  <c r="CR145" i="2"/>
  <c r="CQ145" i="2"/>
  <c r="CP145" i="2"/>
  <c r="CK145" i="2"/>
  <c r="CI145" i="2"/>
  <c r="CG145" i="2"/>
  <c r="CB145" i="2"/>
  <c r="CH145" i="2" s="1"/>
  <c r="CR144" i="2"/>
  <c r="CK144" i="2"/>
  <c r="CQ144" i="2" s="1"/>
  <c r="CB144" i="2"/>
  <c r="CI144" i="2" s="1"/>
  <c r="CR143" i="2"/>
  <c r="CP143" i="2"/>
  <c r="CK143" i="2"/>
  <c r="CQ143" i="2" s="1"/>
  <c r="CI143" i="2"/>
  <c r="CH143" i="2"/>
  <c r="CG143" i="2"/>
  <c r="CB143" i="2"/>
  <c r="CK142" i="2"/>
  <c r="CR142" i="2" s="1"/>
  <c r="CB142" i="2"/>
  <c r="CR141" i="2"/>
  <c r="CQ141" i="2"/>
  <c r="CP141" i="2"/>
  <c r="CK141" i="2"/>
  <c r="CB141" i="2"/>
  <c r="CG141" i="2" s="1"/>
  <c r="CK140" i="2"/>
  <c r="CQ140" i="2" s="1"/>
  <c r="CB140" i="2"/>
  <c r="CK139" i="2"/>
  <c r="CI139" i="2"/>
  <c r="CG139" i="2"/>
  <c r="CB139" i="2"/>
  <c r="CH139" i="2" s="1"/>
  <c r="CI138" i="2"/>
  <c r="CH138" i="2"/>
  <c r="CG138" i="2"/>
  <c r="G138" i="2"/>
  <c r="CR137" i="2"/>
  <c r="CK137" i="2"/>
  <c r="CQ137" i="2" s="1"/>
  <c r="CI137" i="2"/>
  <c r="CG137" i="2"/>
  <c r="CB137" i="2"/>
  <c r="CH137" i="2" s="1"/>
  <c r="CR136" i="2"/>
  <c r="CK136" i="2"/>
  <c r="CQ136" i="2" s="1"/>
  <c r="CI136" i="2"/>
  <c r="CH136" i="2"/>
  <c r="CG136" i="2"/>
  <c r="CB136" i="2"/>
  <c r="CK135" i="2"/>
  <c r="CI135" i="2"/>
  <c r="CH135" i="2"/>
  <c r="CG135" i="2"/>
  <c r="CB135" i="2"/>
  <c r="CR134" i="2"/>
  <c r="CQ134" i="2"/>
  <c r="CP134" i="2"/>
  <c r="CK134" i="2"/>
  <c r="CB134" i="2"/>
  <c r="CK133" i="2"/>
  <c r="CR133" i="2" s="1"/>
  <c r="CI133" i="2"/>
  <c r="CH133" i="2"/>
  <c r="CG133" i="2"/>
  <c r="CB133" i="2"/>
  <c r="CK132" i="2"/>
  <c r="CQ132" i="2" s="1"/>
  <c r="CB132" i="2"/>
  <c r="CI132" i="2" s="1"/>
  <c r="CK131" i="2"/>
  <c r="CP131" i="2" s="1"/>
  <c r="CI131" i="2"/>
  <c r="CG131" i="2"/>
  <c r="CB131" i="2"/>
  <c r="CH131" i="2" s="1"/>
  <c r="CK130" i="2"/>
  <c r="CP130" i="2" s="1"/>
  <c r="CB130" i="2"/>
  <c r="CI130" i="2" s="1"/>
  <c r="CR129" i="2"/>
  <c r="CP129" i="2"/>
  <c r="CK129" i="2"/>
  <c r="CQ129" i="2" s="1"/>
  <c r="CG129" i="2"/>
  <c r="CB129" i="2"/>
  <c r="CK128" i="2"/>
  <c r="CR128" i="2" s="1"/>
  <c r="CB128" i="2"/>
  <c r="CH128" i="2" s="1"/>
  <c r="CK127" i="2"/>
  <c r="CI127" i="2"/>
  <c r="CH127" i="2"/>
  <c r="CG127" i="2"/>
  <c r="CB127" i="2"/>
  <c r="CP126" i="2"/>
  <c r="CK126" i="2"/>
  <c r="CI126" i="2"/>
  <c r="CB126" i="2"/>
  <c r="CH126" i="2" s="1"/>
  <c r="CK125" i="2"/>
  <c r="CR125" i="2" s="1"/>
  <c r="CI125" i="2"/>
  <c r="CG125" i="2"/>
  <c r="CB125" i="2"/>
  <c r="CH125" i="2" s="1"/>
  <c r="CR124" i="2"/>
  <c r="CI124" i="2"/>
  <c r="G124" i="2"/>
  <c r="CK123" i="2"/>
  <c r="CP123" i="2" s="1"/>
  <c r="CB123" i="2"/>
  <c r="CG123" i="2" s="1"/>
  <c r="CR122" i="2"/>
  <c r="CQ122" i="2"/>
  <c r="CP122" i="2"/>
  <c r="CK122" i="2"/>
  <c r="CB122" i="2"/>
  <c r="CK121" i="2"/>
  <c r="CP121" i="2" s="1"/>
  <c r="CB121" i="2"/>
  <c r="CH121" i="2" s="1"/>
  <c r="CR120" i="2"/>
  <c r="CK120" i="2"/>
  <c r="CQ120" i="2" s="1"/>
  <c r="CB120" i="2"/>
  <c r="CG120" i="2" s="1"/>
  <c r="CR119" i="2"/>
  <c r="CQ119" i="2"/>
  <c r="CP119" i="2"/>
  <c r="CK119" i="2"/>
  <c r="CI119" i="2"/>
  <c r="CH119" i="2"/>
  <c r="CG119" i="2"/>
  <c r="CB119" i="2"/>
  <c r="CQ118" i="2"/>
  <c r="CK118" i="2"/>
  <c r="CB118" i="2"/>
  <c r="CR117" i="2"/>
  <c r="CQ117" i="2"/>
  <c r="CP117" i="2"/>
  <c r="CK117" i="2"/>
  <c r="CB117" i="2"/>
  <c r="CR116" i="2"/>
  <c r="CQ116" i="2"/>
  <c r="CP116" i="2"/>
  <c r="CK116" i="2"/>
  <c r="CB116" i="2"/>
  <c r="CI116" i="2" s="1"/>
  <c r="CK115" i="2"/>
  <c r="CP115" i="2" s="1"/>
  <c r="CI115" i="2"/>
  <c r="CB115" i="2"/>
  <c r="CH115" i="2" s="1"/>
  <c r="CR114" i="2"/>
  <c r="CK114" i="2"/>
  <c r="CQ114" i="2" s="1"/>
  <c r="CI114" i="2"/>
  <c r="CH114" i="2"/>
  <c r="CB114" i="2"/>
  <c r="CG114" i="2" s="1"/>
  <c r="CK113" i="2"/>
  <c r="CR113" i="2" s="1"/>
  <c r="CI113" i="2"/>
  <c r="CH113" i="2"/>
  <c r="CG113" i="2"/>
  <c r="CB113" i="2"/>
  <c r="CR112" i="2"/>
  <c r="CQ112" i="2"/>
  <c r="CP112" i="2"/>
  <c r="CK112" i="2"/>
  <c r="CB112" i="2"/>
  <c r="CI112" i="2" s="1"/>
  <c r="CR111" i="2"/>
  <c r="CQ111" i="2"/>
  <c r="CP111" i="2"/>
  <c r="CK111" i="2"/>
  <c r="CI111" i="2"/>
  <c r="CH111" i="2"/>
  <c r="CG111" i="2"/>
  <c r="CB111" i="2"/>
  <c r="CK110" i="2"/>
  <c r="CR110" i="2" s="1"/>
  <c r="CI110" i="2"/>
  <c r="CH110" i="2"/>
  <c r="CG110" i="2"/>
  <c r="CB110" i="2"/>
  <c r="CR109" i="2"/>
  <c r="CQ109" i="2"/>
  <c r="CP109" i="2"/>
  <c r="CK109" i="2"/>
  <c r="CB109" i="2"/>
  <c r="CI109" i="2" s="1"/>
  <c r="CR108" i="2"/>
  <c r="CQ108" i="2"/>
  <c r="CP108" i="2"/>
  <c r="CK108" i="2"/>
  <c r="CI108" i="2"/>
  <c r="CH108" i="2"/>
  <c r="CG108" i="2"/>
  <c r="CB108" i="2"/>
  <c r="CK107" i="2"/>
  <c r="CR107" i="2" s="1"/>
  <c r="CI107" i="2"/>
  <c r="CH107" i="2"/>
  <c r="CG107" i="2"/>
  <c r="CB107" i="2"/>
  <c r="CR106" i="2"/>
  <c r="CQ106" i="2"/>
  <c r="CP106" i="2"/>
  <c r="CK106" i="2"/>
  <c r="CB106" i="2"/>
  <c r="CI106" i="2" s="1"/>
  <c r="CR105" i="2"/>
  <c r="CQ105" i="2"/>
  <c r="CP105" i="2"/>
  <c r="CK105" i="2"/>
  <c r="CI105" i="2"/>
  <c r="CH105" i="2"/>
  <c r="CG105" i="2"/>
  <c r="CB105" i="2"/>
  <c r="CK104" i="2"/>
  <c r="CR104" i="2" s="1"/>
  <c r="CI104" i="2"/>
  <c r="CH104" i="2"/>
  <c r="CG104" i="2"/>
  <c r="CB104" i="2"/>
  <c r="CR103" i="2"/>
  <c r="CQ103" i="2"/>
  <c r="CP103" i="2"/>
  <c r="CK103" i="2"/>
  <c r="CB103" i="2"/>
  <c r="CI103" i="2" s="1"/>
  <c r="CR102" i="2"/>
  <c r="CQ102" i="2"/>
  <c r="CP102" i="2"/>
  <c r="CK102" i="2"/>
  <c r="CI102" i="2"/>
  <c r="CH102" i="2"/>
  <c r="CG102" i="2"/>
  <c r="CB102" i="2"/>
  <c r="CK101" i="2"/>
  <c r="CS101" i="2" s="1"/>
  <c r="CI101" i="2"/>
  <c r="CH101" i="2"/>
  <c r="CG101" i="2"/>
  <c r="CB101" i="2"/>
  <c r="CK100" i="2"/>
  <c r="CB100" i="2"/>
  <c r="CG100" i="2" s="1"/>
  <c r="CK99" i="2"/>
  <c r="CI99" i="2"/>
  <c r="CB99" i="2"/>
  <c r="CK98" i="2"/>
  <c r="CP98" i="2" s="1"/>
  <c r="CB98" i="2"/>
  <c r="CI98" i="2" s="1"/>
  <c r="G98" i="2"/>
  <c r="CK97" i="2"/>
  <c r="CB97" i="2"/>
  <c r="CR96" i="2"/>
  <c r="CI96" i="2"/>
  <c r="G96" i="2"/>
  <c r="CR95" i="2"/>
  <c r="CI95" i="2"/>
  <c r="G95" i="2"/>
  <c r="CR94" i="2"/>
  <c r="CQ94" i="2"/>
  <c r="CP94" i="2"/>
  <c r="CK94" i="2"/>
  <c r="CH94" i="2"/>
  <c r="CG94" i="2"/>
  <c r="CB94" i="2"/>
  <c r="CI94" i="2" s="1"/>
  <c r="CR93" i="2"/>
  <c r="CQ93" i="2"/>
  <c r="CP93" i="2"/>
  <c r="CK93" i="2"/>
  <c r="CI93" i="2"/>
  <c r="CH93" i="2"/>
  <c r="CG93" i="2"/>
  <c r="CB93" i="2"/>
  <c r="CK92" i="2"/>
  <c r="CI92" i="2"/>
  <c r="CH92" i="2"/>
  <c r="CG92" i="2"/>
  <c r="CB92" i="2"/>
  <c r="CR91" i="2"/>
  <c r="CQ91" i="2"/>
  <c r="CP91" i="2"/>
  <c r="CK91" i="2"/>
  <c r="CB91" i="2"/>
  <c r="CI91" i="2" s="1"/>
  <c r="CR90" i="2"/>
  <c r="CQ90" i="2"/>
  <c r="CP90" i="2"/>
  <c r="CK90" i="2"/>
  <c r="CI90" i="2"/>
  <c r="CH90" i="2"/>
  <c r="CG90" i="2"/>
  <c r="CK89" i="2"/>
  <c r="CI89" i="2"/>
  <c r="CH89" i="2"/>
  <c r="CG89" i="2"/>
  <c r="CB89" i="2"/>
  <c r="CK88" i="2"/>
  <c r="CR88" i="2" s="1"/>
  <c r="CB88" i="2"/>
  <c r="CR87" i="2"/>
  <c r="CQ87" i="2"/>
  <c r="CP87" i="2"/>
  <c r="CK87" i="2"/>
  <c r="CB87" i="2"/>
  <c r="CR86" i="2"/>
  <c r="CI86" i="2"/>
  <c r="G86" i="2"/>
  <c r="CK85" i="2"/>
  <c r="CR85" i="2" s="1"/>
  <c r="CB85" i="2"/>
  <c r="CK84" i="2"/>
  <c r="CB84" i="2"/>
  <c r="CP83" i="2"/>
  <c r="CK83" i="2"/>
  <c r="CB83" i="2"/>
  <c r="CG83" i="2" s="1"/>
  <c r="CR82" i="2"/>
  <c r="CQ82" i="2"/>
  <c r="CP82" i="2"/>
  <c r="CK82" i="2"/>
  <c r="CB82" i="2"/>
  <c r="CR81" i="2"/>
  <c r="CK81" i="2"/>
  <c r="CQ81" i="2" s="1"/>
  <c r="CB81" i="2"/>
  <c r="CI81" i="2" s="1"/>
  <c r="CP80" i="2"/>
  <c r="CK80" i="2"/>
  <c r="CB80" i="2"/>
  <c r="CR79" i="2"/>
  <c r="CI79" i="2"/>
  <c r="CR78" i="2"/>
  <c r="CQ78" i="2"/>
  <c r="CP78" i="2"/>
  <c r="CK78" i="2"/>
  <c r="CB78" i="2"/>
  <c r="CK77" i="2"/>
  <c r="CI77" i="2"/>
  <c r="CH77" i="2"/>
  <c r="CG77" i="2"/>
  <c r="CB77" i="2"/>
  <c r="CK76" i="2"/>
  <c r="CB76" i="2"/>
  <c r="CI76" i="2" s="1"/>
  <c r="CR75" i="2"/>
  <c r="CQ75" i="2"/>
  <c r="CP75" i="2"/>
  <c r="CK75" i="2"/>
  <c r="CB75" i="2"/>
  <c r="CK74" i="2"/>
  <c r="CR74" i="2" s="1"/>
  <c r="CI74" i="2"/>
  <c r="CH74" i="2"/>
  <c r="CG74" i="2"/>
  <c r="CB74" i="2"/>
  <c r="CK73" i="2"/>
  <c r="CI73" i="2"/>
  <c r="CH73" i="2"/>
  <c r="CG73" i="2"/>
  <c r="CB73" i="2"/>
  <c r="CR72" i="2"/>
  <c r="CQ72" i="2"/>
  <c r="CP72" i="2"/>
  <c r="CK72" i="2"/>
  <c r="CB72" i="2"/>
  <c r="CK71" i="2"/>
  <c r="CI71" i="2"/>
  <c r="CH71" i="2"/>
  <c r="CG71" i="2"/>
  <c r="CB71" i="2"/>
  <c r="CK70" i="2"/>
  <c r="CB70" i="2"/>
  <c r="CG70" i="2" s="1"/>
  <c r="CR69" i="2"/>
  <c r="CQ69" i="2"/>
  <c r="CP69" i="2"/>
  <c r="CK69" i="2"/>
  <c r="CB69" i="2"/>
  <c r="CK68" i="2"/>
  <c r="CP68" i="2" s="1"/>
  <c r="CI68" i="2"/>
  <c r="CH68" i="2"/>
  <c r="CG68" i="2"/>
  <c r="CB68" i="2"/>
  <c r="CK67" i="2"/>
  <c r="CI67" i="2"/>
  <c r="CH67" i="2"/>
  <c r="CG67" i="2"/>
  <c r="CB67" i="2"/>
  <c r="CR66" i="2"/>
  <c r="CQ66" i="2"/>
  <c r="CP66" i="2"/>
  <c r="CK66" i="2"/>
  <c r="CB66" i="2"/>
  <c r="CI65" i="2"/>
  <c r="CH65" i="2"/>
  <c r="CG65" i="2"/>
  <c r="G65" i="2"/>
  <c r="CR64" i="2"/>
  <c r="CQ64" i="2"/>
  <c r="CP64" i="2"/>
  <c r="CK64" i="2"/>
  <c r="CB64" i="2"/>
  <c r="CK63" i="2"/>
  <c r="CR63" i="2" s="1"/>
  <c r="CI63" i="2"/>
  <c r="CH63" i="2"/>
  <c r="CG63" i="2"/>
  <c r="CB63" i="2"/>
  <c r="CK62" i="2"/>
  <c r="CB62" i="2"/>
  <c r="CI62" i="2" s="1"/>
  <c r="CR61" i="2"/>
  <c r="CQ61" i="2"/>
  <c r="CP61" i="2"/>
  <c r="CK61" i="2"/>
  <c r="CB61" i="2"/>
  <c r="CR60" i="2"/>
  <c r="CQ60" i="2"/>
  <c r="CP60" i="2"/>
  <c r="CK60" i="2"/>
  <c r="CI60" i="2"/>
  <c r="CH60" i="2"/>
  <c r="CG60" i="2"/>
  <c r="CB60" i="2"/>
  <c r="CK59" i="2"/>
  <c r="CB59" i="2"/>
  <c r="CR58" i="2"/>
  <c r="CQ58" i="2"/>
  <c r="CP58" i="2"/>
  <c r="CK58" i="2"/>
  <c r="CB58" i="2"/>
  <c r="CK57" i="2"/>
  <c r="CR57" i="2" s="1"/>
  <c r="CI57" i="2"/>
  <c r="CH57" i="2"/>
  <c r="CG57" i="2"/>
  <c r="CB57" i="2"/>
  <c r="CK56" i="2"/>
  <c r="CB56" i="2"/>
  <c r="CI56" i="2" s="1"/>
  <c r="CR55" i="2"/>
  <c r="CQ55" i="2"/>
  <c r="CP55" i="2"/>
  <c r="CK55" i="2"/>
  <c r="CB55" i="2"/>
  <c r="CR54" i="2"/>
  <c r="CQ54" i="2"/>
  <c r="CP54" i="2"/>
  <c r="CK54" i="2"/>
  <c r="CI54" i="2"/>
  <c r="CH54" i="2"/>
  <c r="CG54" i="2"/>
  <c r="CB54" i="2"/>
  <c r="CK53" i="2"/>
  <c r="CB53" i="2"/>
  <c r="CR52" i="2"/>
  <c r="CI52" i="2"/>
  <c r="G52" i="2"/>
  <c r="CQ51" i="2"/>
  <c r="CP51" i="2"/>
  <c r="CK51" i="2"/>
  <c r="CR51" i="2" s="1"/>
  <c r="CB51" i="2"/>
  <c r="CI51" i="2" s="1"/>
  <c r="CI50" i="2"/>
  <c r="CH50" i="2"/>
  <c r="CG50" i="2"/>
  <c r="G50" i="2"/>
  <c r="CQ49" i="2"/>
  <c r="CP49" i="2"/>
  <c r="CK49" i="2"/>
  <c r="CR49" i="2" s="1"/>
  <c r="CI49" i="2"/>
  <c r="CH49" i="2"/>
  <c r="CG49" i="2"/>
  <c r="CK48" i="2"/>
  <c r="CR48" i="2" s="1"/>
  <c r="CB48" i="2"/>
  <c r="CG48" i="2" s="1"/>
  <c r="CR47" i="2"/>
  <c r="CQ47" i="2"/>
  <c r="CP47" i="2"/>
  <c r="CK47" i="2"/>
  <c r="CB47" i="2"/>
  <c r="CI47" i="2" s="1"/>
  <c r="CK46" i="2"/>
  <c r="CP46" i="2" s="1"/>
  <c r="CI46" i="2"/>
  <c r="CH46" i="2"/>
  <c r="CG46" i="2"/>
  <c r="CB46" i="2"/>
  <c r="CK45" i="2"/>
  <c r="CB45" i="2"/>
  <c r="CK44" i="2"/>
  <c r="CR44" i="2" s="1"/>
  <c r="CI44" i="2"/>
  <c r="CH44" i="2"/>
  <c r="CG44" i="2"/>
  <c r="CB44" i="2"/>
  <c r="CK43" i="2"/>
  <c r="CB43" i="2"/>
  <c r="CG43" i="2" s="1"/>
  <c r="CK42" i="2"/>
  <c r="CR42" i="2" s="1"/>
  <c r="CP41" i="2"/>
  <c r="CK41" i="2"/>
  <c r="CH41" i="2"/>
  <c r="CG41" i="2"/>
  <c r="CB41" i="2"/>
  <c r="CI41" i="2" s="1"/>
  <c r="CS40" i="2"/>
  <c r="CR40" i="2"/>
  <c r="CQ40" i="2"/>
  <c r="CP40" i="2"/>
  <c r="CK40" i="2"/>
  <c r="CI40" i="2"/>
  <c r="CH40" i="2"/>
  <c r="CG40" i="2"/>
  <c r="CR39" i="2"/>
  <c r="CI39" i="2"/>
  <c r="CK38" i="2"/>
  <c r="CR38" i="2" s="1"/>
  <c r="CI38" i="2"/>
  <c r="CH38" i="2"/>
  <c r="CG38" i="2"/>
  <c r="CB38" i="2"/>
  <c r="CK37" i="2"/>
  <c r="CI37" i="2"/>
  <c r="CH37" i="2"/>
  <c r="CG37" i="2"/>
  <c r="CB37" i="2"/>
  <c r="CK36" i="2"/>
  <c r="CS36" i="2" s="1"/>
  <c r="CI36" i="2"/>
  <c r="CB36" i="2"/>
  <c r="CH36" i="2" s="1"/>
  <c r="CK35" i="2"/>
  <c r="CP35" i="2" s="1"/>
  <c r="CB35" i="2"/>
  <c r="CI35" i="2" s="1"/>
  <c r="CS34" i="2"/>
  <c r="CR34" i="2"/>
  <c r="CQ34" i="2"/>
  <c r="CP34" i="2"/>
  <c r="CK34" i="2"/>
  <c r="CI34" i="2"/>
  <c r="CH34" i="2"/>
  <c r="CG34" i="2"/>
  <c r="CK33" i="2"/>
  <c r="CI33" i="2"/>
  <c r="CH33" i="2"/>
  <c r="CG33" i="2"/>
  <c r="CB33" i="2"/>
  <c r="CR32" i="2"/>
  <c r="CK32" i="2"/>
  <c r="CQ32" i="2" s="1"/>
  <c r="CB32" i="2"/>
  <c r="CK31" i="2"/>
  <c r="CP31" i="2" s="1"/>
  <c r="CI31" i="2"/>
  <c r="CH31" i="2"/>
  <c r="CG31" i="2"/>
  <c r="CB31" i="2"/>
  <c r="CK30" i="2"/>
  <c r="CR30" i="2" s="1"/>
  <c r="CB30" i="2"/>
  <c r="CI30" i="2" s="1"/>
  <c r="CK29" i="2"/>
  <c r="CI29" i="2"/>
  <c r="CB29" i="2"/>
  <c r="CK28" i="2"/>
  <c r="CB28" i="2"/>
  <c r="CG28" i="2" s="1"/>
  <c r="CK27" i="2"/>
  <c r="CR27" i="2" s="1"/>
  <c r="CI27" i="2"/>
  <c r="CB27" i="2"/>
  <c r="CH27" i="2" s="1"/>
  <c r="CI26" i="2"/>
  <c r="CH26" i="2"/>
  <c r="CG26" i="2"/>
  <c r="G26" i="2"/>
  <c r="CK25" i="2"/>
  <c r="CR25" i="2" s="1"/>
  <c r="CI25" i="2"/>
  <c r="CH25" i="2"/>
  <c r="CG25" i="2"/>
  <c r="CB25" i="2"/>
  <c r="CK24" i="2"/>
  <c r="CI24" i="2"/>
  <c r="CB24" i="2"/>
  <c r="CK23" i="2"/>
  <c r="CP23" i="2" s="1"/>
  <c r="CI23" i="2"/>
  <c r="CB23" i="2"/>
  <c r="CH23" i="2" s="1"/>
  <c r="CK22" i="2"/>
  <c r="CI22" i="2"/>
  <c r="CH22" i="2"/>
  <c r="CG22" i="2"/>
  <c r="CB22" i="2"/>
  <c r="CI21" i="2"/>
  <c r="CH21" i="2"/>
  <c r="CG21" i="2"/>
  <c r="G21" i="2"/>
  <c r="CI20" i="2"/>
  <c r="CH20" i="2"/>
  <c r="CG20" i="2"/>
  <c r="CK19" i="2"/>
  <c r="CB19" i="2"/>
  <c r="CI19" i="2" s="1"/>
  <c r="CR18" i="2"/>
  <c r="CQ18" i="2"/>
  <c r="CP18" i="2"/>
  <c r="CK18" i="2"/>
  <c r="CG18" i="2"/>
  <c r="CB18" i="2"/>
  <c r="CK17" i="2"/>
  <c r="CR17" i="2" s="1"/>
  <c r="CI17" i="2"/>
  <c r="CH17" i="2"/>
  <c r="CG17" i="2"/>
  <c r="CB17" i="2"/>
  <c r="CK16" i="2"/>
  <c r="CP16" i="2" s="1"/>
  <c r="CB16" i="2"/>
  <c r="CI16" i="2" s="1"/>
  <c r="CR15" i="2"/>
  <c r="CQ15" i="2"/>
  <c r="CP15" i="2"/>
  <c r="CK15" i="2"/>
  <c r="CB15" i="2"/>
  <c r="CK14" i="2"/>
  <c r="CR14" i="2" s="1"/>
  <c r="CI14" i="2"/>
  <c r="CH14" i="2"/>
  <c r="CG14" i="2"/>
  <c r="CB14" i="2"/>
  <c r="CK13" i="2"/>
  <c r="CB13" i="2"/>
  <c r="CI13" i="2" s="1"/>
  <c r="CR12" i="2"/>
  <c r="CQ12" i="2"/>
  <c r="CP12" i="2"/>
  <c r="CK12" i="2"/>
  <c r="CB12" i="2"/>
  <c r="CS11" i="2"/>
  <c r="CR11" i="2"/>
  <c r="CQ11" i="2"/>
  <c r="CP11" i="2"/>
  <c r="CK11" i="2"/>
  <c r="CB11" i="2"/>
  <c r="CK10" i="2"/>
  <c r="CR10" i="2" s="1"/>
  <c r="CI10" i="2"/>
  <c r="CH10" i="2"/>
  <c r="CG10" i="2"/>
  <c r="CB10" i="2"/>
  <c r="CR9" i="2"/>
  <c r="CQ9" i="2"/>
  <c r="CK9" i="2"/>
  <c r="CP9" i="2" s="1"/>
  <c r="CB9" i="2"/>
  <c r="CI9" i="2" s="1"/>
  <c r="CK8" i="2"/>
  <c r="CI8" i="2"/>
  <c r="CH8" i="2"/>
  <c r="CB8" i="2"/>
  <c r="CG8" i="2" s="1"/>
  <c r="CK7" i="2"/>
  <c r="CP7" i="2" s="1"/>
  <c r="CB7" i="2"/>
  <c r="CI7" i="2" s="1"/>
  <c r="CR6" i="2"/>
  <c r="CI6" i="2"/>
  <c r="CQ5" i="2"/>
  <c r="CP5" i="2"/>
  <c r="CK5" i="2"/>
  <c r="CR5" i="2" s="1"/>
  <c r="CB5" i="2"/>
  <c r="CI5" i="2" s="1"/>
  <c r="CK4" i="2"/>
  <c r="CQ4" i="2" s="1"/>
  <c r="CH4" i="2"/>
  <c r="CG4" i="2"/>
  <c r="CB4" i="2"/>
  <c r="CI4" i="2" s="1"/>
  <c r="CQ3" i="2"/>
  <c r="CK3" i="2"/>
  <c r="CI3" i="2"/>
  <c r="CH3" i="2"/>
  <c r="CG3" i="2"/>
  <c r="CB3" i="2"/>
  <c r="CH142" i="2" l="1"/>
  <c r="CI142" i="2"/>
  <c r="CG142" i="2"/>
  <c r="CR8" i="2"/>
  <c r="CQ8" i="2"/>
  <c r="CI87" i="2"/>
  <c r="CH87" i="2"/>
  <c r="CG87" i="2"/>
  <c r="CP8" i="2"/>
  <c r="CI80" i="2"/>
  <c r="CH80" i="2"/>
  <c r="CI97" i="2"/>
  <c r="CH97" i="2"/>
  <c r="CG97" i="2"/>
  <c r="CG80" i="2"/>
  <c r="CR19" i="2"/>
  <c r="CQ19" i="2"/>
  <c r="CR29" i="2"/>
  <c r="CQ29" i="2"/>
  <c r="CP29" i="2"/>
  <c r="CR92" i="2"/>
  <c r="CQ92" i="2"/>
  <c r="CP92" i="2"/>
  <c r="CG236" i="2"/>
  <c r="CI236" i="2"/>
  <c r="CH236" i="2"/>
  <c r="CI12" i="2"/>
  <c r="CH12" i="2"/>
  <c r="CP19" i="2"/>
  <c r="CI84" i="2"/>
  <c r="CG84" i="2"/>
  <c r="CH84" i="2"/>
  <c r="CR77" i="2"/>
  <c r="CQ77" i="2"/>
  <c r="CP77" i="2"/>
  <c r="CH15" i="2"/>
  <c r="CI15" i="2"/>
  <c r="CG15" i="2"/>
  <c r="CH18" i="2"/>
  <c r="CI18" i="2"/>
  <c r="CI82" i="2"/>
  <c r="CH82" i="2"/>
  <c r="CG82" i="2"/>
  <c r="CR99" i="2"/>
  <c r="CP99" i="2"/>
  <c r="CQ99" i="2"/>
  <c r="CI181" i="2"/>
  <c r="CH181" i="2"/>
  <c r="CG181" i="2"/>
  <c r="CR24" i="2"/>
  <c r="CQ24" i="2"/>
  <c r="CP24" i="2"/>
  <c r="CR13" i="2"/>
  <c r="CQ13" i="2"/>
  <c r="CQ1" i="2" s="1"/>
  <c r="CP13" i="2"/>
  <c r="CR16" i="2"/>
  <c r="CQ16" i="2"/>
  <c r="CI53" i="2"/>
  <c r="CH53" i="2"/>
  <c r="CG53" i="2"/>
  <c r="CQ71" i="2"/>
  <c r="CR71" i="2"/>
  <c r="CP71" i="2"/>
  <c r="CI140" i="2"/>
  <c r="CH140" i="2"/>
  <c r="CG140" i="2"/>
  <c r="CI157" i="2"/>
  <c r="CH157" i="2"/>
  <c r="CG157" i="2"/>
  <c r="CG204" i="2"/>
  <c r="CI204" i="2"/>
  <c r="CH204" i="2"/>
  <c r="CH35" i="2"/>
  <c r="CG35" i="2"/>
  <c r="CG12" i="2"/>
  <c r="CI59" i="2"/>
  <c r="CH59" i="2"/>
  <c r="CG59" i="2"/>
  <c r="CR84" i="2"/>
  <c r="CQ84" i="2"/>
  <c r="CP84" i="2"/>
  <c r="CI48" i="2"/>
  <c r="CH48" i="2"/>
  <c r="CI219" i="2"/>
  <c r="CH219" i="2"/>
  <c r="CG219" i="2"/>
  <c r="CQ33" i="2"/>
  <c r="CP33" i="2"/>
  <c r="CI55" i="2"/>
  <c r="CG55" i="2"/>
  <c r="CH55" i="2"/>
  <c r="CI61" i="2"/>
  <c r="CG61" i="2"/>
  <c r="CH61" i="2"/>
  <c r="CR67" i="2"/>
  <c r="CP67" i="2"/>
  <c r="CQ67" i="2"/>
  <c r="CG91" i="2"/>
  <c r="CP101" i="2"/>
  <c r="CP113" i="2"/>
  <c r="CI118" i="2"/>
  <c r="CH118" i="2"/>
  <c r="CI146" i="2"/>
  <c r="CH146" i="2"/>
  <c r="CG146" i="2"/>
  <c r="CP191" i="2"/>
  <c r="CG202" i="2"/>
  <c r="CI217" i="2"/>
  <c r="CH217" i="2"/>
  <c r="CP254" i="2"/>
  <c r="CR254" i="2"/>
  <c r="CQ254" i="2"/>
  <c r="CI265" i="2"/>
  <c r="CH265" i="2"/>
  <c r="CG265" i="2"/>
  <c r="CP10" i="2"/>
  <c r="CQ22" i="2"/>
  <c r="CP22" i="2"/>
  <c r="CR33" i="2"/>
  <c r="CR37" i="2"/>
  <c r="CP37" i="2"/>
  <c r="CQ37" i="2"/>
  <c r="CQ101" i="2"/>
  <c r="CP104" i="2"/>
  <c r="CP107" i="2"/>
  <c r="CP110" i="2"/>
  <c r="CQ113" i="2"/>
  <c r="CG118" i="2"/>
  <c r="CQ131" i="2"/>
  <c r="CQ135" i="2"/>
  <c r="CR135" i="2"/>
  <c r="CI151" i="2"/>
  <c r="CH151" i="2"/>
  <c r="CQ164" i="2"/>
  <c r="CP177" i="2"/>
  <c r="CQ193" i="2"/>
  <c r="CG217" i="2"/>
  <c r="CP229" i="2"/>
  <c r="CP231" i="2"/>
  <c r="CP245" i="2"/>
  <c r="CG268" i="2"/>
  <c r="CP4" i="2"/>
  <c r="CG7" i="2"/>
  <c r="CQ10" i="2"/>
  <c r="CQ31" i="2"/>
  <c r="CQ35" i="2"/>
  <c r="CP42" i="2"/>
  <c r="CQ48" i="2"/>
  <c r="CR89" i="2"/>
  <c r="CQ89" i="2"/>
  <c r="CR101" i="2"/>
  <c r="CQ104" i="2"/>
  <c r="CQ107" i="2"/>
  <c r="CQ110" i="2"/>
  <c r="CR127" i="2"/>
  <c r="CQ127" i="2"/>
  <c r="CP127" i="2"/>
  <c r="CR131" i="2"/>
  <c r="CP135" i="2"/>
  <c r="CP142" i="2"/>
  <c r="CP146" i="2"/>
  <c r="CG151" i="2"/>
  <c r="CS193" i="2"/>
  <c r="CI200" i="2"/>
  <c r="CH200" i="2"/>
  <c r="CG213" i="2"/>
  <c r="CQ234" i="2"/>
  <c r="CR234" i="2"/>
  <c r="CP247" i="2"/>
  <c r="CQ281" i="2"/>
  <c r="CH7" i="2"/>
  <c r="CR31" i="2"/>
  <c r="CR35" i="2"/>
  <c r="CG51" i="2"/>
  <c r="CP57" i="2"/>
  <c r="CI66" i="2"/>
  <c r="CH66" i="2"/>
  <c r="CG66" i="2"/>
  <c r="CI72" i="2"/>
  <c r="CH72" i="2"/>
  <c r="CG72" i="2"/>
  <c r="CG76" i="2"/>
  <c r="CG98" i="2"/>
  <c r="CP125" i="2"/>
  <c r="CG130" i="2"/>
  <c r="CP140" i="2"/>
  <c r="CR146" i="2"/>
  <c r="CH149" i="2"/>
  <c r="CG161" i="2"/>
  <c r="CP169" i="2"/>
  <c r="CQ172" i="2"/>
  <c r="CI194" i="2"/>
  <c r="CH194" i="2"/>
  <c r="CG194" i="2"/>
  <c r="CG200" i="2"/>
  <c r="CH213" i="2"/>
  <c r="CR231" i="2"/>
  <c r="CP234" i="2"/>
  <c r="CR245" i="2"/>
  <c r="CQ247" i="2"/>
  <c r="CR249" i="2"/>
  <c r="CI258" i="2"/>
  <c r="CI268" i="2"/>
  <c r="CP270" i="2"/>
  <c r="CP273" i="2"/>
  <c r="CP277" i="2"/>
  <c r="CR281" i="2"/>
  <c r="CR4" i="2"/>
  <c r="CH9" i="2"/>
  <c r="CH32" i="2"/>
  <c r="CG32" i="2"/>
  <c r="CQ63" i="2"/>
  <c r="CH70" i="2"/>
  <c r="CH76" i="2"/>
  <c r="CG81" i="2"/>
  <c r="CH100" i="2"/>
  <c r="CH123" i="2"/>
  <c r="CG128" i="2"/>
  <c r="CG132" i="2"/>
  <c r="CI163" i="2"/>
  <c r="CQ169" i="2"/>
  <c r="CI198" i="2"/>
  <c r="CH198" i="2"/>
  <c r="CG230" i="2"/>
  <c r="CI232" i="2"/>
  <c r="CH232" i="2"/>
  <c r="CG232" i="2"/>
  <c r="CI250" i="2"/>
  <c r="CH250" i="2"/>
  <c r="CG250" i="2"/>
  <c r="CQ270" i="2"/>
  <c r="CH272" i="2"/>
  <c r="CQ273" i="2"/>
  <c r="CQ277" i="2"/>
  <c r="CH28" i="2"/>
  <c r="CI32" i="2"/>
  <c r="CH47" i="2"/>
  <c r="CI70" i="2"/>
  <c r="CH81" i="2"/>
  <c r="CI100" i="2"/>
  <c r="CI123" i="2"/>
  <c r="CI128" i="2"/>
  <c r="CH132" i="2"/>
  <c r="CR169" i="2"/>
  <c r="CG188" i="2"/>
  <c r="CQ190" i="2"/>
  <c r="CR190" i="2"/>
  <c r="CP194" i="2"/>
  <c r="CG198" i="2"/>
  <c r="CI203" i="2"/>
  <c r="CH203" i="2"/>
  <c r="CG203" i="2"/>
  <c r="CH207" i="2"/>
  <c r="CG209" i="2"/>
  <c r="CR213" i="2"/>
  <c r="CQ213" i="2"/>
  <c r="CP213" i="2"/>
  <c r="CI228" i="2"/>
  <c r="CQ232" i="2"/>
  <c r="CR232" i="2"/>
  <c r="CH248" i="2"/>
  <c r="CI248" i="2"/>
  <c r="CP250" i="2"/>
  <c r="CR250" i="2"/>
  <c r="CQ250" i="2"/>
  <c r="CI28" i="2"/>
  <c r="CI45" i="2"/>
  <c r="CH45" i="2"/>
  <c r="CG56" i="2"/>
  <c r="CG62" i="2"/>
  <c r="CR70" i="2"/>
  <c r="CP70" i="2"/>
  <c r="CQ70" i="2"/>
  <c r="CP74" i="2"/>
  <c r="CR76" i="2"/>
  <c r="CP76" i="2"/>
  <c r="CQ76" i="2"/>
  <c r="CH83" i="2"/>
  <c r="CI88" i="2"/>
  <c r="CG88" i="2"/>
  <c r="CH88" i="2"/>
  <c r="CI121" i="2"/>
  <c r="CG154" i="2"/>
  <c r="CP163" i="2"/>
  <c r="CH168" i="2"/>
  <c r="CI184" i="2"/>
  <c r="CH184" i="2"/>
  <c r="CH188" i="2"/>
  <c r="CQ194" i="2"/>
  <c r="CH209" i="2"/>
  <c r="CR211" i="2"/>
  <c r="CQ211" i="2"/>
  <c r="CR228" i="2"/>
  <c r="CQ228" i="2"/>
  <c r="CP232" i="2"/>
  <c r="CP240" i="2"/>
  <c r="CP242" i="2"/>
  <c r="CG248" i="2"/>
  <c r="CQ258" i="2"/>
  <c r="CI264" i="2"/>
  <c r="CH264" i="2"/>
  <c r="CQ268" i="2"/>
  <c r="CG274" i="2"/>
  <c r="CG285" i="2"/>
  <c r="CP286" i="2"/>
  <c r="CQ292" i="2"/>
  <c r="CR3" i="2"/>
  <c r="CS3" i="2"/>
  <c r="CH5" i="2"/>
  <c r="CH1" i="2" s="1"/>
  <c r="CG13" i="2"/>
  <c r="CP14" i="2"/>
  <c r="CG16" i="2"/>
  <c r="CP17" i="2"/>
  <c r="CG19" i="2"/>
  <c r="CQ23" i="2"/>
  <c r="CR28" i="2"/>
  <c r="CQ28" i="2"/>
  <c r="CR36" i="2"/>
  <c r="CP38" i="2"/>
  <c r="CH43" i="2"/>
  <c r="CG45" i="2"/>
  <c r="CH56" i="2"/>
  <c r="CH62" i="2"/>
  <c r="CQ68" i="2"/>
  <c r="CQ74" i="2"/>
  <c r="CI83" i="2"/>
  <c r="CQ85" i="2"/>
  <c r="CG117" i="2"/>
  <c r="CI117" i="2"/>
  <c r="CH117" i="2"/>
  <c r="CP128" i="2"/>
  <c r="CH154" i="2"/>
  <c r="CG156" i="2"/>
  <c r="CQ161" i="2"/>
  <c r="CQ163" i="2"/>
  <c r="CR173" i="2"/>
  <c r="CQ173" i="2"/>
  <c r="CP173" i="2"/>
  <c r="CP180" i="2"/>
  <c r="CI182" i="2"/>
  <c r="CG184" i="2"/>
  <c r="CS186" i="2"/>
  <c r="CR186" i="2"/>
  <c r="CP203" i="2"/>
  <c r="CQ205" i="2"/>
  <c r="CP211" i="2"/>
  <c r="CP228" i="2"/>
  <c r="CQ240" i="2"/>
  <c r="CQ242" i="2"/>
  <c r="CH244" i="2"/>
  <c r="CG264" i="2"/>
  <c r="CP266" i="2"/>
  <c r="CH274" i="2"/>
  <c r="CH283" i="2"/>
  <c r="CH285" i="2"/>
  <c r="CQ286" i="2"/>
  <c r="CR288" i="2"/>
  <c r="CQ288" i="2"/>
  <c r="CP3" i="2"/>
  <c r="CH13" i="2"/>
  <c r="CQ14" i="2"/>
  <c r="CH16" i="2"/>
  <c r="CQ17" i="2"/>
  <c r="CH19" i="2"/>
  <c r="CR23" i="2"/>
  <c r="CP28" i="2"/>
  <c r="CQ38" i="2"/>
  <c r="CI43" i="2"/>
  <c r="CR45" i="2"/>
  <c r="CP45" i="2"/>
  <c r="CQ45" i="2"/>
  <c r="CR68" i="2"/>
  <c r="CP81" i="2"/>
  <c r="CR83" i="2"/>
  <c r="CQ83" i="2"/>
  <c r="CP88" i="2"/>
  <c r="CG115" i="2"/>
  <c r="CQ121" i="2"/>
  <c r="CQ126" i="2"/>
  <c r="CR126" i="2"/>
  <c r="CQ128" i="2"/>
  <c r="CG148" i="2"/>
  <c r="CH156" i="2"/>
  <c r="CP159" i="2"/>
  <c r="CR161" i="2"/>
  <c r="CQ180" i="2"/>
  <c r="CR182" i="2"/>
  <c r="CQ182" i="2"/>
  <c r="CP186" i="2"/>
  <c r="CQ203" i="2"/>
  <c r="CR205" i="2"/>
  <c r="CP207" i="2"/>
  <c r="CR209" i="2"/>
  <c r="CQ209" i="2"/>
  <c r="CP209" i="2"/>
  <c r="CI244" i="2"/>
  <c r="CQ256" i="2"/>
  <c r="CG262" i="2"/>
  <c r="CQ266" i="2"/>
  <c r="CI283" i="2"/>
  <c r="CP288" i="2"/>
  <c r="CR97" i="2"/>
  <c r="CQ97" i="2"/>
  <c r="CR262" i="2"/>
  <c r="CQ262" i="2"/>
  <c r="CP262" i="2"/>
  <c r="CR73" i="2"/>
  <c r="CP73" i="2"/>
  <c r="CQ73" i="2"/>
  <c r="CP97" i="2"/>
  <c r="CG144" i="2"/>
  <c r="CI153" i="2"/>
  <c r="CH153" i="2"/>
  <c r="CG153" i="2"/>
  <c r="CI185" i="2"/>
  <c r="CH185" i="2"/>
  <c r="CG185" i="2"/>
  <c r="CP193" i="2"/>
  <c r="CG215" i="2"/>
  <c r="CP219" i="2"/>
  <c r="CR219" i="2"/>
  <c r="CQ219" i="2"/>
  <c r="CG279" i="2"/>
  <c r="CQ27" i="2"/>
  <c r="CP27" i="2"/>
  <c r="CR46" i="2"/>
  <c r="CQ46" i="2"/>
  <c r="CP48" i="2"/>
  <c r="CH91" i="2"/>
  <c r="CG103" i="2"/>
  <c r="CG106" i="2"/>
  <c r="CG109" i="2"/>
  <c r="CG112" i="2"/>
  <c r="CG116" i="2"/>
  <c r="CP133" i="2"/>
  <c r="CH144" i="2"/>
  <c r="CR160" i="2"/>
  <c r="CQ160" i="2"/>
  <c r="CP160" i="2"/>
  <c r="CR179" i="2"/>
  <c r="CQ179" i="2"/>
  <c r="CP179" i="2"/>
  <c r="CR185" i="2"/>
  <c r="CQ185" i="2"/>
  <c r="CQ191" i="2"/>
  <c r="CH202" i="2"/>
  <c r="CP210" i="2"/>
  <c r="CH215" i="2"/>
  <c r="CH279" i="2"/>
  <c r="CR22" i="2"/>
  <c r="CH103" i="2"/>
  <c r="CH106" i="2"/>
  <c r="CH109" i="2"/>
  <c r="CH112" i="2"/>
  <c r="CH116" i="2"/>
  <c r="CQ133" i="2"/>
  <c r="CG149" i="2"/>
  <c r="CR164" i="2"/>
  <c r="CP172" i="2"/>
  <c r="CQ177" i="2"/>
  <c r="CP185" i="2"/>
  <c r="CQ210" i="2"/>
  <c r="CR229" i="2"/>
  <c r="CP249" i="2"/>
  <c r="CH258" i="2"/>
  <c r="CG9" i="2"/>
  <c r="CQ42" i="2"/>
  <c r="CP44" i="2"/>
  <c r="CR53" i="2"/>
  <c r="CQ53" i="2"/>
  <c r="CP53" i="2"/>
  <c r="CR59" i="2"/>
  <c r="CQ59" i="2"/>
  <c r="CP59" i="2"/>
  <c r="CP63" i="2"/>
  <c r="CI78" i="2"/>
  <c r="CH78" i="2"/>
  <c r="CG78" i="2"/>
  <c r="CI85" i="2"/>
  <c r="CH85" i="2"/>
  <c r="CP89" i="2"/>
  <c r="CQ142" i="2"/>
  <c r="CH163" i="2"/>
  <c r="CG171" i="2"/>
  <c r="CI176" i="2"/>
  <c r="CH176" i="2"/>
  <c r="CR215" i="2"/>
  <c r="CQ215" i="2"/>
  <c r="CP215" i="2"/>
  <c r="CG272" i="2"/>
  <c r="CI290" i="2"/>
  <c r="CH290" i="2"/>
  <c r="CG30" i="2"/>
  <c r="CQ44" i="2"/>
  <c r="CG47" i="2"/>
  <c r="CH51" i="2"/>
  <c r="CQ57" i="2"/>
  <c r="CG85" i="2"/>
  <c r="CH98" i="2"/>
  <c r="CG121" i="2"/>
  <c r="CQ125" i="2"/>
  <c r="CH130" i="2"/>
  <c r="CH134" i="2"/>
  <c r="CI134" i="2"/>
  <c r="CG134" i="2"/>
  <c r="CR140" i="2"/>
  <c r="CH161" i="2"/>
  <c r="CH171" i="2"/>
  <c r="CG192" i="2"/>
  <c r="CR220" i="2"/>
  <c r="CQ220" i="2"/>
  <c r="CG228" i="2"/>
  <c r="CG290" i="2"/>
  <c r="CQ7" i="2"/>
  <c r="CR7" i="2"/>
  <c r="CQ25" i="2"/>
  <c r="CP25" i="2"/>
  <c r="CH30" i="2"/>
  <c r="CG168" i="2"/>
  <c r="CG182" i="2"/>
  <c r="CI192" i="2"/>
  <c r="CH230" i="2"/>
  <c r="CP258" i="2"/>
  <c r="CP268" i="2"/>
  <c r="CI272" i="2"/>
  <c r="CI276" i="2"/>
  <c r="CH276" i="2"/>
  <c r="CR282" i="2"/>
  <c r="CQ282" i="2"/>
  <c r="CP282" i="2"/>
  <c r="CP292" i="2"/>
  <c r="CG5" i="2"/>
  <c r="CQ36" i="2"/>
  <c r="CP36" i="2"/>
  <c r="CI58" i="2"/>
  <c r="CG58" i="2"/>
  <c r="CH58" i="2"/>
  <c r="CI64" i="2"/>
  <c r="CG64" i="2"/>
  <c r="CH64" i="2"/>
  <c r="CP85" i="2"/>
  <c r="CQ98" i="2"/>
  <c r="CR98" i="2"/>
  <c r="CR123" i="2"/>
  <c r="CQ123" i="2"/>
  <c r="CR130" i="2"/>
  <c r="CQ130" i="2"/>
  <c r="CP190" i="2"/>
  <c r="CR196" i="2"/>
  <c r="CQ196" i="2"/>
  <c r="CI207" i="2"/>
  <c r="CH24" i="2"/>
  <c r="CG24" i="2"/>
  <c r="CR43" i="2"/>
  <c r="CQ43" i="2"/>
  <c r="CP43" i="2"/>
  <c r="CR56" i="2"/>
  <c r="CQ56" i="2"/>
  <c r="CP56" i="2"/>
  <c r="CR62" i="2"/>
  <c r="CQ62" i="2"/>
  <c r="CP62" i="2"/>
  <c r="CI69" i="2"/>
  <c r="CH69" i="2"/>
  <c r="CG69" i="2"/>
  <c r="CI75" i="2"/>
  <c r="CH75" i="2"/>
  <c r="CG75" i="2"/>
  <c r="CQ88" i="2"/>
  <c r="CR121" i="2"/>
  <c r="CR139" i="2"/>
  <c r="CQ139" i="2"/>
  <c r="CP139" i="2"/>
  <c r="CH148" i="2"/>
  <c r="CR156" i="2"/>
  <c r="CQ156" i="2"/>
  <c r="CP156" i="2"/>
  <c r="CQ159" i="2"/>
  <c r="CQ186" i="2"/>
  <c r="CR233" i="2"/>
  <c r="CQ233" i="2"/>
  <c r="CQ238" i="2"/>
  <c r="CR238" i="2"/>
  <c r="CR251" i="2"/>
  <c r="CQ251" i="2"/>
  <c r="CR256" i="2"/>
  <c r="CI287" i="2"/>
  <c r="CH287" i="2"/>
  <c r="CH291" i="2"/>
  <c r="CI291" i="2"/>
  <c r="CG291" i="2"/>
  <c r="CH11" i="2"/>
  <c r="CG11" i="2"/>
  <c r="CQ100" i="2"/>
  <c r="CP100" i="2"/>
  <c r="CI122" i="2"/>
  <c r="CH122" i="2"/>
  <c r="CG122" i="2"/>
  <c r="CQ188" i="2"/>
  <c r="CR188" i="2"/>
  <c r="CP188" i="2"/>
  <c r="CR204" i="2"/>
  <c r="CQ204" i="2"/>
  <c r="CG210" i="2"/>
  <c r="CP221" i="2"/>
  <c r="CP236" i="2"/>
  <c r="CP244" i="2"/>
  <c r="CP252" i="2"/>
  <c r="CG257" i="2"/>
  <c r="CI259" i="2"/>
  <c r="CH259" i="2"/>
  <c r="CG259" i="2"/>
  <c r="CP261" i="2"/>
  <c r="CG267" i="2"/>
  <c r="CH280" i="2"/>
  <c r="CG282" i="2"/>
  <c r="CI11" i="2"/>
  <c r="CI1" i="2" s="1"/>
  <c r="CG23" i="2"/>
  <c r="CG27" i="2"/>
  <c r="CG1" i="2" s="1"/>
  <c r="CP32" i="2"/>
  <c r="CG36" i="2"/>
  <c r="CR41" i="2"/>
  <c r="CQ41" i="2"/>
  <c r="CR80" i="2"/>
  <c r="CQ80" i="2"/>
  <c r="CR100" i="2"/>
  <c r="CP114" i="2"/>
  <c r="CH120" i="2"/>
  <c r="CI129" i="2"/>
  <c r="CH129" i="2"/>
  <c r="CP136" i="2"/>
  <c r="CI178" i="2"/>
  <c r="CH178" i="2"/>
  <c r="CP204" i="2"/>
  <c r="CH210" i="2"/>
  <c r="CQ221" i="2"/>
  <c r="CG233" i="2"/>
  <c r="CQ236" i="2"/>
  <c r="CR241" i="2"/>
  <c r="CQ241" i="2"/>
  <c r="CQ244" i="2"/>
  <c r="CR252" i="2"/>
  <c r="CH257" i="2"/>
  <c r="CQ261" i="2"/>
  <c r="CP263" i="2"/>
  <c r="CH267" i="2"/>
  <c r="CP278" i="2"/>
  <c r="CI280" i="2"/>
  <c r="CH282" i="2"/>
  <c r="CP289" i="2"/>
  <c r="CI284" i="2"/>
  <c r="CH284" i="2"/>
  <c r="CQ30" i="2"/>
  <c r="CP30" i="2"/>
  <c r="CI141" i="2"/>
  <c r="CH141" i="2"/>
  <c r="CI162" i="2"/>
  <c r="CH162" i="2"/>
  <c r="CH29" i="2"/>
  <c r="CG29" i="2"/>
  <c r="CH99" i="2"/>
  <c r="CG99" i="2"/>
  <c r="CP118" i="2"/>
  <c r="CR118" i="2"/>
  <c r="CI120" i="2"/>
  <c r="CR151" i="2"/>
  <c r="CQ151" i="2"/>
  <c r="CP151" i="2"/>
  <c r="CS176" i="2"/>
  <c r="CR176" i="2"/>
  <c r="CI187" i="2"/>
  <c r="CH187" i="2"/>
  <c r="CG187" i="2"/>
  <c r="CI214" i="2"/>
  <c r="CH214" i="2"/>
  <c r="CG214" i="2"/>
  <c r="CR267" i="2"/>
  <c r="CQ267" i="2"/>
  <c r="CP267" i="2"/>
  <c r="CR278" i="2"/>
  <c r="CR291" i="2"/>
  <c r="CQ291" i="2"/>
  <c r="CQ115" i="2"/>
  <c r="CP120" i="2"/>
  <c r="CG126" i="2"/>
  <c r="CP132" i="2"/>
  <c r="CP137" i="2"/>
  <c r="CP144" i="2"/>
  <c r="CG150" i="2"/>
  <c r="CG155" i="2"/>
  <c r="CG159" i="2"/>
  <c r="CS171" i="2"/>
  <c r="CP174" i="2"/>
  <c r="CP192" i="2"/>
  <c r="CG208" i="2"/>
  <c r="CP212" i="2"/>
  <c r="CP217" i="2"/>
  <c r="CP224" i="2"/>
  <c r="CP226" i="2"/>
  <c r="CP230" i="2"/>
  <c r="CG245" i="2"/>
  <c r="CP248" i="2"/>
  <c r="CP253" i="2"/>
  <c r="CP257" i="2"/>
  <c r="CG261" i="2"/>
  <c r="CG266" i="2"/>
  <c r="CG281" i="2"/>
  <c r="CP293" i="2"/>
  <c r="CR115" i="2"/>
  <c r="CR132" i="2"/>
  <c r="CH150" i="2"/>
  <c r="CQ174" i="2"/>
  <c r="CQ212" i="2"/>
  <c r="CH261" i="2"/>
  <c r="CR293" i="2"/>
  <c r="CR1" i="2" l="1"/>
  <c r="CP1" i="2"/>
</calcChain>
</file>

<file path=xl/sharedStrings.xml><?xml version="1.0" encoding="utf-8"?>
<sst xmlns="http://schemas.openxmlformats.org/spreadsheetml/2006/main" count="4122" uniqueCount="782">
  <si>
    <t>3 Mile Radius</t>
  </si>
  <si>
    <t>5 Mile Radius</t>
  </si>
  <si>
    <t>7 Mile Radius</t>
  </si>
  <si>
    <t>Open Date</t>
  </si>
  <si>
    <t>Households (HH)</t>
  </si>
  <si>
    <t>HH Income &gt; $75K</t>
  </si>
  <si>
    <t>HH Income &gt; $100K</t>
  </si>
  <si>
    <t>HH Income &gt; $150K</t>
  </si>
  <si>
    <t>% HH Income &gt; $75K</t>
  </si>
  <si>
    <t>% HH Income &gt; $100K</t>
  </si>
  <si>
    <t>% HH Income &gt; $150K</t>
  </si>
  <si>
    <t>% HH Income $75K to $100K</t>
  </si>
  <si>
    <t>% HH Income $100K to $150K</t>
  </si>
  <si>
    <t>% HH Income $150K to $200K</t>
  </si>
  <si>
    <t>% HH Income &gt; $200K</t>
  </si>
  <si>
    <t>Median HH Income</t>
  </si>
  <si>
    <t>Average HH Income</t>
  </si>
  <si>
    <t>Average Net Worth</t>
  </si>
  <si>
    <t>2021 Total Population</t>
  </si>
  <si>
    <t>2026 Total Population</t>
  </si>
  <si>
    <t xml:space="preserve">% Population Growth </t>
  </si>
  <si>
    <t>% Population w/ Bachelor's Degree +</t>
  </si>
  <si>
    <t>% Hispanic</t>
  </si>
  <si>
    <t>% Asian</t>
  </si>
  <si>
    <t>% African American</t>
  </si>
  <si>
    <t>% Population Age 50-70</t>
  </si>
  <si>
    <t>101
DSW</t>
  </si>
  <si>
    <t>102
MSW</t>
  </si>
  <si>
    <t>201
Chantilly</t>
  </si>
  <si>
    <t>202
Springfield</t>
  </si>
  <si>
    <t>203
Alexandria</t>
  </si>
  <si>
    <t>204
Sterling</t>
  </si>
  <si>
    <t>205
McLean</t>
  </si>
  <si>
    <t>206
S. Richmond</t>
  </si>
  <si>
    <t>207
W. Richmond</t>
  </si>
  <si>
    <t>208
Fredericksburg</t>
  </si>
  <si>
    <t>209
Manassas</t>
  </si>
  <si>
    <t>210
VA Beach</t>
  </si>
  <si>
    <t>211
Chesapeake</t>
  </si>
  <si>
    <t>213
Norfolk</t>
  </si>
  <si>
    <t>214
Fairfax</t>
  </si>
  <si>
    <t>215
Gainesville (VA)</t>
  </si>
  <si>
    <t>216
Ballston</t>
  </si>
  <si>
    <t>217
Newport News</t>
  </si>
  <si>
    <t>218
Leesburg</t>
  </si>
  <si>
    <t>219
Reston</t>
  </si>
  <si>
    <t>220
Short Pump</t>
  </si>
  <si>
    <t>221
Potomac Yard</t>
  </si>
  <si>
    <t>301
CHW</t>
  </si>
  <si>
    <t>302
EGH - Essex Green</t>
  </si>
  <si>
    <t>303
River Edge</t>
  </si>
  <si>
    <t>304
Union</t>
  </si>
  <si>
    <t>305
Eatontown</t>
  </si>
  <si>
    <t>306
Totowa</t>
  </si>
  <si>
    <t>401
BEW - Beltway</t>
  </si>
  <si>
    <t>402
Corridor</t>
  </si>
  <si>
    <t>501
DFW</t>
  </si>
  <si>
    <t>502
Ft. Worth</t>
  </si>
  <si>
    <t>503
Del Norte</t>
  </si>
  <si>
    <t>504
The RIM</t>
  </si>
  <si>
    <t>505
Collin Creek</t>
  </si>
  <si>
    <t>506
Plano</t>
  </si>
  <si>
    <t>507
Lewisville</t>
  </si>
  <si>
    <t>508
S. Arlington</t>
  </si>
  <si>
    <t>509
Sunset Valley</t>
  </si>
  <si>
    <t>510
Lakeline</t>
  </si>
  <si>
    <t>511
Denton</t>
  </si>
  <si>
    <t>512
Willowbrook</t>
  </si>
  <si>
    <t>513
W. Plano</t>
  </si>
  <si>
    <t>514
Mueller</t>
  </si>
  <si>
    <t>515
Baybrook</t>
  </si>
  <si>
    <t>516
Galleria</t>
  </si>
  <si>
    <t>517
Memorial City</t>
  </si>
  <si>
    <t>518
W. University</t>
  </si>
  <si>
    <t>519
Cinco Ranch</t>
  </si>
  <si>
    <t>520
The Forum</t>
  </si>
  <si>
    <t>521
Allen</t>
  </si>
  <si>
    <t>522
Arboretum</t>
  </si>
  <si>
    <t>523
Alliance TC</t>
  </si>
  <si>
    <t>524
The Woodlands</t>
  </si>
  <si>
    <t>525
Copperfield</t>
  </si>
  <si>
    <t>526
Humble</t>
  </si>
  <si>
    <t>527
Sugar Land</t>
  </si>
  <si>
    <t>528
Euless</t>
  </si>
  <si>
    <t>529
Pearland</t>
  </si>
  <si>
    <t>530
The Heights</t>
  </si>
  <si>
    <t>531
Oak Lawn</t>
  </si>
  <si>
    <t>532
El Paso</t>
  </si>
  <si>
    <t>533
Corpus Christi</t>
  </si>
  <si>
    <t>534
Cedar Hill</t>
  </si>
  <si>
    <t>535
Las Colinas</t>
  </si>
  <si>
    <t>536
Bee Cave</t>
  </si>
  <si>
    <t>537
College Station</t>
  </si>
  <si>
    <t>538
McAllen</t>
  </si>
  <si>
    <t>602
Battleground</t>
  </si>
  <si>
    <t>603
Greensboro</t>
  </si>
  <si>
    <t>604
Winston Salem</t>
  </si>
  <si>
    <t>605
Park Towne Village</t>
  </si>
  <si>
    <t>606
Cary</t>
  </si>
  <si>
    <t>607
Brier Creek</t>
  </si>
  <si>
    <t>608
Triangle Plaza</t>
  </si>
  <si>
    <t>609
Birkdale</t>
  </si>
  <si>
    <t>610
Patterson Place</t>
  </si>
  <si>
    <t>611
Raleigh</t>
  </si>
  <si>
    <t>613
Promenade</t>
  </si>
  <si>
    <t>614
Concord</t>
  </si>
  <si>
    <t>615
Wilmington NC</t>
  </si>
  <si>
    <t>701
Columbia</t>
  </si>
  <si>
    <t>702
Charleston</t>
  </si>
  <si>
    <t>703
Greenville</t>
  </si>
  <si>
    <t>704
Myrtle Beach</t>
  </si>
  <si>
    <t>705
Mt. Pleasant</t>
  </si>
  <si>
    <t>801
Alpharetta</t>
  </si>
  <si>
    <t>802
Kennesaw</t>
  </si>
  <si>
    <t>803
Perimeter</t>
  </si>
  <si>
    <t>804
Brookhaven</t>
  </si>
  <si>
    <t>805
Akers Mill</t>
  </si>
  <si>
    <t>901
Tampa</t>
  </si>
  <si>
    <t>902
Ft. Myers</t>
  </si>
  <si>
    <t>903
Palm Beach Gardens</t>
  </si>
  <si>
    <t>904
Ft. Lauderdale</t>
  </si>
  <si>
    <t>905
Boca Raton</t>
  </si>
  <si>
    <t>906
Boynton Beach</t>
  </si>
  <si>
    <t>907
Jacksonville</t>
  </si>
  <si>
    <t>908
Naples</t>
  </si>
  <si>
    <t>909
Orlando</t>
  </si>
  <si>
    <t>910
Clearwater</t>
  </si>
  <si>
    <t>912
N. Miami</t>
  </si>
  <si>
    <t>913
St. Petersburg</t>
  </si>
  <si>
    <t>914
Sarasota</t>
  </si>
  <si>
    <t>915
Pembroke Pines</t>
  </si>
  <si>
    <t>916
Stuart</t>
  </si>
  <si>
    <t>917
Wellington</t>
  </si>
  <si>
    <t>918
Pinecrest</t>
  </si>
  <si>
    <t>919
Plantation</t>
  </si>
  <si>
    <t>920
Millenia</t>
  </si>
  <si>
    <t>921
Viera</t>
  </si>
  <si>
    <t>922
W. Kendall</t>
  </si>
  <si>
    <t>923
Daytona Beach</t>
  </si>
  <si>
    <t>924
S. Sarasota</t>
  </si>
  <si>
    <t>925
Altamonte</t>
  </si>
  <si>
    <t>926
Miami Beach</t>
  </si>
  <si>
    <t>927
Coral Springs</t>
  </si>
  <si>
    <t>928
Brandon</t>
  </si>
  <si>
    <t>929
Gainesville</t>
  </si>
  <si>
    <t>930
Estero</t>
  </si>
  <si>
    <t>931
Aventura</t>
  </si>
  <si>
    <t>932
Doral</t>
  </si>
  <si>
    <t>933
Lady Lake</t>
  </si>
  <si>
    <t>934
Wesley Chapel</t>
  </si>
  <si>
    <t>935
Port Charlotte</t>
  </si>
  <si>
    <t>936
Grove Central</t>
  </si>
  <si>
    <t>937
Pensacola</t>
  </si>
  <si>
    <t>938
Tallahassee</t>
  </si>
  <si>
    <t>1001
Tucson</t>
  </si>
  <si>
    <t>1002
Glendale</t>
  </si>
  <si>
    <t>1003
Desert Ridge</t>
  </si>
  <si>
    <t>1004
Tempe</t>
  </si>
  <si>
    <t>1005
Gilbert</t>
  </si>
  <si>
    <t>1006
Camelback</t>
  </si>
  <si>
    <t>1007
Scottsdale</t>
  </si>
  <si>
    <t>1008
Goodyear</t>
  </si>
  <si>
    <t>1009
Park Place Mall</t>
  </si>
  <si>
    <t>1010
Tempe Marketplace</t>
  </si>
  <si>
    <t>1011
Queen Creek</t>
  </si>
  <si>
    <t>1012
Prescott</t>
  </si>
  <si>
    <t>1013
Surprise</t>
  </si>
  <si>
    <t>1101
Roseville</t>
  </si>
  <si>
    <t>1102
Northridge</t>
  </si>
  <si>
    <t>1103
Tustin</t>
  </si>
  <si>
    <t>1104
Rancho Cucamonga</t>
  </si>
  <si>
    <t>1105
Brea</t>
  </si>
  <si>
    <t>1106
Redondo Beach</t>
  </si>
  <si>
    <t>1107
Thousand Oaks</t>
  </si>
  <si>
    <t>1108
Arden</t>
  </si>
  <si>
    <t>1109
Huntington Beach</t>
  </si>
  <si>
    <t>1110
Laguna Hills</t>
  </si>
  <si>
    <t>1111
Folsom</t>
  </si>
  <si>
    <t>1112
Palm Desert</t>
  </si>
  <si>
    <t>1113
Long Beach</t>
  </si>
  <si>
    <t>1114
Elk Grove</t>
  </si>
  <si>
    <t>1115
Fremont</t>
  </si>
  <si>
    <t>1116
Woodland Hills</t>
  </si>
  <si>
    <t>1117
Mountain View</t>
  </si>
  <si>
    <t>1118
Pleasant Hill</t>
  </si>
  <si>
    <t>1119
Fresno</t>
  </si>
  <si>
    <t>1120
Almaden Ranch</t>
  </si>
  <si>
    <t>1121
Pleasanton</t>
  </si>
  <si>
    <t>1122
Newport North</t>
  </si>
  <si>
    <t>1123
Temecula</t>
  </si>
  <si>
    <t>1124
San Ramon</t>
  </si>
  <si>
    <t>1125
Daly City</t>
  </si>
  <si>
    <t>1126
Pasadena</t>
  </si>
  <si>
    <t>1127
Stevens Creek</t>
  </si>
  <si>
    <t>1128
San Mateo</t>
  </si>
  <si>
    <t>1129
Mission Valley</t>
  </si>
  <si>
    <t>1130
Carmel Mountain</t>
  </si>
  <si>
    <t>1131
Monterey</t>
  </si>
  <si>
    <t>1132
San Dimas</t>
  </si>
  <si>
    <t>1133
Encinitas</t>
  </si>
  <si>
    <t>1134
Santa Rosa</t>
  </si>
  <si>
    <t>1135
San Fran - Harrison Street</t>
  </si>
  <si>
    <t>1136
Glendale</t>
  </si>
  <si>
    <t>1137
San Marcos</t>
  </si>
  <si>
    <t>1138
Valencia</t>
  </si>
  <si>
    <t>1201
Summerlin</t>
  </si>
  <si>
    <t>1202
Henderson</t>
  </si>
  <si>
    <t>1203
Reno</t>
  </si>
  <si>
    <t>1204
Centennial</t>
  </si>
  <si>
    <t>1205
S. Las Vegas Blvd</t>
  </si>
  <si>
    <t>1301
Cottonwood</t>
  </si>
  <si>
    <t>1302
Uptown</t>
  </si>
  <si>
    <t>1303
Santa Fe</t>
  </si>
  <si>
    <t>1401
Bellevue</t>
  </si>
  <si>
    <t>1402
Southcenter</t>
  </si>
  <si>
    <t>1403
Northpointe</t>
  </si>
  <si>
    <t>1404
Vancouver</t>
  </si>
  <si>
    <t>1405
Lynnwood</t>
  </si>
  <si>
    <t>1406
Olympia</t>
  </si>
  <si>
    <t>1407
Federal Way</t>
  </si>
  <si>
    <t>1408
Spokane Valley</t>
  </si>
  <si>
    <t>1409
Northgate</t>
  </si>
  <si>
    <t>1410
Puyallup</t>
  </si>
  <si>
    <t>1411
Interbay</t>
  </si>
  <si>
    <t>1412
Silverdale</t>
  </si>
  <si>
    <t>1413
Tacoma</t>
  </si>
  <si>
    <t>1501
Norwalk</t>
  </si>
  <si>
    <t>1502
Manchester</t>
  </si>
  <si>
    <t>1503
Milford</t>
  </si>
  <si>
    <t>1504
W. Hartford</t>
  </si>
  <si>
    <t>1601
Bloomington</t>
  </si>
  <si>
    <t>1602
Roseville</t>
  </si>
  <si>
    <t>1603
Burnsville</t>
  </si>
  <si>
    <t>1604
Woodbury</t>
  </si>
  <si>
    <t>1605
Maple Grove</t>
  </si>
  <si>
    <t>1606
Chanhassen</t>
  </si>
  <si>
    <t>1607
Eagan</t>
  </si>
  <si>
    <t>1608
Minnetonka</t>
  </si>
  <si>
    <t>1609
Coon Rapids</t>
  </si>
  <si>
    <t>1701
Natick</t>
  </si>
  <si>
    <t>1702
Everett</t>
  </si>
  <si>
    <t>1703
Shrewsbury</t>
  </si>
  <si>
    <t>1704
Danvers</t>
  </si>
  <si>
    <t>1705
Burlington</t>
  </si>
  <si>
    <t>1706
Braintree</t>
  </si>
  <si>
    <t>1707
South Bay</t>
  </si>
  <si>
    <t>1708
Dedham</t>
  </si>
  <si>
    <t>1801
Town &amp; Country</t>
  </si>
  <si>
    <t>1802
Brentwood</t>
  </si>
  <si>
    <t>1803
Chesterfield</t>
  </si>
  <si>
    <t>1804
O'Fallon</t>
  </si>
  <si>
    <t>1901
Brookfield</t>
  </si>
  <si>
    <t>1902
W. Madison</t>
  </si>
  <si>
    <t>1903
Greenfield</t>
  </si>
  <si>
    <t>1904
Bayshore</t>
  </si>
  <si>
    <t>2001
Knoxville</t>
  </si>
  <si>
    <t>2002
Brentwood</t>
  </si>
  <si>
    <t>2101
Paddock Shops (Louisville)</t>
  </si>
  <si>
    <t>2102
Lexington Green</t>
  </si>
  <si>
    <t>2103
St. Matthews</t>
  </si>
  <si>
    <t>2104
Sir Barton</t>
  </si>
  <si>
    <t>2201
Westbury</t>
  </si>
  <si>
    <t>2251
Westbury</t>
  </si>
  <si>
    <t>2301
Denver</t>
  </si>
  <si>
    <t>2302
Centennial</t>
  </si>
  <si>
    <t>2303
Lakewood</t>
  </si>
  <si>
    <t>2401
Fairview Heights</t>
  </si>
  <si>
    <t>2501
Metairie</t>
  </si>
  <si>
    <t>2502
Lafayette</t>
  </si>
  <si>
    <t>2503
Mandeville</t>
  </si>
  <si>
    <t>2504
Baton Rouge</t>
  </si>
  <si>
    <t>2601
Grand Rapids</t>
  </si>
  <si>
    <t>2603
Ann Arbor</t>
  </si>
  <si>
    <t>2604
Sterling Heights</t>
  </si>
  <si>
    <t>2701
Nora-86th Street</t>
  </si>
  <si>
    <t>2702
Greenwood</t>
  </si>
  <si>
    <t>2703
Carmel</t>
  </si>
  <si>
    <t>2704
Noblesville</t>
  </si>
  <si>
    <t>State</t>
  </si>
  <si>
    <t>Store Name</t>
  </si>
  <si>
    <t>Store Number</t>
  </si>
  <si>
    <t>Price Zone/Market</t>
  </si>
  <si>
    <t>Flagship</t>
  </si>
  <si>
    <t>Asian Set</t>
  </si>
  <si>
    <t>CCB 1st Growth Equivalency</t>
  </si>
  <si>
    <t>Store Selling Sq Ft</t>
  </si>
  <si>
    <t>Store Total Sq Ft</t>
  </si>
  <si>
    <t>DE</t>
  </si>
  <si>
    <t>VA</t>
  </si>
  <si>
    <t>NJ</t>
  </si>
  <si>
    <t>MD</t>
  </si>
  <si>
    <t>TX</t>
  </si>
  <si>
    <t>NC</t>
  </si>
  <si>
    <t>SC</t>
  </si>
  <si>
    <t>GA</t>
  </si>
  <si>
    <t>FL</t>
  </si>
  <si>
    <t>AZ</t>
  </si>
  <si>
    <t>CA</t>
  </si>
  <si>
    <t>NV</t>
  </si>
  <si>
    <t>NM</t>
  </si>
  <si>
    <t>WA</t>
  </si>
  <si>
    <t>CT</t>
  </si>
  <si>
    <t>MN</t>
  </si>
  <si>
    <t>MA</t>
  </si>
  <si>
    <t>MO</t>
  </si>
  <si>
    <t>WI</t>
  </si>
  <si>
    <t>TN</t>
  </si>
  <si>
    <t>KY</t>
  </si>
  <si>
    <t>NY</t>
  </si>
  <si>
    <t>CO</t>
  </si>
  <si>
    <t>IL</t>
  </si>
  <si>
    <t>LA</t>
  </si>
  <si>
    <t>MI</t>
  </si>
  <si>
    <t>IN</t>
  </si>
  <si>
    <t>Store Address</t>
  </si>
  <si>
    <t>Northtowne Plaza
691 Naamans Road
Claymont, DE 19703</t>
  </si>
  <si>
    <t>Milltown Shopping Center
1325 McKennans Church Road
Wilmington, DE 19808</t>
  </si>
  <si>
    <t>Tower Shopping Center
6801 Bland Street
Springfield, VA 22150</t>
  </si>
  <si>
    <t>Plaza at Landmark
6240 Little River Turnpike
Alexandria, VA 22312</t>
  </si>
  <si>
    <t>Potomac Run Plaza
46301 Potomac Run Plaza
Sterling, VA 20164</t>
  </si>
  <si>
    <t>McLean Shopping Center
1451 Chain Bridge Road
McLean, VA 22101</t>
  </si>
  <si>
    <t>Robious Hall Shopping Center
10036 Robious Road
Richmond, VA 23235</t>
  </si>
  <si>
    <t>Westland Plaza Shopping Center
8099 West Broad Street
Richmond, VA 23294</t>
  </si>
  <si>
    <t>Central Park
1641 Carl D. Silver Parkway
Fredericksburg, VA 22401</t>
  </si>
  <si>
    <t>Westgate Plaza Shopping Center
8103 Sudley Road
Manassas, VA 20109</t>
  </si>
  <si>
    <t>Marketplace at Hilltop
1744 Laskin Rd.
Virginia Beach, VA 23454</t>
  </si>
  <si>
    <t>21 West
536 West 21st Street
Norfolk, VA 23517</t>
  </si>
  <si>
    <t>Pickett Shopping Center
9484 Main Street
Fairfax, VA 22031</t>
  </si>
  <si>
    <t>Virginia Gateway
5105 Wellington Rd
Gainesville, VA 20155</t>
  </si>
  <si>
    <t>Ballston-Glebe &amp; Wilson
800 N. Glebe Rd.
Arlington, VA 22203</t>
  </si>
  <si>
    <t>Jefferson Commons
12551 Jefferson Ave, Suite 173
Newport News, VA 23602</t>
  </si>
  <si>
    <t>Battlefield Shopping Center
1063 Edwards Ferry Rd NE
Leesburg, VA 20176</t>
  </si>
  <si>
    <t>Plaza America Shopping Center
11620 Plaza America Drive
Reston, VA 20190</t>
  </si>
  <si>
    <t>Unit 24 Short Pump Crossing
3500 Pump Road
Henrico, VA 23233</t>
  </si>
  <si>
    <t>Essex Green Shopping Center
495 Prospect Ave.
West Orange, NJ 07052</t>
  </si>
  <si>
    <t>River Edge Crossings
1001 Main St.
River Edge, NJ 07661</t>
  </si>
  <si>
    <t>Union 22
950 Springfield Road
Union, NJ 07083</t>
  </si>
  <si>
    <t>Beltway
8727 Loch Raven Blvd
Towson, MD 21286</t>
  </si>
  <si>
    <t>Laurel Corridor
3335 Corridor Marketplace
Laurel, MD 20724</t>
  </si>
  <si>
    <t>Best Buy Plaza
9350 N. Central Expressway
Dallas, TX 75231</t>
  </si>
  <si>
    <t>Hulen Fashion Center
5200 S Hulen St
Fort Worth, TX 76132</t>
  </si>
  <si>
    <t>La Plaza Del Norte Shopping Center
125 NW Loop 410 Ste260
San Antonio, TX 78216</t>
  </si>
  <si>
    <t>The Rim
17530 La Cantera Pkwy Ste103
San Antonio, TX 78257</t>
  </si>
  <si>
    <t>Collin Creek Village
721 N Central EXPY Ste200
Plano, TX 75075</t>
  </si>
  <si>
    <t>Preston Village Shopping Center
8700 Preston Rd Ste113
Plano, TX 75024</t>
  </si>
  <si>
    <t>The Highlands Shopping Center
981 Interstate 20 W.
Arlington, TX 76017</t>
  </si>
  <si>
    <t>Sunset Valley Village
5601 Brodie Lane Suite800
Sunset Valley, TX 78745</t>
  </si>
  <si>
    <t>Lakeline Plaza
11066 Pecan Park Blvd Ste117
Cedar Park, TX 78613</t>
  </si>
  <si>
    <t>Denton Crossing
1800 South Loop 288, Suite370
Denton, TX 76205</t>
  </si>
  <si>
    <t>The Commons at Willowbrook
7640 Cypress Creek Pkwy
Houston, TX 77070</t>
  </si>
  <si>
    <t>Shops at Park Place
6400 W Plano Pkwy
Plano, TX 75093</t>
  </si>
  <si>
    <t>Mueller Regional Center
1201 Barbara Jordan Blvd Suite900
Austin, TX 78723</t>
  </si>
  <si>
    <t>Baybrook Power Center
18740 Gulf Freeway
Friendswood, TX 77546</t>
  </si>
  <si>
    <t>Tanglewood Shopping Center
5016 San Felipe St
Houston, TX 77056</t>
  </si>
  <si>
    <t>Lantern Lane
12516 Memorial Dr
Houston, TX 77024</t>
  </si>
  <si>
    <t>Holcombe Shopping Center
2617 W. Holcombe Blvd
Houston, TX 77025</t>
  </si>
  <si>
    <t>Shops at Bella Terra
5472 W Grand Parkway South
Richmond, TX 77406</t>
  </si>
  <si>
    <t>The Forum Shops at Olympia Parkway
8356 Agora Parkway
Selma, TX 78154</t>
  </si>
  <si>
    <t>The Village at Allen
190 East Stacy Road
Allen, TX 75002</t>
  </si>
  <si>
    <t>Arboretum Village
10001 Research Blvd Suite300
Austin, TX 78759</t>
  </si>
  <si>
    <t>Alliance Town Center
3101 Texas Sage Trail
Fort Worth, TX 76177</t>
  </si>
  <si>
    <t>Lake Woodlands Crossing
1900 Lake Woodlands Drive, Suite900
The Woodlands, TX 77380</t>
  </si>
  <si>
    <t>Copperfield Village
7055 Hwy 6 N
Houston, TX 77095</t>
  </si>
  <si>
    <t>Deerbrook Plaza
9805 FM 1960 Bypass Road West
Humble, TX 77338</t>
  </si>
  <si>
    <t>Colony Square
16762-B Southwest Freeway
Sugar Land, TX 77479</t>
  </si>
  <si>
    <t>Glade Parks Town Center
2501 Rio Grande Blvd.
Euless, TX 76039</t>
  </si>
  <si>
    <t>Silverlake Village Shopping Center
10322 Broadway Street
Pearland, TX 77584</t>
  </si>
  <si>
    <t>Lower Heights District
2857 Katy Freeway, Suite100
Houston, TX 77007</t>
  </si>
  <si>
    <t xml:space="preserve">
3810 Congress Ave.
Dallas, TX 75219</t>
  </si>
  <si>
    <t>The Fountains at Farah
8889 Gateway Blvd West BuildingC620
El Paso, TX 79925</t>
  </si>
  <si>
    <t>Moore Plaza Shopping Center
5425 S. Padre Island Dr. #136C &amp; 136D
Corpus Christi, TX 78411</t>
  </si>
  <si>
    <t>Plaza at Cedar Hill
428 E FM 1382
Cedar Hill, TX 75104</t>
  </si>
  <si>
    <t>MacArthur Crossing
7730 N. MacArthur Blvd. SuiteA
Irving, TX 75063</t>
  </si>
  <si>
    <t>Hill Country Galleria
3925 Market St.
Bee Cave, TX 78738</t>
  </si>
  <si>
    <t>Battleground Square Shopping Center
2976 Battleground Avenue (North)
Greensboro, NC 27408</t>
  </si>
  <si>
    <t>Oakwood Square Shopping Center
3503 W Gate City Blvd.
Greensboro, NC 27407</t>
  </si>
  <si>
    <t>Stratford Galleria
551 South Stratford Road
Winston-Salem, NC 27103</t>
  </si>
  <si>
    <t>Park Towne Village (Myers Park)
1600 East Woodlawn Road
Charlotte, NC 28209</t>
  </si>
  <si>
    <t>Crossroads Shopping Center
333 Crossroads Blvd
Cary, NC 27518</t>
  </si>
  <si>
    <t>Brier Creek Shopping Center
8381 Brier Creek Parkway
Raleigh, NC 27617</t>
  </si>
  <si>
    <t>Triangle Plaza
6105 Capital Blvd
Raleigh, NC 27616</t>
  </si>
  <si>
    <t>Patterson Place
3615 Witherspoon Blvd
Durham, NC 27707</t>
  </si>
  <si>
    <t>North Hills
4421 Six Forks Road Suite 111
Raleigh, NC 27609</t>
  </si>
  <si>
    <t>Promenade on Providence
5341 Ballantyne Commons Pkwy. S. 100
Charlotte, NC 28277</t>
  </si>
  <si>
    <t>Pavilion at Kings Grant
8054 Concord Mills Blvd.
Concord, NC 28027</t>
  </si>
  <si>
    <t>The Harbison Center
275-C Harbison Blvd
Columbia, SC 29212</t>
  </si>
  <si>
    <t>Crossroads Plaza
1820 Ashley River Road
Charleston, SC 29407</t>
  </si>
  <si>
    <t>Shoppes at Greenridge
1125 Woodruff Rd. Suite 300
Greenville, SC 29607</t>
  </si>
  <si>
    <t>501 Commons
550 Seaboard Street
Myrtle Beach, SC 29577</t>
  </si>
  <si>
    <t>Wando Crossing
1501 N Highway 17
Mount Pleasant, SC 29464</t>
  </si>
  <si>
    <t>Barrett Pavilion I
740 Ernest W. Barrett Pkwy. Ste 500
Kennesaw, GA 30144</t>
  </si>
  <si>
    <t>Perimeter Square Center
124 Perimeter Center West
Atlanta, GA 30346</t>
  </si>
  <si>
    <t>Brookhaven Plaza
3954A Peachtree Rd. NE
Brookhaven, GA 30319</t>
  </si>
  <si>
    <t>Akers Mill Square
2955 Cobb Parkway SE
Atlanta, GA 30339</t>
  </si>
  <si>
    <t>Walter's Crossing
1720 North Dale Mabry Highway
Tampa, FL 33607</t>
  </si>
  <si>
    <t>Market Square Shopping Center
13711 S. Tamiami Trail
Fort Myers, FL 33912</t>
  </si>
  <si>
    <t>Legacy Place
11221 Legacy Avenue
Palm Beach Gardens, FL 33410</t>
  </si>
  <si>
    <t>The Harbor Shops Plaza
1906 Cordova Road
Fort Lauderdale, FL 33316</t>
  </si>
  <si>
    <t>Shops at Boca Center
5050 Town Center Circle
Boca Raton, FL 33486</t>
  </si>
  <si>
    <t>Boynton Town Center
850 North Congress Ave.
Boynton Beach, FL 33426</t>
  </si>
  <si>
    <t>St. John's Town Center North
4413 Town Center Parkway 300
Jacksonville, FL 32246</t>
  </si>
  <si>
    <t>Colonial Plaza
2712 East Colonial Drive
Orlando, FL 32803</t>
  </si>
  <si>
    <t>Courtyard at Countryside
2528 State Road 580
Clearwater, FL 33761</t>
  </si>
  <si>
    <t>Arena Shops
14750 Biscayne Boulevard
North Miami, FL 33181</t>
  </si>
  <si>
    <t>Park Street Retail Center
4880 Park St N
St Petersburg, FL 33709</t>
  </si>
  <si>
    <t>University Center
8539 Cooper Creek Blvd.
University Park, FL 34201</t>
  </si>
  <si>
    <t>Fountain Square
15980 Pines Blvd.
Pembroke Pines, FL 33027</t>
  </si>
  <si>
    <t>Vista Plaza
2550 NW Federal Highway
Stuart, FL 34994</t>
  </si>
  <si>
    <t>Shoppes at Isla Verde
960 S State Road 7
Village of Wellington, FL 33414</t>
  </si>
  <si>
    <t>Pinecrest-Miami
8851 SW 136th Street
Miami, FL 33176</t>
  </si>
  <si>
    <t>The Fountains Shopping Center
801 S. University Dr. Suite G100
Plantation, FL 33324</t>
  </si>
  <si>
    <t>Millenia Plaza
4625 Millenia Plaza Way
Orlando, FL 32839</t>
  </si>
  <si>
    <t>Viera Shops
2302 Harnett Drive
Melbourne, FL 32940</t>
  </si>
  <si>
    <t>The Palms at Town and Country
11960 Mills Dr.
Miami, FL 33183</t>
  </si>
  <si>
    <t>International Speedway Square
2500 W International Speedway Blvd
Daytona Beach, FL 32114</t>
  </si>
  <si>
    <t>Pelican Plaza
8280 S Tamiami Trail
Sarasota, FL 34238</t>
  </si>
  <si>
    <t>Marketplace at Altamonte
160 E Altamonte DR
Altamonte Springs, FL 32701</t>
  </si>
  <si>
    <t>Fifth &amp; Alton
1139 5th St
Miami Beach, FL 33139</t>
  </si>
  <si>
    <t>Royal University Plaza
2564 N. University Drive
Coral Springs, FL 33065</t>
  </si>
  <si>
    <t>Lake Brandon Plaza
11211 Causeway Blvd
Brandon, FL 33511</t>
  </si>
  <si>
    <t>Butler Plaza North
3965 Plaza Blvd Suite 10
Gainesville, FL 32608</t>
  </si>
  <si>
    <t>Coconut Point Center
8012 Mediterranean Drive Suite 101
Estero, FL 33928</t>
  </si>
  <si>
    <t>Biscayne Retail Center
19925 Biscayne Blvd.
Miami, FL 33180</t>
  </si>
  <si>
    <t>Lady Lake Commons
641 N. Highway 27-441
Lady Lake, FL 32159</t>
  </si>
  <si>
    <t>Cypress Creek Town Center
25535 Sierra Center Blvd.
Lutz, FL 33559</t>
  </si>
  <si>
    <t>The Corner
4370 North Oracle Rd.
Tucson, AZ 85705</t>
  </si>
  <si>
    <t>Arrowhead Gateway
17550 North 75th Avenue
Glendale, AZ 85308</t>
  </si>
  <si>
    <t>Desert Ridge Marketplace
21001 N Tatum Blvd. Suite 12
Phoenix, AZ 85050</t>
  </si>
  <si>
    <t>Emerald Center
8544 South Emerald Dr.
Tempe, AZ 85284</t>
  </si>
  <si>
    <t>San Tan Village
2224 E. Williams Field Rd.
Gilbert, AZ 85295</t>
  </si>
  <si>
    <t>Camelback Center
1670 E. Camelback Rd.
Phoenix, AZ 85016</t>
  </si>
  <si>
    <t>Total Wine and More Center
10320 North Scottsdale Rd. Ste 110
Scottsdale, AZ 85253</t>
  </si>
  <si>
    <t>Palm Valley Pavilions West
1416 N. Litchfield Rd
Goodyear, AZ 85395</t>
  </si>
  <si>
    <t>Park Place Mall
5870 E Broadway Blvd Suite 448
Tucson, AZ 85711</t>
  </si>
  <si>
    <t>Tempe Marketplace
1900 E Rio Salado Pkwy Ste120
Tempe, AZ 85281</t>
  </si>
  <si>
    <t>Queen Creek Marketplace
21072 South Ellsworth Loop Rd.
Queen Creek, AZ 85142</t>
  </si>
  <si>
    <t>Fairway Commons Shopping Center
5791 Five Star Boulevard
Roseville, CA 95678</t>
  </si>
  <si>
    <t>Nordhoff Plaza
19336 Nordhoff St.
Northridge, CA 91324</t>
  </si>
  <si>
    <t>The Market Place
2952 El Camino Real
Tustin, CA 92782</t>
  </si>
  <si>
    <t>Foothill Crossing
8201 Day Creek Blvd.
Rancho Cucamonga, CA 91739</t>
  </si>
  <si>
    <t>Brea Plaza Shopping Center
471 South Associated Road
Brea, CA 92821</t>
  </si>
  <si>
    <t>South Bay Marketplace
1505 Hawthorne Blvd.
Redondo Beach, CA 90278</t>
  </si>
  <si>
    <t>Best Buy Plaza
394 N. Moorpark Road
Thousand Oaks, CA 91360</t>
  </si>
  <si>
    <t>Sacramento- Arden Way and Howe Ave.
2121 Arden Way
Sacramento, CA 95825</t>
  </si>
  <si>
    <t>Beach Blvd &amp; Stark
16272 Beach Blvd
Huntington Beach, CA 92647</t>
  </si>
  <si>
    <t>Laguna Hills
24001 El Toro Road Ste B
Laguna Hills, CA 92653</t>
  </si>
  <si>
    <t>Broadstone Plaza
2765 E. Bidwell St.
Folsom, CA 95630</t>
  </si>
  <si>
    <t>Desert Crossing Shopping Center
72339 Highway 111
Palm Desert, CA 92260</t>
  </si>
  <si>
    <t>Laguna Crossroads
7707 Laguna Blvd. Suite 140
Elk Grove, CA 95758</t>
  </si>
  <si>
    <t>Pacific Commons
43484 Boscell Road
Fremont, CA 94538</t>
  </si>
  <si>
    <t>The Village at Topanga
6232 Topanga Canyon Blvd, Ste 1380
Woodland Hills, CA 91367</t>
  </si>
  <si>
    <t>Rengstorff Center
1010 North Rengstorff Ave
Mountain View, CA 94043</t>
  </si>
  <si>
    <t>Pleasant Hill Marketplace
3250 Buskirk Ave
Pleasant Hill, CA 94523</t>
  </si>
  <si>
    <t>Villaggio Shopping Center
7925 N. Blackstone Ave
Fresno, CA 93720</t>
  </si>
  <si>
    <t>Almaden Ranch
5140 Cherry Ave Suite 30
San Jose, CA 95118</t>
  </si>
  <si>
    <t>Rose Pavilion
4225 Rosewood Dr
Pleasanton, CA 94588</t>
  </si>
  <si>
    <t>Newport North Shopping Center
1280 Bison Ave.
Newport Beach, CA 92660</t>
  </si>
  <si>
    <t>Commons at Temecula
40432 Winchester Rd
Temecula, CA 92591</t>
  </si>
  <si>
    <t>Crow Canyon Commons
3161 Crow Canyon Place
San Ramon, CA 94583</t>
  </si>
  <si>
    <t>Gellert Marketplace
311 Gellert Blvd.
Daly City, CA 94015</t>
  </si>
  <si>
    <t>Pasadena
721 East Colorado Blvd
Pasadena, CA 91101</t>
  </si>
  <si>
    <t>Stevens Creek Central
5170 Stevens Creek Blvd.
San Jose, CA 95129</t>
  </si>
  <si>
    <t>Bridgepointe Shopping Center
2250 Bridgepointe Pkwy
San Mateo, CA 94404</t>
  </si>
  <si>
    <t>Boca Park
730 S. Rampart Blvd.
Las Vegas, NV 89145</t>
  </si>
  <si>
    <t>Stephanie Street Power Center
501 N. Stephanie Street
Henderson, NV 89014</t>
  </si>
  <si>
    <t>The Commons
6671 S. Virginia Street
Reno, NV 89511</t>
  </si>
  <si>
    <t>Centennial Gateway East
 5720 Centennial Center Blvd
Las Vegas, NV 89149</t>
  </si>
  <si>
    <t>Town Square Las Vegas
6885 S. Las Vegas Blvd
Las Vegas, NV 89119</t>
  </si>
  <si>
    <t>Cottonwood Corners
10420 Coors Bypass NW
Albuquerque, NM 87114</t>
  </si>
  <si>
    <t>Albuquerque-Uptown
6701 Uptown Blvd NE
Albuquerque, NM 87110</t>
  </si>
  <si>
    <t>Unit 11 Plaza Santa Fe II
3529 Zafarano Dr.
Santa Fe, NM 87507</t>
  </si>
  <si>
    <t>Wilburton Crossing
699 120th Ave NE Unit B
Bellevue, WA 98005</t>
  </si>
  <si>
    <t>Segale Center
300 Andover Park West Ste. 500
Tukwila, WA 98188</t>
  </si>
  <si>
    <t>Northpointe Shopping Center
9980 N Newport HWY
Spokane, WA 99218</t>
  </si>
  <si>
    <t>Vancouver Village Shopping Center
4816 NE Thurston Way
Vancouver, WA 98662</t>
  </si>
  <si>
    <t>Alderwood Crossing Shopping Center
2701 184th ST SW STE 108B
Lynnwood, WA 98037</t>
  </si>
  <si>
    <t>Capital Mall
625 Black Lake Blvd SW STE 405
Olympia, WA 98502</t>
  </si>
  <si>
    <t>Celebration Shopping Center
32095 Pacific Hwy S
Federal Way, WA 98003</t>
  </si>
  <si>
    <t>Evergreen Crossing Shopping Center
13802 E Indiana Ave
Spokane, WA 99216</t>
  </si>
  <si>
    <t>Northgate-Seattle
525 NE Northgate Way STE 5
Seattle, WA 98125</t>
  </si>
  <si>
    <t>South Hill Village
120 31st Ave SE Unit E
Puyallup, WA 98374</t>
  </si>
  <si>
    <t>Port 106 Interbay Center
1550 West Armory Way
Seattle, WA 98119</t>
  </si>
  <si>
    <t>The Trails at Silverdale
11066 Pacific Crest Place NW  A110
Silverdale, WA 98383</t>
  </si>
  <si>
    <t>Main Avenue Shopping Center
380 Main Ave.
Norwalk, CT 06851</t>
  </si>
  <si>
    <t>Plaza at Buckland Hills
1480 Pleasant Valley Rd
 Manchester, CT 06042</t>
  </si>
  <si>
    <t>Corbin’s Corner
1451 New Britain Avenue
West Hartford, CT 06110</t>
  </si>
  <si>
    <t>Rosedale Marketplace Shopping Center
2401 Fairview Ave N Ste 105
Roseville, MN 55113</t>
  </si>
  <si>
    <t>Burnhaven Shopping Center
820 County Rd 42 W
Burnsville, MN 55337</t>
  </si>
  <si>
    <t>Woodbury Village Shopping Center
7150 Valley Creek PLZ STE 210
Woodbury, MN 55125</t>
  </si>
  <si>
    <t>Arbor Lakes Retail Center
12795 Elm Creek Boulevard N
 Maple Grove, MN 55369</t>
  </si>
  <si>
    <t>Village on the Ponds
510 Lake Drive
Chanhassen, MN 55317</t>
  </si>
  <si>
    <t>Central Park Commons
1440 Central Park Commons Drive
Eagan, MN 55121</t>
  </si>
  <si>
    <t>Ridgedale Festival Shopping Center
14200 Wayzata Blvd
Minnetonka, MN 55305</t>
  </si>
  <si>
    <t>Cloverleaf Marketplace
321 Speen Street
Natick, MA 01760</t>
  </si>
  <si>
    <t>Gateway Center
11 Mystic View Rd
Everett, MA 02149</t>
  </si>
  <si>
    <t>Quinsigamond Plaza
87 Boston Turnpike
Shrewsbury, MA 01545</t>
  </si>
  <si>
    <t>Mall at Liberty Tree
100 Independence Way
Danvers, MA 01923</t>
  </si>
  <si>
    <t>Burlington Crossroads Shopping Center
34 Cambridge Street
Burlington, MA 01803</t>
  </si>
  <si>
    <t>Ivory Plaza
180 Pearl Street
Braintree, MA 02184</t>
  </si>
  <si>
    <t>Manchester Meadows
13887 Manchester Road
Ballwin, MO 63011</t>
  </si>
  <si>
    <t>The Promenade at Brentwood
90 Brentwood Promenade Ct
Brentwood, MO 63144</t>
  </si>
  <si>
    <t>Clarkson Square
1781 Clarkson Rd
Chesterfield, MO 63017</t>
  </si>
  <si>
    <t>Calhoun Crossing
17300 W Bluemound Rd Suite 200
Brookfield, WI 53045</t>
  </si>
  <si>
    <t>West Towne Mall
400 West Towne Mall
Madison, WI 53719</t>
  </si>
  <si>
    <t>84 South
8700 West Sura Lane
Greenfield, WI 53228</t>
  </si>
  <si>
    <t>Bayshore Town Center
5850 N. Bayshore Dr.
Glendale, WI 53217</t>
  </si>
  <si>
    <t>Pinnacle at Turkey Creek
11370 Parkside Dr., Suite 2400
Knoxville, TN 37934</t>
  </si>
  <si>
    <t>Paddock Shops
4320 Summit Plaza Drive Ste 5
Louisville, KY 40241</t>
  </si>
  <si>
    <t>The Mall at Lexington Green
161 Lexington Green Circle
Lexington, KY 40503</t>
  </si>
  <si>
    <t>St. Matthews
5067 Shelbyville Rd.
Louisville, KY 40207</t>
  </si>
  <si>
    <t>Westbury Plaza
1230 Old Country Road Suite A
Westbury, NY 11590</t>
  </si>
  <si>
    <t>Westbury Plaza
1230 Old Country Road Suite B
Westbury, NY 11590</t>
  </si>
  <si>
    <t>University Park
3905 East Evans Ave.
Denver, CO 80210</t>
  </si>
  <si>
    <t>Centennial Promenade
9505 E. County Line Rd.
Centennial, CO 80112</t>
  </si>
  <si>
    <t>Lincoln Place Shopping Center
5905 N. Illinois St.
Fairview Heights, IL 62208</t>
  </si>
  <si>
    <t xml:space="preserve">
3780 Veterans Memorial Blvd
Metairie, LA 70002</t>
  </si>
  <si>
    <t>River Marketplace
4407 Ambassador Caffery Pkwy
Lafayette, LA 70508</t>
  </si>
  <si>
    <t>Northlake Shopping Center
1882 N. Causeway Blvd.
Mandeville, LA 70471</t>
  </si>
  <si>
    <t>Nora Corners Shopping Center
1460 E. 86th St.
Indianapolis, IN 46240</t>
  </si>
  <si>
    <t>X</t>
  </si>
  <si>
    <t>Delaware</t>
  </si>
  <si>
    <t>N Virginia</t>
  </si>
  <si>
    <t>Richmond</t>
  </si>
  <si>
    <t>Tidewater</t>
  </si>
  <si>
    <t>CHW/304</t>
  </si>
  <si>
    <t>EGH/303</t>
  </si>
  <si>
    <t>ETN/TTW</t>
  </si>
  <si>
    <t>BEW</t>
  </si>
  <si>
    <t>CFW</t>
  </si>
  <si>
    <t>Dallas</t>
  </si>
  <si>
    <t>San Antonio</t>
  </si>
  <si>
    <t>Austin</t>
  </si>
  <si>
    <t>Houston</t>
  </si>
  <si>
    <t>El Paso</t>
  </si>
  <si>
    <t>Corpus Christi</t>
  </si>
  <si>
    <t>Greensboro</t>
  </si>
  <si>
    <t>Charlotte</t>
  </si>
  <si>
    <t>Raleigh</t>
  </si>
  <si>
    <t>Columbia</t>
  </si>
  <si>
    <t>Charleston</t>
  </si>
  <si>
    <t>Greenville</t>
  </si>
  <si>
    <t>Myrtle Beach</t>
  </si>
  <si>
    <t>Georgia</t>
  </si>
  <si>
    <t>TPA</t>
  </si>
  <si>
    <t>Ft. Myers</t>
  </si>
  <si>
    <t>Fort Lauderdale</t>
  </si>
  <si>
    <t>Jacksonville</t>
  </si>
  <si>
    <t>Orlando</t>
  </si>
  <si>
    <t>Viera</t>
  </si>
  <si>
    <t>Daytona</t>
  </si>
  <si>
    <t>Gainesville</t>
  </si>
  <si>
    <t>Phoenix</t>
  </si>
  <si>
    <t>Sacramento</t>
  </si>
  <si>
    <t>Orange County</t>
  </si>
  <si>
    <t>Palm Desert</t>
  </si>
  <si>
    <t>San Francisco</t>
  </si>
  <si>
    <t>Fresno</t>
  </si>
  <si>
    <t>San Diego</t>
  </si>
  <si>
    <t>Las Vegas</t>
  </si>
  <si>
    <t>Reno</t>
  </si>
  <si>
    <t>ABQ</t>
  </si>
  <si>
    <t>Seattle</t>
  </si>
  <si>
    <t>Spokane</t>
  </si>
  <si>
    <t>Vancouver</t>
  </si>
  <si>
    <t>Southern CT</t>
  </si>
  <si>
    <t>Northern CT</t>
  </si>
  <si>
    <t>Milford</t>
  </si>
  <si>
    <t>Minneapolis</t>
  </si>
  <si>
    <t>Boston</t>
  </si>
  <si>
    <t>St Louis</t>
  </si>
  <si>
    <t>Milwaukee</t>
  </si>
  <si>
    <t>Madison</t>
  </si>
  <si>
    <t>Knoxville</t>
  </si>
  <si>
    <t>Nashville</t>
  </si>
  <si>
    <t>Louisville</t>
  </si>
  <si>
    <t>Long Island</t>
  </si>
  <si>
    <t>Denver</t>
  </si>
  <si>
    <t>Southern Illinois</t>
  </si>
  <si>
    <t>New Orleans</t>
  </si>
  <si>
    <t>Michigan</t>
  </si>
  <si>
    <t>Indianapolis</t>
  </si>
  <si>
    <t>Y</t>
  </si>
  <si>
    <t>Store Size</t>
  </si>
  <si>
    <t>Small</t>
  </si>
  <si>
    <t>Medium</t>
  </si>
  <si>
    <t>Large</t>
  </si>
  <si>
    <t>2602
Novi</t>
  </si>
  <si>
    <t>Consider add next reset</t>
  </si>
  <si>
    <t>? Borderline</t>
  </si>
  <si>
    <t>X - 16 ft.</t>
  </si>
  <si>
    <t>X - 12 ft.</t>
  </si>
  <si>
    <t>KS</t>
  </si>
  <si>
    <t>Kansas City</t>
  </si>
  <si>
    <t>Wilmington</t>
  </si>
  <si>
    <t>College Station</t>
  </si>
  <si>
    <t>Pensacola</t>
  </si>
  <si>
    <t>Tallahassee</t>
  </si>
  <si>
    <t>McAllen</t>
  </si>
  <si>
    <t/>
  </si>
  <si>
    <t>1130 N. La Brea</t>
  </si>
  <si>
    <t>12015 Wilshire Blvd</t>
  </si>
  <si>
    <t>1680 E Monte Vista Ave</t>
  </si>
  <si>
    <t>2762 N Greenwich Rd</t>
  </si>
  <si>
    <t>Wichita</t>
  </si>
  <si>
    <t>2890 Prince William Pkwy Woodbridge, VA 22192</t>
  </si>
  <si>
    <t>12040 Metcalf Ave Overland Park, KS</t>
  </si>
  <si>
    <t>344 Providence Highway Dedham, MA 02026</t>
  </si>
  <si>
    <t>2720 SW 28 Lane, Miami FL</t>
  </si>
  <si>
    <t>221 North Glendale Ave Los Angeles, CA</t>
  </si>
  <si>
    <t>8 Allstate Rd Dorchest, MA</t>
  </si>
  <si>
    <t>1750 Harrison St San Francisco, CA</t>
  </si>
  <si>
    <t>Delray Beach</t>
  </si>
  <si>
    <t xml:space="preserve">1740 N Federal Highway Ft. Lauderdale, FL </t>
  </si>
  <si>
    <t>9XX North Lauderdale</t>
  </si>
  <si>
    <t>9XX Delray Beach</t>
  </si>
  <si>
    <t>9XX St. Lucie West</t>
  </si>
  <si>
    <t>1725 NW, St Lucie W Blvd Port St. Lucie, FL</t>
  </si>
  <si>
    <t>1851 S Federal Hwy Unit 504</t>
  </si>
  <si>
    <t>10350 E US Hwy 36 Avon, IN 46123</t>
  </si>
  <si>
    <t>6XX</t>
  </si>
  <si>
    <t>14151 Steele Creek Rd. Charlotte, NC 28723</t>
  </si>
  <si>
    <t>29XX</t>
  </si>
  <si>
    <t>Maui</t>
  </si>
  <si>
    <t>1242 South Rochester Rd Rochester Hills, MI</t>
  </si>
  <si>
    <t>San Francisco?</t>
  </si>
  <si>
    <t>5719 Lone Tree Wy, Antioch, CA 94531  </t>
  </si>
  <si>
    <t>5XX Conroe</t>
  </si>
  <si>
    <t>219 S Loop Conroe TX 77304</t>
  </si>
  <si>
    <t>5XX Rockwall</t>
  </si>
  <si>
    <t>963 Interstate 30 Rockwall TX 75087</t>
  </si>
  <si>
    <t xml:space="preserve">1648 NW Chipman Road Lee’s Summit, MO 64081 </t>
  </si>
  <si>
    <t>1610 St. Louis Park</t>
  </si>
  <si>
    <t>8100 MN-7 St. Louis Park, MN 55426</t>
  </si>
  <si>
    <t>Frontier Village Center
1841 E. Highway 69, Suite 118
Prescott, AZ 86301</t>
  </si>
  <si>
    <t>Port Charlotte Marketplace
19400 Cochran Blvd Suite 160
Port Charlotte, FL 33948</t>
  </si>
  <si>
    <t>Hamilton Town Center
13145 Levinson Lane
Noblesville, IN 46060</t>
  </si>
  <si>
    <t xml:space="preserve">
1635 NW 107th Ave.
Doral, FL 33172</t>
  </si>
  <si>
    <t>Renaissance Market
943 Military Cutoff Road
Wilmington, NC 28405</t>
  </si>
  <si>
    <t>Texas Avenue Crossing
1450 Texas Avenue South
College Station, TX 77840</t>
  </si>
  <si>
    <t>Cordova Commons
1660 Airport Blvd., Unit 145
Pensacola, FL 32504</t>
  </si>
  <si>
    <t>Village Commons Shopping Center
1400-31 Village Square Blvd
Tallahassee, FL 32312</t>
  </si>
  <si>
    <t>Waters Place
3140 Lohr Road
Ann Arbor, MI 48108</t>
  </si>
  <si>
    <t>Rio Vista Shopping Center
8740 Rio San Diego Drive
San Diego, CA 92108</t>
  </si>
  <si>
    <t>Eatontown Plaza
66 NJ-36
Eatontown, NJ 07724</t>
  </si>
  <si>
    <t xml:space="preserve">
230 Cherry St.
Milford, CT 06460</t>
  </si>
  <si>
    <t>28th East Patterson
4923 28th Street SE
Grand Rapids, MI 49512</t>
  </si>
  <si>
    <t>Brentwood Place Shopping Center
330 Franklin Rd., Suite 306C
Brentwood, TN  37027</t>
  </si>
  <si>
    <t>Cool Creek Commons
2520 E. 146th Street
Carmel, IN 46033</t>
  </si>
  <si>
    <t>Promenade at Naples Centre
6424 Naples Blvd., Suite 601
Naples, FL 34109</t>
  </si>
  <si>
    <t>Sir Barton Place Shopping Center
2321 Sir Barton Way Suite 165
Lexington, KY 40509</t>
  </si>
  <si>
    <t>Siegen Village Shopping Center
7074 Siegen Lane
Baton Rouge, LA  70809</t>
  </si>
  <si>
    <t>Las Tiendas Plaza
800 E. Expressway 83, Suite 200
McAllen, TX 78503</t>
  </si>
  <si>
    <t>North Point Market Center
6290 North Point Parkway
Alpharetta, GA 30022</t>
  </si>
  <si>
    <t>High Point
21071 Haggerty Road
Novi, MI 48375</t>
  </si>
  <si>
    <t>Riverdale Commons
3400 124th Avenue NW
Coon Rapids, MN 55433</t>
  </si>
  <si>
    <t>The Shoppes at County Line
2110 East County Line Road
Indianapolis, IN 46227</t>
  </si>
  <si>
    <t>Southdale / 494 Shopping Center
4200 W. 78th St.
Bloomington, MN 55435</t>
  </si>
  <si>
    <t>Greenbriar Town Center
13053-B Lee Jackson Memorial Highway
Chantilly, VA 22033</t>
  </si>
  <si>
    <t>Greenbrier Market Center
1232 Greenbrier Pkwy
Chesapeake, VA 23320</t>
  </si>
  <si>
    <t>Rivercity Marketplace
2257 Highway K
O'Fallon, MO 63368</t>
  </si>
  <si>
    <t>Tacoma Mall
4502 S. Steele St.
Tacoma, WA 98409</t>
  </si>
  <si>
    <t>San Dimas Marketplace
826 W Arrow Hwy
San Dimas, CA 91773</t>
  </si>
  <si>
    <t>Lakeside Outparcel
13801 Lakeside Circle
Sterling Heights, MI 48313</t>
  </si>
  <si>
    <t>Belleview Shores
5136 S. Wadsworth Blvd
Littleton, CO 80123</t>
  </si>
  <si>
    <t>The Shops at the Fresh Market
20615 Torrence Chapel Road, Unit 101
Cornelius, NC 28031</t>
  </si>
  <si>
    <t>Vista Ridge Village
2325 S. Stemmons Fwy, Suite 504
Lewisville, TX 75067</t>
  </si>
  <si>
    <t>Totowa Square
465 US HWY 46
Totowa, NJ 07512</t>
  </si>
  <si>
    <t>Long Beach Towne Center
7400 Carson Blvd
Long Beach, CA 90808</t>
  </si>
  <si>
    <t>The Plaza at Cherry Hill
2100 Route 38, Suite 8A
Cherry Hill, NJ 08002</t>
  </si>
  <si>
    <t>Potomac Yard Retail Center
3901 Richmond Hwy
Alexandria, VA 22305</t>
  </si>
  <si>
    <t>Carmel Mountain Plaza
11940 Carmel Mountain Rd. Ste 102
San Diego, CA 92128</t>
  </si>
  <si>
    <t>Encinitas Ranch Town Center
1018 North El Camino Real
Encinitas, CA 92024</t>
  </si>
  <si>
    <t>Sand Dollar Shopping Center
808 Playa Ave.
Sand City, CA 93955</t>
  </si>
  <si>
    <t>Wilshire Plaza
8520 N. Evanston Ave.
Kansas City, MO 64157</t>
  </si>
  <si>
    <t>Culver City
11441 Jefferson Blvd
Culver City, CA 90230</t>
  </si>
  <si>
    <t>Creekside Market Place
561 Grand Avenue
San Marcos, CA 92078</t>
  </si>
  <si>
    <t>Harrison
1750 Harrison Street
San Francisco, CA 94103</t>
  </si>
  <si>
    <t>Santa Rosa Southside
2705 Santa Rosa Ave.
Santa Rosa, CA 95407</t>
  </si>
  <si>
    <t>River Oaks Shopping Center
24267 Magic Mountain Pkwy
Valencia, CA 91355</t>
  </si>
  <si>
    <t>Village at Prasada
13440 N. Prasada Pkwy
Surprise, AZ 85388</t>
  </si>
  <si>
    <t>Extra Large</t>
  </si>
  <si>
    <t>616 Apex</t>
  </si>
  <si>
    <t xml:space="preserve"> Apex, NC 27502</t>
  </si>
  <si>
    <t>OK</t>
  </si>
  <si>
    <t>30XX Moore</t>
  </si>
  <si>
    <t>Oklahoma City</t>
  </si>
  <si>
    <t>Moore, OK</t>
  </si>
  <si>
    <t>10XX Mesa</t>
  </si>
  <si>
    <t>1834 S Signal Butte Road Mesa, AZ 85209</t>
  </si>
  <si>
    <t>Appleton</t>
  </si>
  <si>
    <t>4721 West Grande Market Drive Appleton, WI 54913</t>
  </si>
  <si>
    <t>NE</t>
  </si>
  <si>
    <t>19XX Appleton</t>
  </si>
  <si>
    <t>31XX Omaha</t>
  </si>
  <si>
    <t>Omaha</t>
  </si>
  <si>
    <t>7200 Dodge Street Omaha, NE 68114</t>
  </si>
  <si>
    <t>Wine</t>
  </si>
  <si>
    <t>Spirits</t>
  </si>
  <si>
    <t>Beer</t>
  </si>
  <si>
    <t>And More</t>
  </si>
  <si>
    <t>Total</t>
  </si>
  <si>
    <t>R52Wk Sales</t>
  </si>
  <si>
    <t>on hold</t>
  </si>
  <si>
    <t>HI</t>
  </si>
  <si>
    <t>18XX Main St KC</t>
  </si>
  <si>
    <t>1806 Stateline</t>
  </si>
  <si>
    <t>4201 Main St 
Kansas City, MO 64111</t>
  </si>
  <si>
    <t>13657 Washington St
Kansas City, MO 64145</t>
  </si>
  <si>
    <t>9XX Vero Beach</t>
  </si>
  <si>
    <t>6150 20th St
Vero Beach, FL 32966</t>
  </si>
  <si>
    <t>16XX Rochester</t>
  </si>
  <si>
    <t>Rochester</t>
  </si>
  <si>
    <t>40 25th St SE
Rochester, MN 55904</t>
  </si>
  <si>
    <t>25XX Shreveport</t>
  </si>
  <si>
    <t>Shreveport</t>
  </si>
  <si>
    <t>7081 Youree Dr
Shreveport, LA 71105</t>
  </si>
  <si>
    <t>1141 - W. Hollywood</t>
  </si>
  <si>
    <t>2605 Rochester Hills</t>
  </si>
  <si>
    <t>1144 Antioch</t>
  </si>
  <si>
    <t>6XX Charlotte River Gate</t>
  </si>
  <si>
    <t>1807 Lee's Summit</t>
  </si>
  <si>
    <t>1140 Corte Madera</t>
  </si>
  <si>
    <t>1139 Culver City</t>
  </si>
  <si>
    <t>1142 Vacaville</t>
  </si>
  <si>
    <t>2705 Avon</t>
  </si>
  <si>
    <t>2802 Overland Park</t>
  </si>
  <si>
    <t>1805 Liberty</t>
  </si>
  <si>
    <t>2801 Wichita</t>
  </si>
  <si>
    <t>29XX Kahului</t>
  </si>
  <si>
    <t>18XX Main Street KC</t>
  </si>
  <si>
    <t>14XX West Seattle</t>
  </si>
  <si>
    <t>2501 SW Trenton St
Seattle, WA 98106</t>
  </si>
  <si>
    <t>14XX Kennewick</t>
  </si>
  <si>
    <t>821 Columbia Center Blvd
Kennewick, WA 99336</t>
  </si>
  <si>
    <t>1143 LA - Brentwood</t>
  </si>
  <si>
    <t>% Wine</t>
  </si>
  <si>
    <t>% Spirits</t>
  </si>
  <si>
    <t>Y (Spirits only)</t>
  </si>
  <si>
    <t>2024 RRR Store</t>
  </si>
  <si>
    <t>3XX</t>
  </si>
  <si>
    <t>3XX North Brunswick</t>
  </si>
  <si>
    <t>TBD</t>
  </si>
  <si>
    <t>871 US-1  North Brunswick Township</t>
  </si>
  <si>
    <t>222 Woodbridge</t>
  </si>
  <si>
    <t>% Beer</t>
  </si>
  <si>
    <t>31XX Lincoln</t>
  </si>
  <si>
    <t>6400 O Street, Lincoln, NE 68510</t>
  </si>
  <si>
    <t>NW intersection of 380-University Drive and 289-S Preston Rd, Prosper, TX 75078</t>
  </si>
  <si>
    <t>5XX Prosper</t>
  </si>
  <si>
    <t>Springfield</t>
  </si>
  <si>
    <t>Q2 2025</t>
  </si>
  <si>
    <t>3308 S Glenstone Ave Springfield, MO 65804 
Greene County</t>
  </si>
  <si>
    <t>Brookfield</t>
  </si>
  <si>
    <t>14 Candlewood Lake Road Brookfield, CT  06804
Fairfield County</t>
  </si>
  <si>
    <t>R52Wk Sales 5/22/24</t>
  </si>
  <si>
    <t>1014 Mesa</t>
  </si>
  <si>
    <t xml:space="preserve">71 Tamal Vista Blvd Corte Madera, CA </t>
  </si>
  <si>
    <t>940 North Lauderdale</t>
  </si>
  <si>
    <t>939 St. Lucie West</t>
  </si>
  <si>
    <t>US Whiskey</t>
  </si>
  <si>
    <t>Tequila Under $65</t>
  </si>
  <si>
    <t>Tequila Over $65</t>
  </si>
  <si>
    <t>Scotch Under $75</t>
  </si>
  <si>
    <t>Scotch Over $75</t>
  </si>
  <si>
    <t>Vodka</t>
  </si>
  <si>
    <t>Cordials</t>
  </si>
  <si>
    <t>Brandy Under $85</t>
  </si>
  <si>
    <t>Brandy Over $85</t>
  </si>
  <si>
    <t>Cabernet Under $20</t>
  </si>
  <si>
    <t>Cabernet $20-50</t>
  </si>
  <si>
    <t>Cabernet Over $50</t>
  </si>
  <si>
    <t>Chardonnay Under $20</t>
  </si>
  <si>
    <t>n/a</t>
  </si>
  <si>
    <t>Demographics - 5 Mile Radius</t>
  </si>
  <si>
    <t>Store Tiers</t>
  </si>
  <si>
    <t>Wine - Sparkling</t>
  </si>
  <si>
    <t>Pinot Noir Under $20</t>
  </si>
  <si>
    <t>Chardonnay Over $20</t>
  </si>
  <si>
    <t>Pinot Noir Over $20</t>
  </si>
  <si>
    <t>Sauvignon Blanc</t>
  </si>
  <si>
    <t>French Champagne</t>
  </si>
  <si>
    <t>617 Charlotte River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</si>
</sst>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%"/>
    <numFmt numFmtId="166" formatCode="_(* #,##0_);_(* \(#,##0\);_(* &quot;-&quot;??_);_(@_)"/>
    <numFmt numFmtId="167" formatCode="_(&quot;$&quot;* #,##0_);_(&quot;$&quot;* \(#,##0\);_(&quot;$&quot;* &quot;-&quot;??_);_(@_)"/>
    <numFmt numFmtId="168" formatCode="\+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name val="Calibri"/>
      <family val="2"/>
    </font>
    <font>
      <i/>
      <sz val="11"/>
      <color theme="1" tint="0.34998626667073579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ashDot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/>
      <diagonal/>
    </border>
    <border>
      <left/>
      <right style="thin">
        <color indexed="64"/>
      </right>
      <top style="dashDotDot">
        <color indexed="64"/>
      </top>
      <bottom style="dashDotDot">
        <color indexed="64"/>
      </bottom>
      <diagonal/>
    </border>
    <border>
      <left/>
      <right style="thin">
        <color indexed="64"/>
      </right>
      <top style="dashDotDot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ashDotDot">
        <color indexed="64"/>
      </bottom>
      <diagonal/>
    </border>
    <border>
      <left/>
      <right style="thin">
        <color indexed="64"/>
      </right>
      <top style="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indexed="64"/>
      </top>
      <bottom style="double">
        <color indexed="64"/>
      </bottom>
      <diagonal/>
    </border>
    <border>
      <left/>
      <right style="thin">
        <color theme="0" tint="-0.499984740745262"/>
      </right>
      <top style="double">
        <color indexed="64"/>
      </top>
      <bottom style="double">
        <color indexed="6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8" applyNumberFormat="0" applyFill="0" applyAlignment="0" applyProtection="0"/>
    <xf numFmtId="0" fontId="13" fillId="0" borderId="19" applyNumberFormat="0" applyFill="0" applyAlignment="0" applyProtection="0"/>
    <xf numFmtId="0" fontId="14" fillId="0" borderId="20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21" applyNumberFormat="0" applyAlignment="0" applyProtection="0"/>
    <xf numFmtId="0" fontId="19" fillId="11" borderId="22" applyNumberFormat="0" applyAlignment="0" applyProtection="0"/>
    <xf numFmtId="0" fontId="20" fillId="11" borderId="21" applyNumberFormat="0" applyAlignment="0" applyProtection="0"/>
    <xf numFmtId="0" fontId="21" fillId="0" borderId="23" applyNumberFormat="0" applyFill="0" applyAlignment="0" applyProtection="0"/>
    <xf numFmtId="0" fontId="22" fillId="12" borderId="24" applyNumberFormat="0" applyAlignment="0" applyProtection="0"/>
    <xf numFmtId="0" fontId="23" fillId="0" borderId="0" applyNumberFormat="0" applyFill="0" applyBorder="0" applyAlignment="0" applyProtection="0"/>
    <xf numFmtId="0" fontId="1" fillId="13" borderId="25" applyNumberFormat="0" applyFont="0" applyAlignment="0" applyProtection="0"/>
    <xf numFmtId="0" fontId="24" fillId="0" borderId="0" applyNumberFormat="0" applyFill="0" applyBorder="0" applyAlignment="0" applyProtection="0"/>
    <xf numFmtId="0" fontId="10" fillId="0" borderId="26" applyNumberFormat="0" applyFill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5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6" fillId="0" borderId="0"/>
    <xf numFmtId="0" fontId="1" fillId="0" borderId="0"/>
    <xf numFmtId="0" fontId="27" fillId="0" borderId="0"/>
  </cellStyleXfs>
  <cellXfs count="176">
    <xf numFmtId="0" fontId="0" fillId="0" borderId="0" xfId="0"/>
    <xf numFmtId="0" fontId="2" fillId="2" borderId="1" xfId="2" applyFont="1" applyFill="1" applyBorder="1" applyAlignment="1">
      <alignment horizontal="left" vertical="center" wrapText="1"/>
    </xf>
    <xf numFmtId="0" fontId="2" fillId="2" borderId="2" xfId="2" applyFont="1" applyFill="1" applyBorder="1" applyAlignment="1">
      <alignment horizontal="left" vertical="center" wrapText="1"/>
    </xf>
    <xf numFmtId="0" fontId="2" fillId="2" borderId="3" xfId="2" applyFont="1" applyFill="1" applyBorder="1" applyAlignment="1">
      <alignment horizontal="center" vertical="center" wrapText="1"/>
    </xf>
    <xf numFmtId="3" fontId="5" fillId="3" borderId="5" xfId="2" applyNumberFormat="1" applyFont="1" applyFill="1" applyBorder="1" applyAlignment="1">
      <alignment horizontal="center"/>
    </xf>
    <xf numFmtId="3" fontId="5" fillId="3" borderId="6" xfId="2" applyNumberFormat="1" applyFont="1" applyFill="1" applyBorder="1" applyAlignment="1">
      <alignment horizontal="center"/>
    </xf>
    <xf numFmtId="165" fontId="5" fillId="3" borderId="6" xfId="2" applyNumberFormat="1" applyFont="1" applyFill="1" applyBorder="1" applyAlignment="1">
      <alignment horizontal="center"/>
    </xf>
    <xf numFmtId="164" fontId="5" fillId="3" borderId="6" xfId="2" applyNumberFormat="1" applyFont="1" applyFill="1" applyBorder="1" applyAlignment="1">
      <alignment horizontal="center"/>
    </xf>
    <xf numFmtId="165" fontId="5" fillId="3" borderId="7" xfId="2" applyNumberFormat="1" applyFont="1" applyFill="1" applyBorder="1" applyAlignment="1">
      <alignment horizontal="center"/>
    </xf>
    <xf numFmtId="0" fontId="0" fillId="3" borderId="0" xfId="0" applyFill="1"/>
    <xf numFmtId="3" fontId="5" fillId="4" borderId="5" xfId="2" applyNumberFormat="1" applyFont="1" applyFill="1" applyBorder="1" applyAlignment="1">
      <alignment horizontal="center"/>
    </xf>
    <xf numFmtId="3" fontId="5" fillId="4" borderId="6" xfId="2" applyNumberFormat="1" applyFont="1" applyFill="1" applyBorder="1" applyAlignment="1">
      <alignment horizontal="center"/>
    </xf>
    <xf numFmtId="165" fontId="5" fillId="4" borderId="6" xfId="2" applyNumberFormat="1" applyFont="1" applyFill="1" applyBorder="1" applyAlignment="1">
      <alignment horizontal="center"/>
    </xf>
    <xf numFmtId="164" fontId="5" fillId="4" borderId="6" xfId="2" applyNumberFormat="1" applyFont="1" applyFill="1" applyBorder="1" applyAlignment="1">
      <alignment horizontal="center"/>
    </xf>
    <xf numFmtId="165" fontId="5" fillId="4" borderId="7" xfId="2" applyNumberFormat="1" applyFont="1" applyFill="1" applyBorder="1" applyAlignment="1">
      <alignment horizontal="center"/>
    </xf>
    <xf numFmtId="0" fontId="0" fillId="4" borderId="0" xfId="0" applyFill="1"/>
    <xf numFmtId="14" fontId="6" fillId="0" borderId="4" xfId="2" applyNumberFormat="1" applyFont="1" applyBorder="1" applyAlignment="1">
      <alignment horizontal="center" vertical="center" wrapText="1"/>
    </xf>
    <xf numFmtId="166" fontId="6" fillId="0" borderId="4" xfId="1" applyNumberFormat="1" applyFont="1" applyFill="1" applyBorder="1" applyAlignment="1">
      <alignment horizontal="center" vertical="center" wrapText="1"/>
    </xf>
    <xf numFmtId="43" fontId="6" fillId="0" borderId="4" xfId="1" applyFont="1" applyFill="1" applyBorder="1" applyAlignment="1">
      <alignment horizontal="center" vertical="center" wrapText="1"/>
    </xf>
    <xf numFmtId="3" fontId="5" fillId="4" borderId="9" xfId="2" applyNumberFormat="1" applyFont="1" applyFill="1" applyBorder="1" applyAlignment="1">
      <alignment horizontal="center"/>
    </xf>
    <xf numFmtId="165" fontId="5" fillId="4" borderId="9" xfId="2" applyNumberFormat="1" applyFont="1" applyFill="1" applyBorder="1" applyAlignment="1">
      <alignment horizontal="center"/>
    </xf>
    <xf numFmtId="164" fontId="5" fillId="4" borderId="9" xfId="2" applyNumberFormat="1" applyFont="1" applyFill="1" applyBorder="1" applyAlignment="1">
      <alignment horizontal="center"/>
    </xf>
    <xf numFmtId="165" fontId="5" fillId="4" borderId="10" xfId="2" applyNumberFormat="1" applyFont="1" applyFill="1" applyBorder="1" applyAlignment="1">
      <alignment horizontal="center"/>
    </xf>
    <xf numFmtId="3" fontId="5" fillId="3" borderId="9" xfId="2" applyNumberFormat="1" applyFont="1" applyFill="1" applyBorder="1" applyAlignment="1">
      <alignment horizontal="center"/>
    </xf>
    <xf numFmtId="165" fontId="5" fillId="3" borderId="9" xfId="2" applyNumberFormat="1" applyFont="1" applyFill="1" applyBorder="1" applyAlignment="1">
      <alignment horizontal="center"/>
    </xf>
    <xf numFmtId="164" fontId="5" fillId="3" borderId="9" xfId="2" applyNumberFormat="1" applyFont="1" applyFill="1" applyBorder="1" applyAlignment="1">
      <alignment horizontal="center"/>
    </xf>
    <xf numFmtId="165" fontId="5" fillId="3" borderId="10" xfId="2" applyNumberFormat="1" applyFont="1" applyFill="1" applyBorder="1" applyAlignment="1">
      <alignment horizontal="center"/>
    </xf>
    <xf numFmtId="0" fontId="2" fillId="0" borderId="3" xfId="2" applyFont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wrapText="1"/>
    </xf>
    <xf numFmtId="0" fontId="4" fillId="3" borderId="3" xfId="2" applyFont="1" applyFill="1" applyBorder="1" applyAlignment="1">
      <alignment horizontal="center" wrapText="1"/>
    </xf>
    <xf numFmtId="0" fontId="0" fillId="0" borderId="8" xfId="0" applyBorder="1" applyAlignment="1">
      <alignment wrapText="1"/>
    </xf>
    <xf numFmtId="9" fontId="4" fillId="4" borderId="3" xfId="2" applyNumberFormat="1" applyFont="1" applyFill="1" applyBorder="1" applyAlignment="1">
      <alignment horizontal="center" wrapText="1"/>
    </xf>
    <xf numFmtId="164" fontId="4" fillId="4" borderId="3" xfId="2" applyNumberFormat="1" applyFont="1" applyFill="1" applyBorder="1" applyAlignment="1">
      <alignment horizontal="center" wrapText="1"/>
    </xf>
    <xf numFmtId="3" fontId="4" fillId="4" borderId="3" xfId="2" applyNumberFormat="1" applyFont="1" applyFill="1" applyBorder="1" applyAlignment="1">
      <alignment horizontal="center" wrapText="1"/>
    </xf>
    <xf numFmtId="9" fontId="4" fillId="3" borderId="3" xfId="2" applyNumberFormat="1" applyFont="1" applyFill="1" applyBorder="1" applyAlignment="1">
      <alignment horizontal="center" wrapText="1"/>
    </xf>
    <xf numFmtId="164" fontId="4" fillId="3" borderId="3" xfId="2" applyNumberFormat="1" applyFont="1" applyFill="1" applyBorder="1" applyAlignment="1">
      <alignment horizontal="center" wrapText="1"/>
    </xf>
    <xf numFmtId="3" fontId="4" fillId="3" borderId="3" xfId="2" applyNumberFormat="1" applyFont="1" applyFill="1" applyBorder="1" applyAlignment="1">
      <alignment horizontal="center" wrapText="1"/>
    </xf>
    <xf numFmtId="0" fontId="2" fillId="0" borderId="1" xfId="2" applyFont="1" applyBorder="1" applyAlignment="1">
      <alignment horizontal="left" vertical="center" wrapText="1"/>
    </xf>
    <xf numFmtId="0" fontId="0" fillId="0" borderId="8" xfId="0" applyBorder="1"/>
    <xf numFmtId="14" fontId="7" fillId="0" borderId="4" xfId="2" applyNumberFormat="1" applyFont="1" applyBorder="1" applyAlignment="1">
      <alignment horizontal="center" vertical="center" wrapText="1"/>
    </xf>
    <xf numFmtId="165" fontId="5" fillId="4" borderId="11" xfId="2" applyNumberFormat="1" applyFont="1" applyFill="1" applyBorder="1" applyAlignment="1">
      <alignment horizontal="center"/>
    </xf>
    <xf numFmtId="165" fontId="5" fillId="3" borderId="11" xfId="2" applyNumberFormat="1" applyFont="1" applyFill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3" fontId="5" fillId="0" borderId="5" xfId="0" applyNumberFormat="1" applyFont="1" applyBorder="1"/>
    <xf numFmtId="3" fontId="5" fillId="0" borderId="6" xfId="0" applyNumberFormat="1" applyFont="1" applyBorder="1"/>
    <xf numFmtId="165" fontId="5" fillId="0" borderId="6" xfId="0" applyNumberFormat="1" applyFont="1" applyBorder="1"/>
    <xf numFmtId="164" fontId="5" fillId="0" borderId="6" xfId="0" applyNumberFormat="1" applyFont="1" applyBorder="1"/>
    <xf numFmtId="3" fontId="8" fillId="5" borderId="6" xfId="0" applyNumberFormat="1" applyFont="1" applyFill="1" applyBorder="1"/>
    <xf numFmtId="165" fontId="8" fillId="5" borderId="6" xfId="0" applyNumberFormat="1" applyFont="1" applyFill="1" applyBorder="1"/>
    <xf numFmtId="164" fontId="8" fillId="5" borderId="6" xfId="0" applyNumberFormat="1" applyFont="1" applyFill="1" applyBorder="1"/>
    <xf numFmtId="165" fontId="8" fillId="5" borderId="7" xfId="0" applyNumberFormat="1" applyFont="1" applyFill="1" applyBorder="1"/>
    <xf numFmtId="3" fontId="8" fillId="0" borderId="6" xfId="0" applyNumberFormat="1" applyFont="1" applyBorder="1"/>
    <xf numFmtId="165" fontId="8" fillId="0" borderId="6" xfId="0" applyNumberFormat="1" applyFont="1" applyBorder="1"/>
    <xf numFmtId="164" fontId="8" fillId="0" borderId="6" xfId="0" applyNumberFormat="1" applyFont="1" applyBorder="1"/>
    <xf numFmtId="165" fontId="8" fillId="0" borderId="7" xfId="0" applyNumberFormat="1" applyFont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165" fontId="8" fillId="0" borderId="6" xfId="3" applyNumberFormat="1" applyFont="1" applyBorder="1" applyAlignment="1">
      <alignment horizontal="center"/>
    </xf>
    <xf numFmtId="165" fontId="5" fillId="3" borderId="5" xfId="2" applyNumberFormat="1" applyFont="1" applyFill="1" applyBorder="1" applyAlignment="1">
      <alignment horizontal="center"/>
    </xf>
    <xf numFmtId="164" fontId="5" fillId="3" borderId="5" xfId="2" applyNumberFormat="1" applyFont="1" applyFill="1" applyBorder="1" applyAlignment="1">
      <alignment horizontal="center"/>
    </xf>
    <xf numFmtId="165" fontId="8" fillId="0" borderId="7" xfId="3" applyNumberFormat="1" applyFont="1" applyBorder="1" applyAlignment="1">
      <alignment horizontal="center"/>
    </xf>
    <xf numFmtId="165" fontId="8" fillId="5" borderId="6" xfId="3" applyNumberFormat="1" applyFont="1" applyFill="1" applyBorder="1" applyAlignment="1">
      <alignment horizontal="center"/>
    </xf>
    <xf numFmtId="165" fontId="5" fillId="4" borderId="5" xfId="2" applyNumberFormat="1" applyFont="1" applyFill="1" applyBorder="1" applyAlignment="1">
      <alignment horizontal="center"/>
    </xf>
    <xf numFmtId="164" fontId="5" fillId="4" borderId="5" xfId="2" applyNumberFormat="1" applyFont="1" applyFill="1" applyBorder="1" applyAlignment="1">
      <alignment horizontal="center"/>
    </xf>
    <xf numFmtId="165" fontId="8" fillId="5" borderId="7" xfId="3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/>
    </xf>
    <xf numFmtId="3" fontId="5" fillId="5" borderId="6" xfId="0" applyNumberFormat="1" applyFont="1" applyFill="1" applyBorder="1" applyAlignment="1">
      <alignment horizontal="center"/>
    </xf>
    <xf numFmtId="165" fontId="5" fillId="5" borderId="6" xfId="0" applyNumberFormat="1" applyFont="1" applyFill="1" applyBorder="1" applyAlignment="1">
      <alignment horizontal="center"/>
    </xf>
    <xf numFmtId="164" fontId="5" fillId="5" borderId="6" xfId="0" applyNumberFormat="1" applyFont="1" applyFill="1" applyBorder="1" applyAlignment="1">
      <alignment horizontal="center"/>
    </xf>
    <xf numFmtId="165" fontId="5" fillId="5" borderId="7" xfId="0" applyNumberFormat="1" applyFont="1" applyFill="1" applyBorder="1" applyAlignment="1">
      <alignment horizontal="center"/>
    </xf>
    <xf numFmtId="3" fontId="5" fillId="6" borderId="5" xfId="0" applyNumberFormat="1" applyFont="1" applyFill="1" applyBorder="1" applyAlignment="1">
      <alignment horizontal="center"/>
    </xf>
    <xf numFmtId="9" fontId="5" fillId="0" borderId="6" xfId="3" applyFont="1" applyBorder="1" applyAlignment="1">
      <alignment horizontal="center"/>
    </xf>
    <xf numFmtId="9" fontId="5" fillId="0" borderId="7" xfId="3" applyFont="1" applyBorder="1" applyAlignment="1">
      <alignment horizontal="center"/>
    </xf>
    <xf numFmtId="3" fontId="5" fillId="6" borderId="6" xfId="0" applyNumberFormat="1" applyFont="1" applyFill="1" applyBorder="1" applyAlignment="1">
      <alignment horizontal="center"/>
    </xf>
    <xf numFmtId="9" fontId="5" fillId="6" borderId="6" xfId="3" applyFont="1" applyFill="1" applyBorder="1" applyAlignment="1">
      <alignment horizontal="center"/>
    </xf>
    <xf numFmtId="9" fontId="5" fillId="6" borderId="7" xfId="3" applyFont="1" applyFill="1" applyBorder="1" applyAlignment="1">
      <alignment horizontal="center"/>
    </xf>
    <xf numFmtId="165" fontId="5" fillId="5" borderId="11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0" borderId="8" xfId="0" applyFont="1" applyBorder="1" applyAlignment="1">
      <alignment horizontal="center" wrapText="1"/>
    </xf>
    <xf numFmtId="164" fontId="10" fillId="0" borderId="0" xfId="0" applyNumberFormat="1" applyFont="1" applyAlignment="1">
      <alignment horizontal="center"/>
    </xf>
    <xf numFmtId="0" fontId="2" fillId="0" borderId="1" xfId="2" applyFont="1" applyBorder="1" applyAlignment="1">
      <alignment horizontal="center" vertical="center" wrapText="1"/>
    </xf>
    <xf numFmtId="165" fontId="0" fillId="0" borderId="8" xfId="3" applyNumberFormat="1" applyFont="1" applyBorder="1"/>
    <xf numFmtId="165" fontId="0" fillId="0" borderId="8" xfId="0" applyNumberFormat="1" applyBorder="1" applyAlignment="1">
      <alignment wrapText="1"/>
    </xf>
    <xf numFmtId="165" fontId="0" fillId="0" borderId="0" xfId="3" applyNumberFormat="1" applyFont="1"/>
    <xf numFmtId="165" fontId="0" fillId="0" borderId="0" xfId="0" applyNumberFormat="1"/>
    <xf numFmtId="3" fontId="5" fillId="0" borderId="4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11" xfId="0" applyNumberFormat="1" applyFont="1" applyBorder="1" applyAlignment="1">
      <alignment horizontal="center"/>
    </xf>
    <xf numFmtId="165" fontId="8" fillId="5" borderId="17" xfId="0" applyNumberFormat="1" applyFont="1" applyFill="1" applyBorder="1" applyAlignment="1">
      <alignment horizontal="center"/>
    </xf>
    <xf numFmtId="165" fontId="8" fillId="0" borderId="17" xfId="0" applyNumberFormat="1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4" fontId="10" fillId="6" borderId="0" xfId="0" applyNumberFormat="1" applyFont="1" applyFill="1" applyAlignment="1">
      <alignment horizontal="center"/>
    </xf>
    <xf numFmtId="165" fontId="0" fillId="6" borderId="0" xfId="3" applyNumberFormat="1" applyFont="1" applyFill="1"/>
    <xf numFmtId="165" fontId="0" fillId="0" borderId="0" xfId="3" applyNumberFormat="1" applyFont="1" applyFill="1"/>
    <xf numFmtId="166" fontId="7" fillId="0" borderId="4" xfId="1" applyNumberFormat="1" applyFont="1" applyFill="1" applyBorder="1" applyAlignment="1">
      <alignment horizontal="center" vertical="center" wrapText="1"/>
    </xf>
    <xf numFmtId="0" fontId="0" fillId="0" borderId="4" xfId="0" applyBorder="1"/>
    <xf numFmtId="43" fontId="6" fillId="0" borderId="0" xfId="1" applyFont="1" applyFill="1" applyBorder="1" applyAlignment="1">
      <alignment horizontal="center" vertical="center" wrapText="1"/>
    </xf>
    <xf numFmtId="165" fontId="5" fillId="0" borderId="7" xfId="0" applyNumberFormat="1" applyFont="1" applyBorder="1"/>
    <xf numFmtId="3" fontId="8" fillId="5" borderId="5" xfId="0" applyNumberFormat="1" applyFont="1" applyFill="1" applyBorder="1"/>
    <xf numFmtId="3" fontId="8" fillId="0" borderId="5" xfId="0" applyNumberFormat="1" applyFont="1" applyBorder="1"/>
    <xf numFmtId="167" fontId="0" fillId="0" borderId="0" xfId="4" applyNumberFormat="1" applyFont="1" applyAlignment="1">
      <alignment horizontal="center"/>
    </xf>
    <xf numFmtId="3" fontId="5" fillId="3" borderId="11" xfId="2" applyNumberFormat="1" applyFont="1" applyFill="1" applyBorder="1" applyAlignment="1">
      <alignment horizontal="center"/>
    </xf>
    <xf numFmtId="3" fontId="5" fillId="4" borderId="0" xfId="2" applyNumberFormat="1" applyFont="1" applyFill="1" applyAlignment="1">
      <alignment horizontal="center"/>
    </xf>
    <xf numFmtId="3" fontId="5" fillId="4" borderId="14" xfId="2" applyNumberFormat="1" applyFont="1" applyFill="1" applyBorder="1" applyAlignment="1">
      <alignment horizontal="center"/>
    </xf>
    <xf numFmtId="3" fontId="5" fillId="4" borderId="17" xfId="2" applyNumberFormat="1" applyFont="1" applyFill="1" applyBorder="1" applyAlignment="1">
      <alignment horizontal="center"/>
    </xf>
    <xf numFmtId="3" fontId="5" fillId="4" borderId="7" xfId="2" applyNumberFormat="1" applyFont="1" applyFill="1" applyBorder="1" applyAlignment="1">
      <alignment horizontal="center"/>
    </xf>
    <xf numFmtId="3" fontId="5" fillId="4" borderId="12" xfId="2" applyNumberFormat="1" applyFont="1" applyFill="1" applyBorder="1" applyAlignment="1">
      <alignment horizontal="center"/>
    </xf>
    <xf numFmtId="165" fontId="5" fillId="4" borderId="12" xfId="2" applyNumberFormat="1" applyFont="1" applyFill="1" applyBorder="1" applyAlignment="1">
      <alignment horizontal="center"/>
    </xf>
    <xf numFmtId="164" fontId="5" fillId="4" borderId="11" xfId="2" applyNumberFormat="1" applyFont="1" applyFill="1" applyBorder="1" applyAlignment="1">
      <alignment horizontal="center"/>
    </xf>
    <xf numFmtId="165" fontId="5" fillId="3" borderId="17" xfId="2" applyNumberFormat="1" applyFont="1" applyFill="1" applyBorder="1" applyAlignment="1">
      <alignment horizontal="center"/>
    </xf>
    <xf numFmtId="3" fontId="5" fillId="3" borderId="14" xfId="2" applyNumberFormat="1" applyFont="1" applyFill="1" applyBorder="1" applyAlignment="1">
      <alignment horizontal="center"/>
    </xf>
    <xf numFmtId="3" fontId="8" fillId="0" borderId="16" xfId="0" applyNumberFormat="1" applyFont="1" applyBorder="1" applyAlignment="1">
      <alignment horizontal="center"/>
    </xf>
    <xf numFmtId="164" fontId="5" fillId="3" borderId="0" xfId="2" applyNumberFormat="1" applyFont="1" applyFill="1" applyAlignment="1">
      <alignment horizontal="center"/>
    </xf>
    <xf numFmtId="165" fontId="5" fillId="4" borderId="15" xfId="2" applyNumberFormat="1" applyFont="1" applyFill="1" applyBorder="1" applyAlignment="1">
      <alignment horizontal="center"/>
    </xf>
    <xf numFmtId="3" fontId="8" fillId="0" borderId="0" xfId="0" applyNumberFormat="1" applyFont="1" applyAlignment="1">
      <alignment horizontal="center"/>
    </xf>
    <xf numFmtId="164" fontId="5" fillId="3" borderId="12" xfId="2" applyNumberFormat="1" applyFont="1" applyFill="1" applyBorder="1" applyAlignment="1">
      <alignment horizontal="center"/>
    </xf>
    <xf numFmtId="165" fontId="5" fillId="4" borderId="13" xfId="2" applyNumberFormat="1" applyFont="1" applyFill="1" applyBorder="1" applyAlignment="1">
      <alignment horizontal="center"/>
    </xf>
    <xf numFmtId="165" fontId="5" fillId="3" borderId="0" xfId="2" applyNumberFormat="1" applyFont="1" applyFill="1" applyAlignment="1">
      <alignment horizontal="center"/>
    </xf>
    <xf numFmtId="164" fontId="5" fillId="4" borderId="0" xfId="2" applyNumberFormat="1" applyFont="1" applyFill="1" applyAlignment="1">
      <alignment horizontal="center"/>
    </xf>
    <xf numFmtId="164" fontId="8" fillId="5" borderId="5" xfId="0" applyNumberFormat="1" applyFont="1" applyFill="1" applyBorder="1" applyAlignment="1">
      <alignment horizontal="center"/>
    </xf>
    <xf numFmtId="165" fontId="5" fillId="4" borderId="17" xfId="2" applyNumberFormat="1" applyFont="1" applyFill="1" applyBorder="1" applyAlignment="1">
      <alignment horizontal="center"/>
    </xf>
    <xf numFmtId="165" fontId="5" fillId="3" borderId="12" xfId="2" applyNumberFormat="1" applyFont="1" applyFill="1" applyBorder="1" applyAlignment="1">
      <alignment horizontal="center"/>
    </xf>
    <xf numFmtId="164" fontId="5" fillId="4" borderId="12" xfId="2" applyNumberFormat="1" applyFont="1" applyFill="1" applyBorder="1" applyAlignment="1">
      <alignment horizontal="center"/>
    </xf>
    <xf numFmtId="165" fontId="5" fillId="3" borderId="15" xfId="2" applyNumberFormat="1" applyFont="1" applyFill="1" applyBorder="1" applyAlignment="1">
      <alignment horizontal="center"/>
    </xf>
    <xf numFmtId="3" fontId="5" fillId="3" borderId="12" xfId="2" applyNumberFormat="1" applyFont="1" applyFill="1" applyBorder="1" applyAlignment="1">
      <alignment horizontal="center"/>
    </xf>
    <xf numFmtId="165" fontId="5" fillId="4" borderId="0" xfId="2" applyNumberFormat="1" applyFont="1" applyFill="1" applyAlignment="1">
      <alignment horizontal="center"/>
    </xf>
    <xf numFmtId="165" fontId="5" fillId="3" borderId="13" xfId="2" applyNumberFormat="1" applyFont="1" applyFill="1" applyBorder="1" applyAlignment="1">
      <alignment horizontal="center"/>
    </xf>
    <xf numFmtId="3" fontId="5" fillId="3" borderId="0" xfId="2" applyNumberFormat="1" applyFont="1" applyFill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3" fontId="8" fillId="0" borderId="6" xfId="0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165" fontId="8" fillId="0" borderId="11" xfId="0" applyNumberFormat="1" applyFont="1" applyBorder="1" applyAlignment="1">
      <alignment horizontal="center"/>
    </xf>
    <xf numFmtId="3" fontId="8" fillId="5" borderId="5" xfId="0" applyNumberFormat="1" applyFont="1" applyFill="1" applyBorder="1" applyAlignment="1">
      <alignment horizontal="center"/>
    </xf>
    <xf numFmtId="3" fontId="8" fillId="5" borderId="6" xfId="0" applyNumberFormat="1" applyFont="1" applyFill="1" applyBorder="1" applyAlignment="1">
      <alignment horizontal="center"/>
    </xf>
    <xf numFmtId="165" fontId="8" fillId="5" borderId="6" xfId="0" applyNumberFormat="1" applyFont="1" applyFill="1" applyBorder="1" applyAlignment="1">
      <alignment horizontal="center"/>
    </xf>
    <xf numFmtId="164" fontId="8" fillId="5" borderId="6" xfId="0" applyNumberFormat="1" applyFont="1" applyFill="1" applyBorder="1" applyAlignment="1">
      <alignment horizontal="center"/>
    </xf>
    <xf numFmtId="165" fontId="8" fillId="5" borderId="11" xfId="0" applyNumberFormat="1" applyFont="1" applyFill="1" applyBorder="1" applyAlignment="1">
      <alignment horizontal="center"/>
    </xf>
    <xf numFmtId="165" fontId="8" fillId="5" borderId="7" xfId="0" applyNumberFormat="1" applyFont="1" applyFill="1" applyBorder="1" applyAlignment="1">
      <alignment horizontal="center"/>
    </xf>
    <xf numFmtId="3" fontId="28" fillId="38" borderId="6" xfId="0" applyNumberFormat="1" applyFont="1" applyFill="1" applyBorder="1" applyAlignment="1">
      <alignment horizontal="center"/>
    </xf>
    <xf numFmtId="165" fontId="28" fillId="38" borderId="6" xfId="0" applyNumberFormat="1" applyFont="1" applyFill="1" applyBorder="1" applyAlignment="1">
      <alignment horizontal="center"/>
    </xf>
    <xf numFmtId="164" fontId="28" fillId="38" borderId="6" xfId="0" applyNumberFormat="1" applyFont="1" applyFill="1" applyBorder="1" applyAlignment="1">
      <alignment horizontal="center"/>
    </xf>
    <xf numFmtId="165" fontId="28" fillId="38" borderId="11" xfId="0" applyNumberFormat="1" applyFont="1" applyFill="1" applyBorder="1" applyAlignment="1">
      <alignment horizontal="center"/>
    </xf>
    <xf numFmtId="167" fontId="29" fillId="0" borderId="0" xfId="4" applyNumberFormat="1" applyFont="1" applyAlignment="1">
      <alignment horizontal="center"/>
    </xf>
    <xf numFmtId="165" fontId="29" fillId="0" borderId="0" xfId="3" applyNumberFormat="1" applyFont="1"/>
    <xf numFmtId="9" fontId="0" fillId="0" borderId="0" xfId="3" applyFont="1"/>
    <xf numFmtId="0" fontId="2" fillId="2" borderId="27" xfId="2" applyFont="1" applyFill="1" applyBorder="1" applyAlignment="1">
      <alignment horizontal="center" vertical="center" wrapText="1"/>
    </xf>
    <xf numFmtId="0" fontId="2" fillId="2" borderId="28" xfId="2" applyFont="1" applyFill="1" applyBorder="1" applyAlignment="1">
      <alignment horizontal="center" vertical="center" wrapText="1"/>
    </xf>
    <xf numFmtId="14" fontId="6" fillId="0" borderId="29" xfId="2" applyNumberFormat="1" applyFont="1" applyBorder="1" applyAlignment="1">
      <alignment horizontal="center" vertical="center" wrapText="1"/>
    </xf>
    <xf numFmtId="14" fontId="6" fillId="0" borderId="27" xfId="2" applyNumberFormat="1" applyFont="1" applyBorder="1" applyAlignment="1">
      <alignment horizontal="center" vertical="center" wrapText="1"/>
    </xf>
    <xf numFmtId="166" fontId="6" fillId="0" borderId="27" xfId="1" applyNumberFormat="1" applyFont="1" applyFill="1" applyBorder="1" applyAlignment="1">
      <alignment horizontal="center" vertical="center" wrapText="1"/>
    </xf>
    <xf numFmtId="14" fontId="6" fillId="0" borderId="30" xfId="2" applyNumberFormat="1" applyFont="1" applyBorder="1" applyAlignment="1">
      <alignment horizontal="center" vertical="center" wrapText="1"/>
    </xf>
    <xf numFmtId="14" fontId="6" fillId="0" borderId="28" xfId="2" applyNumberFormat="1" applyFont="1" applyBorder="1" applyAlignment="1">
      <alignment horizontal="center" vertical="center" wrapText="1"/>
    </xf>
    <xf numFmtId="166" fontId="6" fillId="0" borderId="28" xfId="1" applyNumberFormat="1" applyFont="1" applyFill="1" applyBorder="1" applyAlignment="1">
      <alignment horizontal="center" vertical="center" wrapText="1"/>
    </xf>
    <xf numFmtId="14" fontId="6" fillId="39" borderId="30" xfId="2" applyNumberFormat="1" applyFont="1" applyFill="1" applyBorder="1" applyAlignment="1">
      <alignment horizontal="center" vertical="center" wrapText="1"/>
    </xf>
    <xf numFmtId="0" fontId="2" fillId="2" borderId="8" xfId="2" applyFont="1" applyFill="1" applyBorder="1" applyAlignment="1">
      <alignment horizontal="left" vertical="center" wrapText="1"/>
    </xf>
    <xf numFmtId="0" fontId="2" fillId="0" borderId="8" xfId="2" applyFont="1" applyBorder="1" applyAlignment="1">
      <alignment horizontal="left" vertical="center" wrapText="1"/>
    </xf>
    <xf numFmtId="168" fontId="10" fillId="40" borderId="32" xfId="0" applyNumberFormat="1" applyFont="1" applyFill="1" applyBorder="1" applyAlignment="1">
      <alignment horizontal="center" vertical="center" wrapText="1"/>
    </xf>
    <xf numFmtId="168" fontId="10" fillId="40" borderId="33" xfId="0" applyNumberFormat="1" applyFont="1" applyFill="1" applyBorder="1" applyAlignment="1">
      <alignment horizontal="center" vertical="center" wrapText="1"/>
    </xf>
    <xf numFmtId="0" fontId="3" fillId="3" borderId="31" xfId="2" applyFont="1" applyFill="1" applyBorder="1" applyAlignment="1">
      <alignment horizontal="center" vertical="center"/>
    </xf>
    <xf numFmtId="0" fontId="3" fillId="3" borderId="8" xfId="2" applyFont="1" applyFill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4" borderId="2" xfId="2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</cellXfs>
  <cellStyles count="49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urrency" xfId="4" builtinId="4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2" xr:uid="{3C14C024-3223-4305-8E1B-F7721D6C8DF8}"/>
    <cellStyle name="Normal 2 2" xfId="47" xr:uid="{AAB03838-2B40-4519-8388-343B1D46E1C5}"/>
    <cellStyle name="Normal 2 3" xfId="46" xr:uid="{01833984-7B51-4399-B819-CCC87E950DC6}"/>
    <cellStyle name="Normal 3" xfId="48" xr:uid="{4CD7BE68-EE44-4EF6-B622-B20034196D53}"/>
    <cellStyle name="Note" xfId="19" builtinId="10" customBuiltin="1"/>
    <cellStyle name="Output" xfId="14" builtinId="21" customBuiltin="1"/>
    <cellStyle name="Percent" xfId="3" builtinId="5"/>
    <cellStyle name="Title" xfId="5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50AB-C59D-452C-AE2B-66D2C63029A7}">
  <dimension ref="A1:AI271"/>
  <sheetViews>
    <sheetView tabSelected="1" zoomScale="90" zoomScaleNormal="90" workbookViewId="0">
      <pane xSplit="7" ySplit="2" topLeftCell="H3" activePane="bottomRight" state="frozen"/>
      <selection pane="topRight" activeCell="J1" sqref="J1"/>
      <selection pane="bottomLeft" activeCell="A3" sqref="A3"/>
      <selection pane="bottomRight" activeCell="A2" sqref="A2"/>
    </sheetView>
  </sheetViews>
  <sheetFormatPr defaultRowHeight="15" x14ac:dyDescent="0.25"/>
  <cols>
    <col min="1" max="1" width="9.28515625" customWidth="1"/>
    <col min="3" max="3" width="19.140625" customWidth="1"/>
    <col min="4" max="5" width="11.5703125" customWidth="1"/>
    <col min="6" max="6" width="22.5703125" customWidth="1"/>
    <col min="7" max="7" width="11.5703125" customWidth="1"/>
    <col min="8" max="10" width="9.140625" style="9" customWidth="1"/>
    <col min="11" max="11" width="12.140625" style="9" customWidth="1"/>
    <col min="12" max="12" width="11.85546875" style="9" customWidth="1"/>
    <col min="13" max="13" width="12.42578125" style="9" customWidth="1"/>
    <col min="14" max="14" width="9.28515625" style="9" customWidth="1"/>
    <col min="15" max="15" width="9.140625" style="9" customWidth="1"/>
    <col min="16" max="16" width="12.5703125" style="9" customWidth="1"/>
    <col min="20" max="25" width="8.7109375" customWidth="1"/>
    <col min="32" max="32" width="9.5703125" customWidth="1"/>
    <col min="33" max="35" width="8.7109375" customWidth="1"/>
  </cols>
  <sheetData>
    <row r="1" spans="1:35" s="38" customFormat="1" ht="16.5" thickBot="1" x14ac:dyDescent="0.3">
      <c r="A1" s="1"/>
      <c r="B1" s="163"/>
      <c r="C1" s="163"/>
      <c r="D1" s="164"/>
      <c r="E1" s="164"/>
      <c r="F1" s="164"/>
      <c r="G1" s="164"/>
      <c r="H1" s="167" t="s">
        <v>773</v>
      </c>
      <c r="I1" s="168"/>
      <c r="J1" s="168"/>
      <c r="K1" s="168"/>
      <c r="L1" s="168"/>
      <c r="M1" s="168"/>
      <c r="N1" s="168"/>
      <c r="O1" s="168"/>
      <c r="P1" s="169"/>
      <c r="Q1" s="170" t="s">
        <v>774</v>
      </c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</row>
    <row r="2" spans="1:35" s="30" customFormat="1" ht="61.5" thickTop="1" thickBot="1" x14ac:dyDescent="0.3">
      <c r="A2" s="3" t="s">
        <v>278</v>
      </c>
      <c r="B2" s="3" t="s">
        <v>280</v>
      </c>
      <c r="C2" s="3" t="s">
        <v>279</v>
      </c>
      <c r="D2" s="27" t="s">
        <v>3</v>
      </c>
      <c r="E2" s="27" t="s">
        <v>281</v>
      </c>
      <c r="F2" s="27" t="s">
        <v>314</v>
      </c>
      <c r="G2" s="27" t="s">
        <v>582</v>
      </c>
      <c r="H2" s="29" t="s">
        <v>4</v>
      </c>
      <c r="I2" s="29" t="s">
        <v>9</v>
      </c>
      <c r="J2" s="29" t="s">
        <v>15</v>
      </c>
      <c r="K2" s="35" t="s">
        <v>17</v>
      </c>
      <c r="L2" s="34" t="s">
        <v>21</v>
      </c>
      <c r="M2" s="34" t="s">
        <v>22</v>
      </c>
      <c r="N2" s="34" t="s">
        <v>23</v>
      </c>
      <c r="O2" s="34" t="s">
        <v>24</v>
      </c>
      <c r="P2" s="34" t="s">
        <v>25</v>
      </c>
      <c r="Q2" s="165" t="s">
        <v>759</v>
      </c>
      <c r="R2" s="165" t="s">
        <v>760</v>
      </c>
      <c r="S2" s="165" t="s">
        <v>761</v>
      </c>
      <c r="T2" s="165" t="s">
        <v>762</v>
      </c>
      <c r="U2" s="165" t="s">
        <v>763</v>
      </c>
      <c r="V2" s="165" t="s">
        <v>764</v>
      </c>
      <c r="W2" s="165" t="s">
        <v>765</v>
      </c>
      <c r="X2" s="165" t="s">
        <v>766</v>
      </c>
      <c r="Y2" s="165" t="s">
        <v>767</v>
      </c>
      <c r="Z2" s="166" t="s">
        <v>768</v>
      </c>
      <c r="AA2" s="165" t="s">
        <v>769</v>
      </c>
      <c r="AB2" s="165" t="s">
        <v>770</v>
      </c>
      <c r="AC2" s="165" t="s">
        <v>771</v>
      </c>
      <c r="AD2" s="165" t="s">
        <v>777</v>
      </c>
      <c r="AE2" s="165" t="s">
        <v>775</v>
      </c>
      <c r="AF2" s="165" t="s">
        <v>776</v>
      </c>
      <c r="AG2" s="165" t="s">
        <v>778</v>
      </c>
      <c r="AH2" s="165" t="s">
        <v>779</v>
      </c>
      <c r="AI2" s="165" t="s">
        <v>780</v>
      </c>
    </row>
    <row r="3" spans="1:35" ht="36" customHeight="1" thickTop="1" x14ac:dyDescent="0.25">
      <c r="A3" s="154" t="s">
        <v>287</v>
      </c>
      <c r="B3" s="154">
        <v>101</v>
      </c>
      <c r="C3" s="154" t="s">
        <v>26</v>
      </c>
      <c r="D3" s="156">
        <v>33298</v>
      </c>
      <c r="E3" s="157" t="s">
        <v>520</v>
      </c>
      <c r="F3" s="157" t="s">
        <v>315</v>
      </c>
      <c r="G3" s="158" t="s">
        <v>680</v>
      </c>
      <c r="H3" s="23">
        <v>61324</v>
      </c>
      <c r="I3" s="24">
        <v>0.39115191442176001</v>
      </c>
      <c r="J3" s="25">
        <v>78405</v>
      </c>
      <c r="K3" s="25">
        <v>1328936</v>
      </c>
      <c r="L3" s="24">
        <v>0.38918496283847498</v>
      </c>
      <c r="M3" s="24">
        <v>4.9530113694561097E-2</v>
      </c>
      <c r="N3" s="24">
        <v>5.5067602171463698E-2</v>
      </c>
      <c r="O3" s="24">
        <v>0.21906688517873599</v>
      </c>
      <c r="P3" s="26">
        <v>0.26963407764007002</v>
      </c>
      <c r="Q3" s="84">
        <v>4</v>
      </c>
      <c r="R3" s="84">
        <v>4</v>
      </c>
      <c r="S3" s="84">
        <v>4</v>
      </c>
      <c r="T3" s="84">
        <v>4</v>
      </c>
      <c r="U3" s="84">
        <v>4</v>
      </c>
      <c r="V3" s="84">
        <v>4</v>
      </c>
      <c r="W3" s="84">
        <v>4</v>
      </c>
      <c r="X3" s="84">
        <v>4</v>
      </c>
      <c r="Y3" s="84">
        <v>4</v>
      </c>
      <c r="Z3" s="84">
        <v>4</v>
      </c>
      <c r="AA3" s="84">
        <v>4</v>
      </c>
      <c r="AB3" s="84">
        <v>4</v>
      </c>
      <c r="AC3" s="84">
        <v>4</v>
      </c>
      <c r="AD3" s="84">
        <v>4</v>
      </c>
      <c r="AE3" s="84">
        <v>4</v>
      </c>
      <c r="AF3" s="84">
        <v>4</v>
      </c>
      <c r="AG3" s="84">
        <v>4</v>
      </c>
      <c r="AH3" s="84">
        <v>4</v>
      </c>
      <c r="AI3" s="84">
        <v>4</v>
      </c>
    </row>
    <row r="4" spans="1:35" ht="36" customHeight="1" x14ac:dyDescent="0.25">
      <c r="A4" s="155" t="s">
        <v>287</v>
      </c>
      <c r="B4" s="155">
        <v>102</v>
      </c>
      <c r="C4" s="155" t="s">
        <v>27</v>
      </c>
      <c r="D4" s="159">
        <v>33420</v>
      </c>
      <c r="E4" s="160" t="s">
        <v>520</v>
      </c>
      <c r="F4" s="160" t="s">
        <v>316</v>
      </c>
      <c r="G4" s="161" t="s">
        <v>583</v>
      </c>
      <c r="H4" s="5">
        <v>61525</v>
      </c>
      <c r="I4" s="6">
        <v>0.379764323445754</v>
      </c>
      <c r="J4" s="7">
        <v>78074</v>
      </c>
      <c r="K4" s="7">
        <v>1246506</v>
      </c>
      <c r="L4" s="6">
        <v>0.38967161158015301</v>
      </c>
      <c r="M4" s="6">
        <v>0.143910684500796</v>
      </c>
      <c r="N4" s="6">
        <v>7.2431444474977499E-2</v>
      </c>
      <c r="O4" s="6">
        <v>0.12749314604515599</v>
      </c>
      <c r="P4" s="8">
        <v>0.26532633771943798</v>
      </c>
      <c r="Q4" s="84">
        <v>0</v>
      </c>
      <c r="R4" s="84">
        <v>0</v>
      </c>
      <c r="S4" s="84">
        <v>0</v>
      </c>
      <c r="T4" s="84">
        <v>0</v>
      </c>
      <c r="U4" s="84">
        <v>0</v>
      </c>
      <c r="V4" s="84">
        <v>0</v>
      </c>
      <c r="W4" s="84">
        <v>0</v>
      </c>
      <c r="X4" s="84">
        <v>0</v>
      </c>
      <c r="Y4" s="84">
        <v>0</v>
      </c>
      <c r="Z4" s="84">
        <v>0</v>
      </c>
      <c r="AA4" s="84">
        <v>0</v>
      </c>
      <c r="AB4" s="84">
        <v>0</v>
      </c>
      <c r="AC4" s="84">
        <v>0</v>
      </c>
      <c r="AD4" s="84">
        <v>0</v>
      </c>
      <c r="AE4" s="84">
        <v>0</v>
      </c>
      <c r="AF4" s="84">
        <v>0</v>
      </c>
      <c r="AG4" s="84">
        <v>0</v>
      </c>
      <c r="AH4" s="84">
        <v>0</v>
      </c>
      <c r="AI4" s="84">
        <v>0</v>
      </c>
    </row>
    <row r="5" spans="1:35" ht="36" customHeight="1" x14ac:dyDescent="0.25">
      <c r="A5" s="155" t="s">
        <v>289</v>
      </c>
      <c r="B5" s="155">
        <v>301</v>
      </c>
      <c r="C5" s="155" t="s">
        <v>48</v>
      </c>
      <c r="D5" s="159">
        <v>34639</v>
      </c>
      <c r="E5" s="160" t="s">
        <v>524</v>
      </c>
      <c r="F5" s="160" t="s">
        <v>668</v>
      </c>
      <c r="G5" s="161" t="s">
        <v>585</v>
      </c>
      <c r="H5" s="5">
        <v>106097</v>
      </c>
      <c r="I5" s="6">
        <v>0.408201928423989</v>
      </c>
      <c r="J5" s="7">
        <v>79937</v>
      </c>
      <c r="K5" s="7">
        <v>1357225</v>
      </c>
      <c r="L5" s="6">
        <v>0.39828825396825401</v>
      </c>
      <c r="M5" s="6">
        <v>0.20262894781165899</v>
      </c>
      <c r="N5" s="6">
        <v>6.0986142119427898E-2</v>
      </c>
      <c r="O5" s="6">
        <v>0.154490103817636</v>
      </c>
      <c r="P5" s="8">
        <v>0.25875569348532701</v>
      </c>
      <c r="Q5" s="84">
        <v>2</v>
      </c>
      <c r="R5" s="84">
        <v>2</v>
      </c>
      <c r="S5" s="84">
        <v>2</v>
      </c>
      <c r="T5" s="84">
        <v>2</v>
      </c>
      <c r="U5" s="84">
        <v>2</v>
      </c>
      <c r="V5" s="84">
        <v>2</v>
      </c>
      <c r="W5" s="84">
        <v>2</v>
      </c>
      <c r="X5" s="84">
        <v>3</v>
      </c>
      <c r="Y5" s="84">
        <v>3</v>
      </c>
      <c r="Z5" s="84">
        <v>3</v>
      </c>
      <c r="AA5" s="84">
        <v>4</v>
      </c>
      <c r="AB5" s="84">
        <v>2</v>
      </c>
      <c r="AC5" s="84">
        <v>4</v>
      </c>
      <c r="AD5" s="84">
        <v>2</v>
      </c>
      <c r="AE5" s="84">
        <v>4</v>
      </c>
      <c r="AF5" s="84">
        <v>4</v>
      </c>
      <c r="AG5" s="84">
        <v>3</v>
      </c>
      <c r="AH5" s="84">
        <v>4</v>
      </c>
      <c r="AI5" s="84">
        <v>3</v>
      </c>
    </row>
    <row r="6" spans="1:35" ht="36" customHeight="1" x14ac:dyDescent="0.25">
      <c r="A6" s="155" t="s">
        <v>290</v>
      </c>
      <c r="B6" s="155">
        <v>401</v>
      </c>
      <c r="C6" s="155" t="s">
        <v>54</v>
      </c>
      <c r="D6" s="159">
        <v>35370</v>
      </c>
      <c r="E6" s="160" t="s">
        <v>527</v>
      </c>
      <c r="F6" s="160" t="s">
        <v>337</v>
      </c>
      <c r="G6" s="161" t="s">
        <v>584</v>
      </c>
      <c r="H6" s="5">
        <v>120003</v>
      </c>
      <c r="I6" s="6">
        <v>0.35849103772405699</v>
      </c>
      <c r="J6" s="7">
        <v>72889</v>
      </c>
      <c r="K6" s="7">
        <v>1078772</v>
      </c>
      <c r="L6" s="6">
        <v>0.42473044254426201</v>
      </c>
      <c r="M6" s="6">
        <v>4.6275013853322E-2</v>
      </c>
      <c r="N6" s="6">
        <v>5.7203563500677103E-2</v>
      </c>
      <c r="O6" s="6">
        <v>0.37579718080798502</v>
      </c>
      <c r="P6" s="8">
        <v>0.24386765077168701</v>
      </c>
      <c r="Q6" s="84">
        <v>3</v>
      </c>
      <c r="R6" s="84">
        <v>3</v>
      </c>
      <c r="S6" s="84">
        <v>2</v>
      </c>
      <c r="T6" s="84">
        <v>2</v>
      </c>
      <c r="U6" s="84">
        <v>1</v>
      </c>
      <c r="V6" s="84">
        <v>3</v>
      </c>
      <c r="W6" s="84">
        <v>3</v>
      </c>
      <c r="X6" s="84">
        <v>3</v>
      </c>
      <c r="Y6" s="84">
        <v>2</v>
      </c>
      <c r="Z6" s="84">
        <v>4</v>
      </c>
      <c r="AA6" s="84">
        <v>3</v>
      </c>
      <c r="AB6" s="84">
        <v>2</v>
      </c>
      <c r="AC6" s="84">
        <v>4</v>
      </c>
      <c r="AD6" s="84">
        <v>3</v>
      </c>
      <c r="AE6" s="84">
        <v>4</v>
      </c>
      <c r="AF6" s="84">
        <v>4</v>
      </c>
      <c r="AG6" s="84">
        <v>2</v>
      </c>
      <c r="AH6" s="84">
        <v>4</v>
      </c>
      <c r="AI6" s="84">
        <v>3</v>
      </c>
    </row>
    <row r="7" spans="1:35" ht="36" customHeight="1" x14ac:dyDescent="0.25">
      <c r="A7" s="155" t="s">
        <v>288</v>
      </c>
      <c r="B7" s="155">
        <v>202</v>
      </c>
      <c r="C7" s="155" t="s">
        <v>29</v>
      </c>
      <c r="D7" s="159">
        <v>35735</v>
      </c>
      <c r="E7" s="160" t="s">
        <v>521</v>
      </c>
      <c r="F7" s="160" t="s">
        <v>317</v>
      </c>
      <c r="G7" s="161" t="s">
        <v>584</v>
      </c>
      <c r="H7" s="5">
        <v>126019</v>
      </c>
      <c r="I7" s="6">
        <v>0.55664622001444197</v>
      </c>
      <c r="J7" s="7">
        <v>109886</v>
      </c>
      <c r="K7" s="7">
        <v>1897495</v>
      </c>
      <c r="L7" s="6">
        <v>0.544970806849435</v>
      </c>
      <c r="M7" s="6">
        <v>0.207948396365842</v>
      </c>
      <c r="N7" s="6">
        <v>0.17851359865279401</v>
      </c>
      <c r="O7" s="6">
        <v>0.15740757096677299</v>
      </c>
      <c r="P7" s="8">
        <v>0.24924779047652701</v>
      </c>
      <c r="Q7" s="84" t="s">
        <v>772</v>
      </c>
      <c r="R7" s="84" t="s">
        <v>772</v>
      </c>
      <c r="S7" s="84" t="s">
        <v>772</v>
      </c>
      <c r="T7" s="84" t="s">
        <v>772</v>
      </c>
      <c r="U7" s="84" t="s">
        <v>772</v>
      </c>
      <c r="V7" s="84" t="s">
        <v>772</v>
      </c>
      <c r="W7" s="84">
        <v>2</v>
      </c>
      <c r="X7" s="84" t="s">
        <v>772</v>
      </c>
      <c r="Y7" s="84" t="s">
        <v>772</v>
      </c>
      <c r="Z7" s="84">
        <v>3</v>
      </c>
      <c r="AA7" s="84">
        <v>2</v>
      </c>
      <c r="AB7" s="84">
        <v>1</v>
      </c>
      <c r="AC7" s="84">
        <v>2</v>
      </c>
      <c r="AD7" s="84">
        <v>1</v>
      </c>
      <c r="AE7" s="84">
        <v>2</v>
      </c>
      <c r="AF7" s="84">
        <v>3</v>
      </c>
      <c r="AG7" s="84">
        <v>1</v>
      </c>
      <c r="AH7" s="84">
        <v>2</v>
      </c>
      <c r="AI7" s="84">
        <v>2</v>
      </c>
    </row>
    <row r="8" spans="1:35" ht="36" customHeight="1" x14ac:dyDescent="0.25">
      <c r="A8" s="155" t="s">
        <v>290</v>
      </c>
      <c r="B8" s="155">
        <v>402</v>
      </c>
      <c r="C8" s="155" t="s">
        <v>55</v>
      </c>
      <c r="D8" s="159">
        <v>35749</v>
      </c>
      <c r="E8" s="160" t="s">
        <v>528</v>
      </c>
      <c r="F8" s="160" t="s">
        <v>338</v>
      </c>
      <c r="G8" s="161" t="s">
        <v>585</v>
      </c>
      <c r="H8" s="5">
        <v>51979</v>
      </c>
      <c r="I8" s="6">
        <v>0.46112853267665799</v>
      </c>
      <c r="J8" s="7">
        <v>92318</v>
      </c>
      <c r="K8" s="7">
        <v>1049169</v>
      </c>
      <c r="L8" s="6">
        <v>0.460735171261487</v>
      </c>
      <c r="M8" s="6">
        <v>0.16596075542733199</v>
      </c>
      <c r="N8" s="6">
        <v>0.100225755188618</v>
      </c>
      <c r="O8" s="6">
        <v>0.42895531956976901</v>
      </c>
      <c r="P8" s="8">
        <v>0.21264638280168299</v>
      </c>
      <c r="Q8" s="84">
        <v>4</v>
      </c>
      <c r="R8" s="84">
        <v>4</v>
      </c>
      <c r="S8" s="84">
        <v>4</v>
      </c>
      <c r="T8" s="84">
        <v>4</v>
      </c>
      <c r="U8" s="84">
        <v>4</v>
      </c>
      <c r="V8" s="84">
        <v>4</v>
      </c>
      <c r="W8" s="84">
        <v>4</v>
      </c>
      <c r="X8" s="84">
        <v>4</v>
      </c>
      <c r="Y8" s="84">
        <v>4</v>
      </c>
      <c r="Z8" s="84">
        <v>4</v>
      </c>
      <c r="AA8" s="84">
        <v>4</v>
      </c>
      <c r="AB8" s="84">
        <v>4</v>
      </c>
      <c r="AC8" s="84">
        <v>4</v>
      </c>
      <c r="AD8" s="84">
        <v>4</v>
      </c>
      <c r="AE8" s="84">
        <v>4</v>
      </c>
      <c r="AF8" s="84">
        <v>4</v>
      </c>
      <c r="AG8" s="84">
        <v>4</v>
      </c>
      <c r="AH8" s="84">
        <v>4</v>
      </c>
      <c r="AI8" s="84">
        <v>4</v>
      </c>
    </row>
    <row r="9" spans="1:35" ht="36" customHeight="1" x14ac:dyDescent="0.25">
      <c r="A9" s="155" t="s">
        <v>288</v>
      </c>
      <c r="B9" s="155">
        <v>205</v>
      </c>
      <c r="C9" s="155" t="s">
        <v>32</v>
      </c>
      <c r="D9" s="159">
        <v>35935</v>
      </c>
      <c r="E9" s="160" t="s">
        <v>521</v>
      </c>
      <c r="F9" s="160" t="s">
        <v>320</v>
      </c>
      <c r="G9" s="161" t="s">
        <v>585</v>
      </c>
      <c r="H9" s="5">
        <v>112024</v>
      </c>
      <c r="I9" s="6">
        <v>0.69090552024566199</v>
      </c>
      <c r="J9" s="7">
        <v>159315</v>
      </c>
      <c r="K9" s="7">
        <v>2995145</v>
      </c>
      <c r="L9" s="6">
        <v>0.76885970010461502</v>
      </c>
      <c r="M9" s="6">
        <v>0.132340481551117</v>
      </c>
      <c r="N9" s="6">
        <v>0.16859352373494099</v>
      </c>
      <c r="O9" s="6">
        <v>4.1846272248869998E-2</v>
      </c>
      <c r="P9" s="8">
        <v>0.26008013475059999</v>
      </c>
      <c r="Q9" s="84" t="s">
        <v>772</v>
      </c>
      <c r="R9" s="84" t="s">
        <v>772</v>
      </c>
      <c r="S9" s="84" t="s">
        <v>772</v>
      </c>
      <c r="T9" s="84" t="s">
        <v>772</v>
      </c>
      <c r="U9" s="84" t="s">
        <v>772</v>
      </c>
      <c r="V9" s="84" t="s">
        <v>772</v>
      </c>
      <c r="W9" s="84">
        <v>2</v>
      </c>
      <c r="X9" s="84" t="s">
        <v>772</v>
      </c>
      <c r="Y9" s="84" t="s">
        <v>772</v>
      </c>
      <c r="Z9" s="84">
        <v>4</v>
      </c>
      <c r="AA9" s="84">
        <v>4</v>
      </c>
      <c r="AB9" s="84">
        <v>4</v>
      </c>
      <c r="AC9" s="84">
        <v>4</v>
      </c>
      <c r="AD9" s="84">
        <v>4</v>
      </c>
      <c r="AE9" s="84">
        <v>4</v>
      </c>
      <c r="AF9" s="84">
        <v>4</v>
      </c>
      <c r="AG9" s="84">
        <v>4</v>
      </c>
      <c r="AH9" s="84">
        <v>4</v>
      </c>
      <c r="AI9" s="84">
        <v>4</v>
      </c>
    </row>
    <row r="10" spans="1:35" ht="36" customHeight="1" x14ac:dyDescent="0.25">
      <c r="A10" s="155" t="s">
        <v>288</v>
      </c>
      <c r="B10" s="155">
        <v>203</v>
      </c>
      <c r="C10" s="155" t="s">
        <v>30</v>
      </c>
      <c r="D10" s="159">
        <v>35935</v>
      </c>
      <c r="E10" s="160" t="s">
        <v>521</v>
      </c>
      <c r="F10" s="160" t="s">
        <v>318</v>
      </c>
      <c r="G10" s="161" t="s">
        <v>585</v>
      </c>
      <c r="H10" s="5">
        <v>225161</v>
      </c>
      <c r="I10" s="6">
        <v>0.52756916162212797</v>
      </c>
      <c r="J10" s="7">
        <v>104908</v>
      </c>
      <c r="K10" s="7">
        <v>1383598</v>
      </c>
      <c r="L10" s="6">
        <v>0.59526677747449597</v>
      </c>
      <c r="M10" s="6">
        <v>0.236200995672668</v>
      </c>
      <c r="N10" s="6">
        <v>0.13682867037055399</v>
      </c>
      <c r="O10" s="6">
        <v>0.148411135202932</v>
      </c>
      <c r="P10" s="8">
        <v>0.22647966999722299</v>
      </c>
      <c r="Q10" s="84" t="s">
        <v>772</v>
      </c>
      <c r="R10" s="84" t="s">
        <v>772</v>
      </c>
      <c r="S10" s="84" t="s">
        <v>772</v>
      </c>
      <c r="T10" s="84" t="s">
        <v>772</v>
      </c>
      <c r="U10" s="84" t="s">
        <v>772</v>
      </c>
      <c r="V10" s="84" t="s">
        <v>772</v>
      </c>
      <c r="W10" s="84">
        <v>1</v>
      </c>
      <c r="X10" s="84" t="s">
        <v>772</v>
      </c>
      <c r="Y10" s="84" t="s">
        <v>772</v>
      </c>
      <c r="Z10" s="84">
        <v>2</v>
      </c>
      <c r="AA10" s="84">
        <v>2</v>
      </c>
      <c r="AB10" s="84">
        <v>2</v>
      </c>
      <c r="AC10" s="84">
        <v>3</v>
      </c>
      <c r="AD10" s="84">
        <v>2</v>
      </c>
      <c r="AE10" s="84">
        <v>3</v>
      </c>
      <c r="AF10" s="84">
        <v>2</v>
      </c>
      <c r="AG10" s="84">
        <v>2</v>
      </c>
      <c r="AH10" s="84">
        <v>3</v>
      </c>
      <c r="AI10" s="84">
        <v>3</v>
      </c>
    </row>
    <row r="11" spans="1:35" ht="36" customHeight="1" x14ac:dyDescent="0.25">
      <c r="A11" s="155" t="s">
        <v>288</v>
      </c>
      <c r="B11" s="155">
        <v>201</v>
      </c>
      <c r="C11" s="155" t="s">
        <v>28</v>
      </c>
      <c r="D11" s="159">
        <v>35935</v>
      </c>
      <c r="E11" s="160" t="s">
        <v>521</v>
      </c>
      <c r="F11" s="160" t="s">
        <v>657</v>
      </c>
      <c r="G11" s="161" t="s">
        <v>585</v>
      </c>
      <c r="H11" s="5">
        <v>88561</v>
      </c>
      <c r="I11" s="6">
        <v>0.63310034891204903</v>
      </c>
      <c r="J11" s="7">
        <v>127883</v>
      </c>
      <c r="K11" s="7">
        <v>2198688</v>
      </c>
      <c r="L11" s="6">
        <v>0.66097156398104295</v>
      </c>
      <c r="M11" s="6">
        <v>0.12707448900566401</v>
      </c>
      <c r="N11" s="6">
        <v>0.27297092370259501</v>
      </c>
      <c r="O11" s="6">
        <v>8.0404821856487702E-2</v>
      </c>
      <c r="P11" s="8">
        <v>0.24565842344917599</v>
      </c>
      <c r="Q11" s="84" t="s">
        <v>772</v>
      </c>
      <c r="R11" s="84" t="s">
        <v>772</v>
      </c>
      <c r="S11" s="84" t="s">
        <v>772</v>
      </c>
      <c r="T11" s="84" t="s">
        <v>772</v>
      </c>
      <c r="U11" s="84" t="s">
        <v>772</v>
      </c>
      <c r="V11" s="84" t="s">
        <v>772</v>
      </c>
      <c r="W11" s="84">
        <v>0</v>
      </c>
      <c r="X11" s="84" t="s">
        <v>772</v>
      </c>
      <c r="Y11" s="84" t="s">
        <v>772</v>
      </c>
      <c r="Z11" s="84">
        <v>2</v>
      </c>
      <c r="AA11" s="84">
        <v>2</v>
      </c>
      <c r="AB11" s="84">
        <v>2</v>
      </c>
      <c r="AC11" s="84">
        <v>2</v>
      </c>
      <c r="AD11" s="84">
        <v>1</v>
      </c>
      <c r="AE11" s="84">
        <v>0</v>
      </c>
      <c r="AF11" s="84">
        <v>2</v>
      </c>
      <c r="AG11" s="84">
        <v>2</v>
      </c>
      <c r="AH11" s="84">
        <v>2</v>
      </c>
      <c r="AI11" s="84">
        <v>2</v>
      </c>
    </row>
    <row r="12" spans="1:35" ht="36" customHeight="1" x14ac:dyDescent="0.25">
      <c r="A12" s="155" t="s">
        <v>289</v>
      </c>
      <c r="B12" s="155">
        <v>302</v>
      </c>
      <c r="C12" s="155" t="s">
        <v>49</v>
      </c>
      <c r="D12" s="159">
        <v>35977</v>
      </c>
      <c r="E12" s="160" t="s">
        <v>525</v>
      </c>
      <c r="F12" s="160" t="s">
        <v>334</v>
      </c>
      <c r="G12" s="161" t="s">
        <v>584</v>
      </c>
      <c r="H12" s="5">
        <v>195507</v>
      </c>
      <c r="I12" s="6">
        <v>0.37651848782907998</v>
      </c>
      <c r="J12" s="7">
        <v>71908</v>
      </c>
      <c r="K12" s="7">
        <v>1291591</v>
      </c>
      <c r="L12" s="6">
        <v>0.42325634633262499</v>
      </c>
      <c r="M12" s="6">
        <v>0.22048485769654599</v>
      </c>
      <c r="N12" s="6">
        <v>6.3631872933844993E-2</v>
      </c>
      <c r="O12" s="6">
        <v>0.39901014553330499</v>
      </c>
      <c r="P12" s="8">
        <v>0.24559410267127699</v>
      </c>
      <c r="Q12" s="84">
        <v>1</v>
      </c>
      <c r="R12" s="84">
        <v>1</v>
      </c>
      <c r="S12" s="84">
        <v>1</v>
      </c>
      <c r="T12" s="84">
        <v>1</v>
      </c>
      <c r="U12" s="84">
        <v>1</v>
      </c>
      <c r="V12" s="84">
        <v>2</v>
      </c>
      <c r="W12" s="84">
        <v>1</v>
      </c>
      <c r="X12" s="84">
        <v>3</v>
      </c>
      <c r="Y12" s="84">
        <v>1</v>
      </c>
      <c r="Z12" s="84">
        <v>3</v>
      </c>
      <c r="AA12" s="84">
        <v>3</v>
      </c>
      <c r="AB12" s="84">
        <v>2</v>
      </c>
      <c r="AC12" s="84">
        <v>2</v>
      </c>
      <c r="AD12" s="84">
        <v>2</v>
      </c>
      <c r="AE12" s="84">
        <v>3</v>
      </c>
      <c r="AF12" s="84">
        <v>2</v>
      </c>
      <c r="AG12" s="84">
        <v>2</v>
      </c>
      <c r="AH12" s="84">
        <v>3</v>
      </c>
      <c r="AI12" s="84">
        <v>3</v>
      </c>
    </row>
    <row r="13" spans="1:35" ht="36" customHeight="1" x14ac:dyDescent="0.25">
      <c r="A13" s="155" t="s">
        <v>288</v>
      </c>
      <c r="B13" s="155">
        <v>204</v>
      </c>
      <c r="C13" s="155" t="s">
        <v>31</v>
      </c>
      <c r="D13" s="159">
        <v>36404</v>
      </c>
      <c r="E13" s="160" t="s">
        <v>521</v>
      </c>
      <c r="F13" s="160" t="s">
        <v>319</v>
      </c>
      <c r="G13" s="161" t="s">
        <v>584</v>
      </c>
      <c r="H13" s="5">
        <v>68003</v>
      </c>
      <c r="I13" s="6">
        <v>0.62294310545122999</v>
      </c>
      <c r="J13" s="7">
        <v>126650</v>
      </c>
      <c r="K13" s="7">
        <v>2155865</v>
      </c>
      <c r="L13" s="6">
        <v>0.59181975143492704</v>
      </c>
      <c r="M13" s="6">
        <v>0.22366269807998701</v>
      </c>
      <c r="N13" s="6">
        <v>0.19436467678376801</v>
      </c>
      <c r="O13" s="6">
        <v>8.7013708392722405E-2</v>
      </c>
      <c r="P13" s="8">
        <v>0.231318646767838</v>
      </c>
      <c r="Q13" s="84" t="s">
        <v>772</v>
      </c>
      <c r="R13" s="84" t="s">
        <v>772</v>
      </c>
      <c r="S13" s="84" t="s">
        <v>772</v>
      </c>
      <c r="T13" s="84" t="s">
        <v>772</v>
      </c>
      <c r="U13" s="84" t="s">
        <v>772</v>
      </c>
      <c r="V13" s="84" t="s">
        <v>772</v>
      </c>
      <c r="W13" s="84">
        <v>0</v>
      </c>
      <c r="X13" s="84" t="s">
        <v>772</v>
      </c>
      <c r="Y13" s="84" t="s">
        <v>772</v>
      </c>
      <c r="Z13" s="84">
        <v>1</v>
      </c>
      <c r="AA13" s="84">
        <v>1</v>
      </c>
      <c r="AB13" s="84">
        <v>1</v>
      </c>
      <c r="AC13" s="84">
        <v>1</v>
      </c>
      <c r="AD13" s="84">
        <v>1</v>
      </c>
      <c r="AE13" s="84">
        <v>0</v>
      </c>
      <c r="AF13" s="84">
        <v>1</v>
      </c>
      <c r="AG13" s="84">
        <v>1</v>
      </c>
      <c r="AH13" s="84">
        <v>2</v>
      </c>
      <c r="AI13" s="84">
        <v>2</v>
      </c>
    </row>
    <row r="14" spans="1:35" ht="36" customHeight="1" x14ac:dyDescent="0.25">
      <c r="A14" s="155" t="s">
        <v>288</v>
      </c>
      <c r="B14" s="155">
        <v>206</v>
      </c>
      <c r="C14" s="155" t="s">
        <v>33</v>
      </c>
      <c r="D14" s="159">
        <v>36434</v>
      </c>
      <c r="E14" s="160" t="s">
        <v>522</v>
      </c>
      <c r="F14" s="160" t="s">
        <v>321</v>
      </c>
      <c r="G14" s="161" t="s">
        <v>584</v>
      </c>
      <c r="H14" s="5">
        <v>61052</v>
      </c>
      <c r="I14" s="6">
        <v>0.37730131691017499</v>
      </c>
      <c r="J14" s="7">
        <v>74897</v>
      </c>
      <c r="K14" s="7">
        <v>1312550</v>
      </c>
      <c r="L14" s="6">
        <v>0.46264298559483902</v>
      </c>
      <c r="M14" s="6">
        <v>9.8299208477791597E-2</v>
      </c>
      <c r="N14" s="6">
        <v>3.5579250343429097E-2</v>
      </c>
      <c r="O14" s="6">
        <v>0.25074246091450297</v>
      </c>
      <c r="P14" s="8">
        <v>0.26353764636619298</v>
      </c>
      <c r="Q14" s="84" t="s">
        <v>772</v>
      </c>
      <c r="R14" s="84" t="s">
        <v>772</v>
      </c>
      <c r="S14" s="84" t="s">
        <v>772</v>
      </c>
      <c r="T14" s="84" t="s">
        <v>772</v>
      </c>
      <c r="U14" s="84" t="s">
        <v>772</v>
      </c>
      <c r="V14" s="84" t="s">
        <v>772</v>
      </c>
      <c r="W14" s="84">
        <v>1</v>
      </c>
      <c r="X14" s="84" t="s">
        <v>772</v>
      </c>
      <c r="Y14" s="84" t="s">
        <v>772</v>
      </c>
      <c r="Z14" s="84">
        <v>2</v>
      </c>
      <c r="AA14" s="84">
        <v>1</v>
      </c>
      <c r="AB14" s="84">
        <v>0</v>
      </c>
      <c r="AC14" s="84">
        <v>2</v>
      </c>
      <c r="AD14" s="84">
        <v>1</v>
      </c>
      <c r="AE14" s="84">
        <v>2</v>
      </c>
      <c r="AF14" s="84">
        <v>2</v>
      </c>
      <c r="AG14" s="84">
        <v>0</v>
      </c>
      <c r="AH14" s="84">
        <v>2</v>
      </c>
      <c r="AI14" s="84">
        <v>1</v>
      </c>
    </row>
    <row r="15" spans="1:35" ht="36" customHeight="1" x14ac:dyDescent="0.25">
      <c r="A15" s="155" t="s">
        <v>288</v>
      </c>
      <c r="B15" s="155">
        <v>207</v>
      </c>
      <c r="C15" s="155" t="s">
        <v>34</v>
      </c>
      <c r="D15" s="159">
        <v>36800</v>
      </c>
      <c r="E15" s="160" t="s">
        <v>522</v>
      </c>
      <c r="F15" s="160" t="s">
        <v>322</v>
      </c>
      <c r="G15" s="161" t="s">
        <v>583</v>
      </c>
      <c r="H15" s="5">
        <v>85904</v>
      </c>
      <c r="I15" s="6">
        <v>0.38806109145092199</v>
      </c>
      <c r="J15" s="7">
        <v>75769</v>
      </c>
      <c r="K15" s="7">
        <v>1265320</v>
      </c>
      <c r="L15" s="6">
        <v>0.54247060519325396</v>
      </c>
      <c r="M15" s="6">
        <v>7.7466243317113506E-2</v>
      </c>
      <c r="N15" s="6">
        <v>0.11673015308793799</v>
      </c>
      <c r="O15" s="6">
        <v>0.15993774648022599</v>
      </c>
      <c r="P15" s="8">
        <v>0.23318650597316801</v>
      </c>
      <c r="Q15" s="84" t="s">
        <v>772</v>
      </c>
      <c r="R15" s="84" t="s">
        <v>772</v>
      </c>
      <c r="S15" s="84" t="s">
        <v>772</v>
      </c>
      <c r="T15" s="84" t="s">
        <v>772</v>
      </c>
      <c r="U15" s="84" t="s">
        <v>772</v>
      </c>
      <c r="V15" s="84" t="s">
        <v>772</v>
      </c>
      <c r="W15" s="84">
        <v>1</v>
      </c>
      <c r="X15" s="84" t="s">
        <v>772</v>
      </c>
      <c r="Y15" s="84" t="s">
        <v>772</v>
      </c>
      <c r="Z15" s="84">
        <v>2</v>
      </c>
      <c r="AA15" s="84">
        <v>0</v>
      </c>
      <c r="AB15" s="84">
        <v>0</v>
      </c>
      <c r="AC15" s="84">
        <v>2</v>
      </c>
      <c r="AD15" s="84">
        <v>0</v>
      </c>
      <c r="AE15" s="84">
        <v>2</v>
      </c>
      <c r="AF15" s="84">
        <v>2</v>
      </c>
      <c r="AG15" s="84">
        <v>0</v>
      </c>
      <c r="AH15" s="84">
        <v>2</v>
      </c>
      <c r="AI15" s="84">
        <v>0</v>
      </c>
    </row>
    <row r="16" spans="1:35" ht="36" customHeight="1" x14ac:dyDescent="0.25">
      <c r="A16" s="155" t="s">
        <v>288</v>
      </c>
      <c r="B16" s="155">
        <v>208</v>
      </c>
      <c r="C16" s="155" t="s">
        <v>35</v>
      </c>
      <c r="D16" s="159">
        <v>36819</v>
      </c>
      <c r="E16" s="160" t="s">
        <v>521</v>
      </c>
      <c r="F16" s="160" t="s">
        <v>323</v>
      </c>
      <c r="G16" s="161" t="s">
        <v>583</v>
      </c>
      <c r="H16" s="5">
        <v>46605</v>
      </c>
      <c r="I16" s="6">
        <v>0.42544791331402199</v>
      </c>
      <c r="J16" s="7">
        <v>84509</v>
      </c>
      <c r="K16" s="7">
        <v>1061296</v>
      </c>
      <c r="L16" s="6">
        <v>0.38411749775019</v>
      </c>
      <c r="M16" s="6">
        <v>0.140438384801021</v>
      </c>
      <c r="N16" s="6">
        <v>3.36474168805816E-2</v>
      </c>
      <c r="O16" s="6">
        <v>0.19769586670150799</v>
      </c>
      <c r="P16" s="8">
        <v>0.224433957913829</v>
      </c>
      <c r="Q16" s="84" t="s">
        <v>772</v>
      </c>
      <c r="R16" s="84" t="s">
        <v>772</v>
      </c>
      <c r="S16" s="84" t="s">
        <v>772</v>
      </c>
      <c r="T16" s="84" t="s">
        <v>772</v>
      </c>
      <c r="U16" s="84" t="s">
        <v>772</v>
      </c>
      <c r="V16" s="84" t="s">
        <v>772</v>
      </c>
      <c r="W16" s="84">
        <v>2</v>
      </c>
      <c r="X16" s="84" t="s">
        <v>772</v>
      </c>
      <c r="Y16" s="84" t="s">
        <v>772</v>
      </c>
      <c r="Z16" s="84">
        <v>2</v>
      </c>
      <c r="AA16" s="84">
        <v>0</v>
      </c>
      <c r="AB16" s="84">
        <v>0</v>
      </c>
      <c r="AC16" s="84">
        <v>2</v>
      </c>
      <c r="AD16" s="84">
        <v>0</v>
      </c>
      <c r="AE16" s="84">
        <v>1</v>
      </c>
      <c r="AF16" s="84">
        <v>1</v>
      </c>
      <c r="AG16" s="84">
        <v>0</v>
      </c>
      <c r="AH16" s="84">
        <v>1</v>
      </c>
      <c r="AI16" s="84">
        <v>1</v>
      </c>
    </row>
    <row r="17" spans="1:35" ht="36" customHeight="1" x14ac:dyDescent="0.25">
      <c r="A17" s="155" t="s">
        <v>288</v>
      </c>
      <c r="B17" s="155">
        <v>210</v>
      </c>
      <c r="C17" s="155" t="s">
        <v>37</v>
      </c>
      <c r="D17" s="159">
        <v>36979</v>
      </c>
      <c r="E17" s="160" t="s">
        <v>523</v>
      </c>
      <c r="F17" s="160" t="s">
        <v>325</v>
      </c>
      <c r="G17" s="161" t="s">
        <v>585</v>
      </c>
      <c r="H17" s="5">
        <v>54009</v>
      </c>
      <c r="I17" s="6">
        <v>0.35118221037234498</v>
      </c>
      <c r="J17" s="7">
        <v>75562</v>
      </c>
      <c r="K17" s="7">
        <v>1184772</v>
      </c>
      <c r="L17" s="6">
        <v>0.40407036093828902</v>
      </c>
      <c r="M17" s="6">
        <v>9.3123166277468403E-2</v>
      </c>
      <c r="N17" s="6">
        <v>3.9967666606789999E-2</v>
      </c>
      <c r="O17" s="6">
        <v>0.14801508891683099</v>
      </c>
      <c r="P17" s="8">
        <v>0.24021016705586501</v>
      </c>
      <c r="Q17" s="84" t="s">
        <v>772</v>
      </c>
      <c r="R17" s="84" t="s">
        <v>772</v>
      </c>
      <c r="S17" s="84" t="s">
        <v>772</v>
      </c>
      <c r="T17" s="84" t="s">
        <v>772</v>
      </c>
      <c r="U17" s="84" t="s">
        <v>772</v>
      </c>
      <c r="V17" s="84" t="s">
        <v>772</v>
      </c>
      <c r="W17" s="84">
        <v>2</v>
      </c>
      <c r="X17" s="84" t="s">
        <v>772</v>
      </c>
      <c r="Y17" s="84" t="s">
        <v>772</v>
      </c>
      <c r="Z17" s="84">
        <v>3</v>
      </c>
      <c r="AA17" s="84">
        <v>2</v>
      </c>
      <c r="AB17" s="84">
        <v>3</v>
      </c>
      <c r="AC17" s="84">
        <v>4</v>
      </c>
      <c r="AD17" s="84">
        <v>3</v>
      </c>
      <c r="AE17" s="84">
        <v>3</v>
      </c>
      <c r="AF17" s="84">
        <v>3</v>
      </c>
      <c r="AG17" s="84">
        <v>3</v>
      </c>
      <c r="AH17" s="84">
        <v>3</v>
      </c>
      <c r="AI17" s="84">
        <v>2</v>
      </c>
    </row>
    <row r="18" spans="1:35" ht="36" customHeight="1" x14ac:dyDescent="0.25">
      <c r="A18" s="155" t="s">
        <v>288</v>
      </c>
      <c r="B18" s="155">
        <v>211</v>
      </c>
      <c r="C18" s="155" t="s">
        <v>38</v>
      </c>
      <c r="D18" s="159">
        <v>37063</v>
      </c>
      <c r="E18" s="160" t="s">
        <v>523</v>
      </c>
      <c r="F18" s="160" t="s">
        <v>658</v>
      </c>
      <c r="G18" s="161" t="s">
        <v>583</v>
      </c>
      <c r="H18" s="5">
        <v>79271</v>
      </c>
      <c r="I18" s="6">
        <v>0.33613805805401697</v>
      </c>
      <c r="J18" s="7">
        <v>71122</v>
      </c>
      <c r="K18" s="7">
        <v>754023</v>
      </c>
      <c r="L18" s="6">
        <v>0.33527203222062901</v>
      </c>
      <c r="M18" s="6">
        <v>8.0816372746058296E-2</v>
      </c>
      <c r="N18" s="6">
        <v>6.9281286268293399E-2</v>
      </c>
      <c r="O18" s="6">
        <v>0.32814372387503399</v>
      </c>
      <c r="P18" s="8">
        <v>0.238221945443051</v>
      </c>
      <c r="Q18" s="84" t="s">
        <v>772</v>
      </c>
      <c r="R18" s="84" t="s">
        <v>772</v>
      </c>
      <c r="S18" s="84" t="s">
        <v>772</v>
      </c>
      <c r="T18" s="84" t="s">
        <v>772</v>
      </c>
      <c r="U18" s="84" t="s">
        <v>772</v>
      </c>
      <c r="V18" s="84" t="s">
        <v>772</v>
      </c>
      <c r="W18" s="84">
        <v>2</v>
      </c>
      <c r="X18" s="84" t="s">
        <v>772</v>
      </c>
      <c r="Y18" s="84" t="s">
        <v>772</v>
      </c>
      <c r="Z18" s="84">
        <v>2</v>
      </c>
      <c r="AA18" s="84">
        <v>0</v>
      </c>
      <c r="AB18" s="84">
        <v>0</v>
      </c>
      <c r="AC18" s="84">
        <v>1</v>
      </c>
      <c r="AD18" s="84">
        <v>0</v>
      </c>
      <c r="AE18" s="84">
        <v>1</v>
      </c>
      <c r="AF18" s="84">
        <v>1</v>
      </c>
      <c r="AG18" s="84">
        <v>0</v>
      </c>
      <c r="AH18" s="84">
        <v>0</v>
      </c>
      <c r="AI18" s="84">
        <v>0</v>
      </c>
    </row>
    <row r="19" spans="1:35" ht="36" customHeight="1" x14ac:dyDescent="0.25">
      <c r="A19" s="155" t="s">
        <v>289</v>
      </c>
      <c r="B19" s="155">
        <v>303</v>
      </c>
      <c r="C19" s="155" t="s">
        <v>50</v>
      </c>
      <c r="D19" s="159">
        <v>37325</v>
      </c>
      <c r="E19" s="160" t="s">
        <v>525</v>
      </c>
      <c r="F19" s="160" t="s">
        <v>335</v>
      </c>
      <c r="G19" s="161" t="s">
        <v>585</v>
      </c>
      <c r="H19" s="5">
        <v>174536</v>
      </c>
      <c r="I19" s="6">
        <v>0.49657950222303698</v>
      </c>
      <c r="J19" s="7">
        <v>99120</v>
      </c>
      <c r="K19" s="7">
        <v>1561975</v>
      </c>
      <c r="L19" s="6">
        <v>0.46786433779690301</v>
      </c>
      <c r="M19" s="6">
        <v>0.27246222720813101</v>
      </c>
      <c r="N19" s="6">
        <v>0.16734095033183999</v>
      </c>
      <c r="O19" s="6">
        <v>0.105579636284484</v>
      </c>
      <c r="P19" s="8">
        <v>0.26551148933320201</v>
      </c>
      <c r="Q19" s="84">
        <v>2</v>
      </c>
      <c r="R19" s="84">
        <v>4</v>
      </c>
      <c r="S19" s="84">
        <v>4</v>
      </c>
      <c r="T19" s="84">
        <v>4</v>
      </c>
      <c r="U19" s="84">
        <v>4</v>
      </c>
      <c r="V19" s="84">
        <v>3</v>
      </c>
      <c r="W19" s="84">
        <v>3</v>
      </c>
      <c r="X19" s="84">
        <v>4</v>
      </c>
      <c r="Y19" s="84">
        <v>3</v>
      </c>
      <c r="Z19" s="84">
        <v>4</v>
      </c>
      <c r="AA19" s="84">
        <v>4</v>
      </c>
      <c r="AB19" s="84">
        <v>4</v>
      </c>
      <c r="AC19" s="84">
        <v>3</v>
      </c>
      <c r="AD19" s="84">
        <v>4</v>
      </c>
      <c r="AE19" s="84">
        <v>4</v>
      </c>
      <c r="AF19" s="84">
        <v>4</v>
      </c>
      <c r="AG19" s="84">
        <v>4</v>
      </c>
      <c r="AH19" s="84">
        <v>4</v>
      </c>
      <c r="AI19" s="84">
        <v>4</v>
      </c>
    </row>
    <row r="20" spans="1:35" ht="36" customHeight="1" x14ac:dyDescent="0.25">
      <c r="A20" s="155" t="s">
        <v>292</v>
      </c>
      <c r="B20" s="155">
        <v>602</v>
      </c>
      <c r="C20" s="155" t="s">
        <v>94</v>
      </c>
      <c r="D20" s="159">
        <v>37452</v>
      </c>
      <c r="E20" s="160" t="s">
        <v>535</v>
      </c>
      <c r="F20" s="160" t="s">
        <v>374</v>
      </c>
      <c r="G20" s="161" t="s">
        <v>584</v>
      </c>
      <c r="H20" s="5">
        <v>79315</v>
      </c>
      <c r="I20" s="6">
        <v>0.24516169703082599</v>
      </c>
      <c r="J20" s="7">
        <v>52259</v>
      </c>
      <c r="K20" s="7">
        <v>747990</v>
      </c>
      <c r="L20" s="6">
        <v>0.45963019283033502</v>
      </c>
      <c r="M20" s="6">
        <v>7.9930821468615798E-2</v>
      </c>
      <c r="N20" s="6">
        <v>5.3237851445979402E-2</v>
      </c>
      <c r="O20" s="6">
        <v>0.34565465738644802</v>
      </c>
      <c r="P20" s="8">
        <v>0.22062556855444401</v>
      </c>
      <c r="Q20" s="84" t="s">
        <v>772</v>
      </c>
      <c r="R20" s="84" t="s">
        <v>772</v>
      </c>
      <c r="S20" s="84" t="s">
        <v>772</v>
      </c>
      <c r="T20" s="84" t="s">
        <v>772</v>
      </c>
      <c r="U20" s="84" t="s">
        <v>772</v>
      </c>
      <c r="V20" s="84" t="s">
        <v>772</v>
      </c>
      <c r="W20" s="84">
        <v>2</v>
      </c>
      <c r="X20" s="84" t="s">
        <v>772</v>
      </c>
      <c r="Y20" s="84" t="s">
        <v>772</v>
      </c>
      <c r="Z20" s="84">
        <v>3</v>
      </c>
      <c r="AA20" s="84">
        <v>1</v>
      </c>
      <c r="AB20" s="84">
        <v>1</v>
      </c>
      <c r="AC20" s="84">
        <v>3</v>
      </c>
      <c r="AD20" s="84">
        <v>2</v>
      </c>
      <c r="AE20" s="84">
        <v>1</v>
      </c>
      <c r="AF20" s="84">
        <v>3</v>
      </c>
      <c r="AG20" s="84">
        <v>2</v>
      </c>
      <c r="AH20" s="84">
        <v>2</v>
      </c>
      <c r="AI20" s="84">
        <v>1</v>
      </c>
    </row>
    <row r="21" spans="1:35" ht="36" customHeight="1" x14ac:dyDescent="0.25">
      <c r="A21" s="155" t="s">
        <v>292</v>
      </c>
      <c r="B21" s="155">
        <v>603</v>
      </c>
      <c r="C21" s="155" t="s">
        <v>95</v>
      </c>
      <c r="D21" s="159">
        <v>37534</v>
      </c>
      <c r="E21" s="160" t="s">
        <v>535</v>
      </c>
      <c r="F21" s="160" t="s">
        <v>375</v>
      </c>
      <c r="G21" s="161" t="s">
        <v>584</v>
      </c>
      <c r="H21" s="5">
        <v>72244</v>
      </c>
      <c r="I21" s="6">
        <v>0.197220530424672</v>
      </c>
      <c r="J21" s="7">
        <v>48698</v>
      </c>
      <c r="K21" s="7">
        <v>518178</v>
      </c>
      <c r="L21" s="6">
        <v>0.39299068717369801</v>
      </c>
      <c r="M21" s="6">
        <v>0.100886457287302</v>
      </c>
      <c r="N21" s="6">
        <v>6.1122845897249402E-2</v>
      </c>
      <c r="O21" s="6">
        <v>0.41452843473342799</v>
      </c>
      <c r="P21" s="8">
        <v>0.214065583988365</v>
      </c>
      <c r="Q21" s="84" t="s">
        <v>772</v>
      </c>
      <c r="R21" s="84" t="s">
        <v>772</v>
      </c>
      <c r="S21" s="84" t="s">
        <v>772</v>
      </c>
      <c r="T21" s="84" t="s">
        <v>772</v>
      </c>
      <c r="U21" s="84" t="s">
        <v>772</v>
      </c>
      <c r="V21" s="84" t="s">
        <v>772</v>
      </c>
      <c r="W21" s="84">
        <v>2</v>
      </c>
      <c r="X21" s="84" t="s">
        <v>772</v>
      </c>
      <c r="Y21" s="84" t="s">
        <v>772</v>
      </c>
      <c r="Z21" s="84">
        <v>0</v>
      </c>
      <c r="AA21" s="84">
        <v>0</v>
      </c>
      <c r="AB21" s="84">
        <v>0</v>
      </c>
      <c r="AC21" s="84">
        <v>0</v>
      </c>
      <c r="AD21" s="84">
        <v>0</v>
      </c>
      <c r="AE21" s="84">
        <v>0</v>
      </c>
      <c r="AF21" s="84">
        <v>0</v>
      </c>
      <c r="AG21" s="84">
        <v>0</v>
      </c>
      <c r="AH21" s="84">
        <v>0</v>
      </c>
      <c r="AI21" s="84">
        <v>0</v>
      </c>
    </row>
    <row r="22" spans="1:35" ht="36" customHeight="1" x14ac:dyDescent="0.25">
      <c r="A22" s="155" t="s">
        <v>292</v>
      </c>
      <c r="B22" s="155">
        <v>604</v>
      </c>
      <c r="C22" s="155" t="s">
        <v>96</v>
      </c>
      <c r="D22" s="159">
        <v>37576</v>
      </c>
      <c r="E22" s="160" t="s">
        <v>535</v>
      </c>
      <c r="F22" s="160" t="s">
        <v>376</v>
      </c>
      <c r="G22" s="161" t="s">
        <v>584</v>
      </c>
      <c r="H22" s="5">
        <v>71373</v>
      </c>
      <c r="I22" s="6">
        <v>0.20041192047412901</v>
      </c>
      <c r="J22" s="7">
        <v>45069</v>
      </c>
      <c r="K22" s="7">
        <v>689835</v>
      </c>
      <c r="L22" s="6">
        <v>0.39928603380375599</v>
      </c>
      <c r="M22" s="6">
        <v>0.14355568232753399</v>
      </c>
      <c r="N22" s="6">
        <v>3.3966481747745803E-2</v>
      </c>
      <c r="O22" s="6">
        <v>0.33328482364789003</v>
      </c>
      <c r="P22" s="8">
        <v>0.22628021910854701</v>
      </c>
      <c r="Q22" s="84" t="s">
        <v>772</v>
      </c>
      <c r="R22" s="84" t="s">
        <v>772</v>
      </c>
      <c r="S22" s="84" t="s">
        <v>772</v>
      </c>
      <c r="T22" s="84" t="s">
        <v>772</v>
      </c>
      <c r="U22" s="84" t="s">
        <v>772</v>
      </c>
      <c r="V22" s="84" t="s">
        <v>772</v>
      </c>
      <c r="W22" s="84">
        <v>2</v>
      </c>
      <c r="X22" s="84" t="s">
        <v>772</v>
      </c>
      <c r="Y22" s="84" t="s">
        <v>772</v>
      </c>
      <c r="Z22" s="84">
        <v>2</v>
      </c>
      <c r="AA22" s="84">
        <v>0</v>
      </c>
      <c r="AB22" s="84">
        <v>1</v>
      </c>
      <c r="AC22" s="84">
        <v>3</v>
      </c>
      <c r="AD22" s="84">
        <v>2</v>
      </c>
      <c r="AE22" s="84">
        <v>1</v>
      </c>
      <c r="AF22" s="84">
        <v>2</v>
      </c>
      <c r="AG22" s="84">
        <v>1</v>
      </c>
      <c r="AH22" s="84">
        <v>2</v>
      </c>
      <c r="AI22" s="84">
        <v>1</v>
      </c>
    </row>
    <row r="23" spans="1:35" ht="36" customHeight="1" x14ac:dyDescent="0.25">
      <c r="A23" s="155" t="s">
        <v>292</v>
      </c>
      <c r="B23" s="155">
        <v>605</v>
      </c>
      <c r="C23" s="155" t="s">
        <v>97</v>
      </c>
      <c r="D23" s="159">
        <v>37593</v>
      </c>
      <c r="E23" s="160" t="s">
        <v>536</v>
      </c>
      <c r="F23" s="160" t="s">
        <v>377</v>
      </c>
      <c r="G23" s="161" t="s">
        <v>584</v>
      </c>
      <c r="H23" s="5">
        <v>119342</v>
      </c>
      <c r="I23" s="6">
        <v>0.37474652678855702</v>
      </c>
      <c r="J23" s="7">
        <v>73576</v>
      </c>
      <c r="K23" s="7">
        <v>958429</v>
      </c>
      <c r="L23" s="6">
        <v>0.58461480252312004</v>
      </c>
      <c r="M23" s="6">
        <v>0.127260436662957</v>
      </c>
      <c r="N23" s="6">
        <v>5.3006819590824601E-2</v>
      </c>
      <c r="O23" s="6">
        <v>0.29419849266875298</v>
      </c>
      <c r="P23" s="8">
        <v>0.20734767962115</v>
      </c>
      <c r="Q23" s="84" t="s">
        <v>772</v>
      </c>
      <c r="R23" s="84" t="s">
        <v>772</v>
      </c>
      <c r="S23" s="84" t="s">
        <v>772</v>
      </c>
      <c r="T23" s="84" t="s">
        <v>772</v>
      </c>
      <c r="U23" s="84" t="s">
        <v>772</v>
      </c>
      <c r="V23" s="84" t="s">
        <v>772</v>
      </c>
      <c r="W23" s="84">
        <v>2</v>
      </c>
      <c r="X23" s="84" t="s">
        <v>772</v>
      </c>
      <c r="Y23" s="84" t="s">
        <v>772</v>
      </c>
      <c r="Z23" s="84">
        <v>3</v>
      </c>
      <c r="AA23" s="84">
        <v>3</v>
      </c>
      <c r="AB23" s="84">
        <v>4</v>
      </c>
      <c r="AC23" s="84">
        <v>4</v>
      </c>
      <c r="AD23" s="84">
        <v>3</v>
      </c>
      <c r="AE23" s="84">
        <v>4</v>
      </c>
      <c r="AF23" s="84">
        <v>4</v>
      </c>
      <c r="AG23" s="84">
        <v>4</v>
      </c>
      <c r="AH23" s="84">
        <v>4</v>
      </c>
      <c r="AI23" s="84">
        <v>3</v>
      </c>
    </row>
    <row r="24" spans="1:35" ht="36" customHeight="1" x14ac:dyDescent="0.25">
      <c r="A24" s="155" t="s">
        <v>289</v>
      </c>
      <c r="B24" s="155">
        <v>304</v>
      </c>
      <c r="C24" s="155" t="s">
        <v>51</v>
      </c>
      <c r="D24" s="159">
        <v>37600</v>
      </c>
      <c r="E24" s="160" t="s">
        <v>524</v>
      </c>
      <c r="F24" s="160" t="s">
        <v>336</v>
      </c>
      <c r="G24" s="161" t="s">
        <v>584</v>
      </c>
      <c r="H24" s="5">
        <v>179410</v>
      </c>
      <c r="I24" s="6">
        <v>0.41094141909592602</v>
      </c>
      <c r="J24" s="7">
        <v>79724</v>
      </c>
      <c r="K24" s="7">
        <v>1403768</v>
      </c>
      <c r="L24" s="6">
        <v>0.41868580997997401</v>
      </c>
      <c r="M24" s="6">
        <v>0.24050308629523501</v>
      </c>
      <c r="N24" s="6">
        <v>6.3402186630088397E-2</v>
      </c>
      <c r="O24" s="6">
        <v>0.30545043772945502</v>
      </c>
      <c r="P24" s="8">
        <v>0.25645297938435502</v>
      </c>
      <c r="Q24" s="84">
        <v>1</v>
      </c>
      <c r="R24" s="84">
        <v>2</v>
      </c>
      <c r="S24" s="84">
        <v>1</v>
      </c>
      <c r="T24" s="84">
        <v>2</v>
      </c>
      <c r="U24" s="84">
        <v>2</v>
      </c>
      <c r="V24" s="84">
        <v>2</v>
      </c>
      <c r="W24" s="84">
        <v>2</v>
      </c>
      <c r="X24" s="84">
        <v>4</v>
      </c>
      <c r="Y24" s="84">
        <v>3</v>
      </c>
      <c r="Z24" s="84">
        <v>3</v>
      </c>
      <c r="AA24" s="84">
        <v>3</v>
      </c>
      <c r="AB24" s="84">
        <v>2</v>
      </c>
      <c r="AC24" s="84">
        <v>2</v>
      </c>
      <c r="AD24" s="84">
        <v>1</v>
      </c>
      <c r="AE24" s="84">
        <v>3</v>
      </c>
      <c r="AF24" s="84">
        <v>2</v>
      </c>
      <c r="AG24" s="84">
        <v>1</v>
      </c>
      <c r="AH24" s="84">
        <v>2</v>
      </c>
      <c r="AI24" s="84">
        <v>2</v>
      </c>
    </row>
    <row r="25" spans="1:35" ht="36" customHeight="1" x14ac:dyDescent="0.25">
      <c r="A25" s="155" t="s">
        <v>292</v>
      </c>
      <c r="B25" s="155">
        <v>606</v>
      </c>
      <c r="C25" s="155" t="s">
        <v>98</v>
      </c>
      <c r="D25" s="159">
        <v>37748</v>
      </c>
      <c r="E25" s="160" t="s">
        <v>537</v>
      </c>
      <c r="F25" s="160" t="s">
        <v>378</v>
      </c>
      <c r="G25" s="161" t="s">
        <v>583</v>
      </c>
      <c r="H25" s="5">
        <v>73310</v>
      </c>
      <c r="I25" s="6">
        <v>0.37322329832219298</v>
      </c>
      <c r="J25" s="7">
        <v>74567</v>
      </c>
      <c r="K25" s="7">
        <v>940096</v>
      </c>
      <c r="L25" s="6">
        <v>0.61260107346995696</v>
      </c>
      <c r="M25" s="6">
        <v>0.10270273189807</v>
      </c>
      <c r="N25" s="6">
        <v>0.10695343134607301</v>
      </c>
      <c r="O25" s="6">
        <v>0.13556328519114599</v>
      </c>
      <c r="P25" s="8">
        <v>0.201030538061854</v>
      </c>
      <c r="Q25" s="84" t="s">
        <v>772</v>
      </c>
      <c r="R25" s="84" t="s">
        <v>772</v>
      </c>
      <c r="S25" s="84" t="s">
        <v>772</v>
      </c>
      <c r="T25" s="84" t="s">
        <v>772</v>
      </c>
      <c r="U25" s="84" t="s">
        <v>772</v>
      </c>
      <c r="V25" s="84" t="s">
        <v>772</v>
      </c>
      <c r="W25" s="84">
        <v>1</v>
      </c>
      <c r="X25" s="84" t="s">
        <v>772</v>
      </c>
      <c r="Y25" s="84" t="s">
        <v>772</v>
      </c>
      <c r="Z25" s="84">
        <v>3</v>
      </c>
      <c r="AA25" s="84">
        <v>1</v>
      </c>
      <c r="AB25" s="84">
        <v>1</v>
      </c>
      <c r="AC25" s="84">
        <v>3</v>
      </c>
      <c r="AD25" s="84">
        <v>1</v>
      </c>
      <c r="AE25" s="84">
        <v>1</v>
      </c>
      <c r="AF25" s="84">
        <v>2</v>
      </c>
      <c r="AG25" s="84">
        <v>1</v>
      </c>
      <c r="AH25" s="84">
        <v>2</v>
      </c>
      <c r="AI25" s="84">
        <v>1</v>
      </c>
    </row>
    <row r="26" spans="1:35" ht="36" customHeight="1" x14ac:dyDescent="0.25">
      <c r="A26" s="155" t="s">
        <v>292</v>
      </c>
      <c r="B26" s="155">
        <v>609</v>
      </c>
      <c r="C26" s="155" t="s">
        <v>101</v>
      </c>
      <c r="D26" s="159">
        <v>37827</v>
      </c>
      <c r="E26" s="160" t="s">
        <v>536</v>
      </c>
      <c r="F26" s="160" t="s">
        <v>664</v>
      </c>
      <c r="G26" s="161" t="s">
        <v>585</v>
      </c>
      <c r="H26" s="5">
        <v>39025</v>
      </c>
      <c r="I26" s="6">
        <v>0.49721973094170402</v>
      </c>
      <c r="J26" s="7">
        <v>99311</v>
      </c>
      <c r="K26" s="7">
        <v>1506221</v>
      </c>
      <c r="L26" s="6">
        <v>0.57216441438107801</v>
      </c>
      <c r="M26" s="6">
        <v>8.8266147160197803E-2</v>
      </c>
      <c r="N26" s="6">
        <v>3.9592387232129503E-2</v>
      </c>
      <c r="O26" s="6">
        <v>9.4550177331535007E-2</v>
      </c>
      <c r="P26" s="8">
        <v>0.23645536740096901</v>
      </c>
      <c r="Q26" s="84" t="s">
        <v>772</v>
      </c>
      <c r="R26" s="84" t="s">
        <v>772</v>
      </c>
      <c r="S26" s="84" t="s">
        <v>772</v>
      </c>
      <c r="T26" s="84" t="s">
        <v>772</v>
      </c>
      <c r="U26" s="84" t="s">
        <v>772</v>
      </c>
      <c r="V26" s="84" t="s">
        <v>772</v>
      </c>
      <c r="W26" s="84">
        <v>2</v>
      </c>
      <c r="X26" s="84" t="s">
        <v>772</v>
      </c>
      <c r="Y26" s="84" t="s">
        <v>772</v>
      </c>
      <c r="Z26" s="84">
        <v>4</v>
      </c>
      <c r="AA26" s="84">
        <v>4</v>
      </c>
      <c r="AB26" s="84">
        <v>3</v>
      </c>
      <c r="AC26" s="84">
        <v>4</v>
      </c>
      <c r="AD26" s="84">
        <v>3</v>
      </c>
      <c r="AE26" s="84">
        <v>3</v>
      </c>
      <c r="AF26" s="84">
        <v>3</v>
      </c>
      <c r="AG26" s="84">
        <v>2</v>
      </c>
      <c r="AH26" s="84">
        <v>3</v>
      </c>
      <c r="AI26" s="84">
        <v>2</v>
      </c>
    </row>
    <row r="27" spans="1:35" ht="36" customHeight="1" x14ac:dyDescent="0.25">
      <c r="A27" s="155" t="s">
        <v>292</v>
      </c>
      <c r="B27" s="155">
        <v>608</v>
      </c>
      <c r="C27" s="155" t="s">
        <v>100</v>
      </c>
      <c r="D27" s="159">
        <v>37855</v>
      </c>
      <c r="E27" s="160" t="s">
        <v>537</v>
      </c>
      <c r="F27" s="160" t="s">
        <v>380</v>
      </c>
      <c r="G27" s="161" t="s">
        <v>585</v>
      </c>
      <c r="H27" s="5">
        <v>79142</v>
      </c>
      <c r="I27" s="6">
        <v>0.355816127972505</v>
      </c>
      <c r="J27" s="7">
        <v>74259</v>
      </c>
      <c r="K27" s="7">
        <v>913630</v>
      </c>
      <c r="L27" s="6">
        <v>0.50466042294270297</v>
      </c>
      <c r="M27" s="6">
        <v>0.14460173336757801</v>
      </c>
      <c r="N27" s="6">
        <v>6.1614620315954299E-2</v>
      </c>
      <c r="O27" s="6">
        <v>0.25467208532882102</v>
      </c>
      <c r="P27" s="8">
        <v>0.224370886273562</v>
      </c>
      <c r="Q27" s="84" t="s">
        <v>772</v>
      </c>
      <c r="R27" s="84" t="s">
        <v>772</v>
      </c>
      <c r="S27" s="84" t="s">
        <v>772</v>
      </c>
      <c r="T27" s="84" t="s">
        <v>772</v>
      </c>
      <c r="U27" s="84" t="s">
        <v>772</v>
      </c>
      <c r="V27" s="84" t="s">
        <v>772</v>
      </c>
      <c r="W27" s="84">
        <v>2</v>
      </c>
      <c r="X27" s="84" t="s">
        <v>772</v>
      </c>
      <c r="Y27" s="84" t="s">
        <v>772</v>
      </c>
      <c r="Z27" s="84">
        <v>2</v>
      </c>
      <c r="AA27" s="84">
        <v>2</v>
      </c>
      <c r="AB27" s="84">
        <v>2</v>
      </c>
      <c r="AC27" s="84">
        <v>2</v>
      </c>
      <c r="AD27" s="84">
        <v>2</v>
      </c>
      <c r="AE27" s="84">
        <v>2</v>
      </c>
      <c r="AF27" s="84">
        <v>2</v>
      </c>
      <c r="AG27" s="84">
        <v>2</v>
      </c>
      <c r="AH27" s="84">
        <v>2</v>
      </c>
      <c r="AI27" s="84">
        <v>2</v>
      </c>
    </row>
    <row r="28" spans="1:35" ht="36" customHeight="1" x14ac:dyDescent="0.25">
      <c r="A28" s="155" t="s">
        <v>292</v>
      </c>
      <c r="B28" s="155">
        <v>607</v>
      </c>
      <c r="C28" s="155" t="s">
        <v>99</v>
      </c>
      <c r="D28" s="159">
        <v>37862</v>
      </c>
      <c r="E28" s="160" t="s">
        <v>537</v>
      </c>
      <c r="F28" s="160" t="s">
        <v>379</v>
      </c>
      <c r="G28" s="161" t="s">
        <v>583</v>
      </c>
      <c r="H28" s="5">
        <v>39362</v>
      </c>
      <c r="I28" s="6">
        <v>0.464712158935013</v>
      </c>
      <c r="J28" s="7">
        <v>93395</v>
      </c>
      <c r="K28" s="7">
        <v>1128912</v>
      </c>
      <c r="L28" s="6">
        <v>0.64595821405412202</v>
      </c>
      <c r="M28" s="6">
        <v>7.5902019198940796E-2</v>
      </c>
      <c r="N28" s="6">
        <v>0.102184707050645</v>
      </c>
      <c r="O28" s="6">
        <v>0.19225422045680199</v>
      </c>
      <c r="P28" s="8">
        <v>0.217621096767075</v>
      </c>
      <c r="Q28" s="84" t="s">
        <v>772</v>
      </c>
      <c r="R28" s="84" t="s">
        <v>772</v>
      </c>
      <c r="S28" s="84" t="s">
        <v>772</v>
      </c>
      <c r="T28" s="84" t="s">
        <v>772</v>
      </c>
      <c r="U28" s="84" t="s">
        <v>772</v>
      </c>
      <c r="V28" s="84" t="s">
        <v>772</v>
      </c>
      <c r="W28" s="84">
        <v>1</v>
      </c>
      <c r="X28" s="84" t="s">
        <v>772</v>
      </c>
      <c r="Y28" s="84" t="s">
        <v>772</v>
      </c>
      <c r="Z28" s="84">
        <v>2</v>
      </c>
      <c r="AA28" s="84">
        <v>1</v>
      </c>
      <c r="AB28" s="84">
        <v>1</v>
      </c>
      <c r="AC28" s="84">
        <v>1</v>
      </c>
      <c r="AD28" s="84">
        <v>0</v>
      </c>
      <c r="AE28" s="84">
        <v>1</v>
      </c>
      <c r="AF28" s="84">
        <v>1</v>
      </c>
      <c r="AG28" s="84">
        <v>0</v>
      </c>
      <c r="AH28" s="84">
        <v>2</v>
      </c>
      <c r="AI28" s="84">
        <v>1</v>
      </c>
    </row>
    <row r="29" spans="1:35" ht="36" customHeight="1" x14ac:dyDescent="0.25">
      <c r="A29" s="155" t="s">
        <v>293</v>
      </c>
      <c r="B29" s="155">
        <v>701</v>
      </c>
      <c r="C29" s="155" t="s">
        <v>107</v>
      </c>
      <c r="D29" s="159">
        <v>37932</v>
      </c>
      <c r="E29" s="160" t="s">
        <v>538</v>
      </c>
      <c r="F29" s="160" t="s">
        <v>385</v>
      </c>
      <c r="G29" s="161" t="s">
        <v>583</v>
      </c>
      <c r="H29" s="5">
        <v>40497</v>
      </c>
      <c r="I29" s="6">
        <v>0.27713163938069502</v>
      </c>
      <c r="J29" s="7">
        <v>60321</v>
      </c>
      <c r="K29" s="7">
        <v>872417</v>
      </c>
      <c r="L29" s="6">
        <v>0.40968906969986302</v>
      </c>
      <c r="M29" s="6">
        <v>4.0738340089196703E-2</v>
      </c>
      <c r="N29" s="6">
        <v>3.6317199880039099E-2</v>
      </c>
      <c r="O29" s="6">
        <v>0.36396528872851103</v>
      </c>
      <c r="P29" s="8">
        <v>0.23834492633045401</v>
      </c>
      <c r="Q29" s="84">
        <v>1</v>
      </c>
      <c r="R29" s="84">
        <v>2</v>
      </c>
      <c r="S29" s="84">
        <v>0</v>
      </c>
      <c r="T29" s="84">
        <v>0</v>
      </c>
      <c r="U29" s="84">
        <v>0</v>
      </c>
      <c r="V29" s="84">
        <v>2</v>
      </c>
      <c r="W29" s="84">
        <v>1</v>
      </c>
      <c r="X29" s="84">
        <v>2</v>
      </c>
      <c r="Y29" s="84">
        <v>1</v>
      </c>
      <c r="Z29" s="84">
        <v>3</v>
      </c>
      <c r="AA29" s="84">
        <v>1</v>
      </c>
      <c r="AB29" s="84">
        <v>1</v>
      </c>
      <c r="AC29" s="84">
        <v>2</v>
      </c>
      <c r="AD29" s="84">
        <v>0</v>
      </c>
      <c r="AE29" s="84">
        <v>2</v>
      </c>
      <c r="AF29" s="84">
        <v>2</v>
      </c>
      <c r="AG29" s="84">
        <v>1</v>
      </c>
      <c r="AH29" s="84">
        <v>1</v>
      </c>
      <c r="AI29" s="84">
        <v>0</v>
      </c>
    </row>
    <row r="30" spans="1:35" ht="36" customHeight="1" x14ac:dyDescent="0.25">
      <c r="A30" s="155" t="s">
        <v>288</v>
      </c>
      <c r="B30" s="155">
        <v>213</v>
      </c>
      <c r="C30" s="155" t="s">
        <v>39</v>
      </c>
      <c r="D30" s="159">
        <v>38026</v>
      </c>
      <c r="E30" s="160" t="s">
        <v>523</v>
      </c>
      <c r="F30" s="160" t="s">
        <v>326</v>
      </c>
      <c r="G30" s="161" t="s">
        <v>583</v>
      </c>
      <c r="H30" s="5">
        <v>95243</v>
      </c>
      <c r="I30" s="6">
        <v>0.19747383009774999</v>
      </c>
      <c r="J30" s="7">
        <v>51201</v>
      </c>
      <c r="K30" s="7">
        <v>402256</v>
      </c>
      <c r="L30" s="6">
        <v>0.27767656600948298</v>
      </c>
      <c r="M30" s="6">
        <v>6.8393694899718999E-2</v>
      </c>
      <c r="N30" s="6">
        <v>3.1457159971216203E-2</v>
      </c>
      <c r="O30" s="6">
        <v>0.49976080498168901</v>
      </c>
      <c r="P30" s="8">
        <v>0.213595121225643</v>
      </c>
      <c r="Q30" s="84" t="s">
        <v>772</v>
      </c>
      <c r="R30" s="84" t="s">
        <v>772</v>
      </c>
      <c r="S30" s="84" t="s">
        <v>772</v>
      </c>
      <c r="T30" s="84" t="s">
        <v>772</v>
      </c>
      <c r="U30" s="84" t="s">
        <v>772</v>
      </c>
      <c r="V30" s="84" t="s">
        <v>772</v>
      </c>
      <c r="W30" s="84">
        <v>1</v>
      </c>
      <c r="X30" s="84" t="s">
        <v>772</v>
      </c>
      <c r="Y30" s="84" t="s">
        <v>772</v>
      </c>
      <c r="Z30" s="84">
        <v>1</v>
      </c>
      <c r="AA30" s="84">
        <v>0</v>
      </c>
      <c r="AB30" s="84">
        <v>0</v>
      </c>
      <c r="AC30" s="84">
        <v>1</v>
      </c>
      <c r="AD30" s="84">
        <v>0</v>
      </c>
      <c r="AE30" s="84">
        <v>1</v>
      </c>
      <c r="AF30" s="84">
        <v>1</v>
      </c>
      <c r="AG30" s="84">
        <v>0</v>
      </c>
      <c r="AH30" s="84">
        <v>1</v>
      </c>
      <c r="AI30" s="84">
        <v>0</v>
      </c>
    </row>
    <row r="31" spans="1:35" ht="36" customHeight="1" x14ac:dyDescent="0.25">
      <c r="A31" s="155" t="s">
        <v>292</v>
      </c>
      <c r="B31" s="155">
        <v>610</v>
      </c>
      <c r="C31" s="155" t="s">
        <v>102</v>
      </c>
      <c r="D31" s="159">
        <v>38196</v>
      </c>
      <c r="E31" s="160" t="s">
        <v>537</v>
      </c>
      <c r="F31" s="160" t="s">
        <v>381</v>
      </c>
      <c r="G31" s="161" t="s">
        <v>584</v>
      </c>
      <c r="H31" s="5">
        <v>61525</v>
      </c>
      <c r="I31" s="6">
        <v>0.366192604632263</v>
      </c>
      <c r="J31" s="7">
        <v>69655</v>
      </c>
      <c r="K31" s="7">
        <v>1049743</v>
      </c>
      <c r="L31" s="6">
        <v>0.68331643813690401</v>
      </c>
      <c r="M31" s="6">
        <v>0.102263907707284</v>
      </c>
      <c r="N31" s="6">
        <v>0.117049684947184</v>
      </c>
      <c r="O31" s="6">
        <v>0.203034767623884</v>
      </c>
      <c r="P31" s="8">
        <v>0.18864362856654299</v>
      </c>
      <c r="Q31" s="84" t="s">
        <v>772</v>
      </c>
      <c r="R31" s="84" t="s">
        <v>772</v>
      </c>
      <c r="S31" s="84" t="s">
        <v>772</v>
      </c>
      <c r="T31" s="84" t="s">
        <v>772</v>
      </c>
      <c r="U31" s="84" t="s">
        <v>772</v>
      </c>
      <c r="V31" s="84" t="s">
        <v>772</v>
      </c>
      <c r="W31" s="84">
        <v>1</v>
      </c>
      <c r="X31" s="84" t="s">
        <v>772</v>
      </c>
      <c r="Y31" s="84" t="s">
        <v>772</v>
      </c>
      <c r="Z31" s="84">
        <v>1</v>
      </c>
      <c r="AA31" s="84">
        <v>0</v>
      </c>
      <c r="AB31" s="84">
        <v>0</v>
      </c>
      <c r="AC31" s="84">
        <v>3</v>
      </c>
      <c r="AD31" s="84">
        <v>1</v>
      </c>
      <c r="AE31" s="84">
        <v>1</v>
      </c>
      <c r="AF31" s="84">
        <v>2</v>
      </c>
      <c r="AG31" s="84">
        <v>1</v>
      </c>
      <c r="AH31" s="84">
        <v>3</v>
      </c>
      <c r="AI31" s="84">
        <v>1</v>
      </c>
    </row>
    <row r="32" spans="1:35" ht="36" customHeight="1" x14ac:dyDescent="0.25">
      <c r="A32" s="155" t="s">
        <v>293</v>
      </c>
      <c r="B32" s="155">
        <v>702</v>
      </c>
      <c r="C32" s="155" t="s">
        <v>108</v>
      </c>
      <c r="D32" s="159">
        <v>38240</v>
      </c>
      <c r="E32" s="160" t="s">
        <v>539</v>
      </c>
      <c r="F32" s="160" t="s">
        <v>386</v>
      </c>
      <c r="G32" s="161" t="s">
        <v>585</v>
      </c>
      <c r="H32" s="5">
        <v>65062</v>
      </c>
      <c r="I32" s="6">
        <v>0.29218284098244801</v>
      </c>
      <c r="J32" s="7">
        <v>60808</v>
      </c>
      <c r="K32" s="7">
        <v>627934</v>
      </c>
      <c r="L32" s="6">
        <v>0.43566018621255198</v>
      </c>
      <c r="M32" s="6">
        <v>3.7821334878301201E-2</v>
      </c>
      <c r="N32" s="6">
        <v>1.9724379463210501E-2</v>
      </c>
      <c r="O32" s="6">
        <v>0.33319879961202198</v>
      </c>
      <c r="P32" s="8">
        <v>0.21888202477590399</v>
      </c>
      <c r="Q32" s="84">
        <v>2</v>
      </c>
      <c r="R32" s="84">
        <v>2</v>
      </c>
      <c r="S32" s="84">
        <v>1</v>
      </c>
      <c r="T32" s="84">
        <v>1</v>
      </c>
      <c r="U32" s="84">
        <v>0</v>
      </c>
      <c r="V32" s="84">
        <v>3</v>
      </c>
      <c r="W32" s="84">
        <v>2</v>
      </c>
      <c r="X32" s="84">
        <v>2</v>
      </c>
      <c r="Y32" s="84">
        <v>1</v>
      </c>
      <c r="Z32" s="84">
        <v>3</v>
      </c>
      <c r="AA32" s="84">
        <v>1</v>
      </c>
      <c r="AB32" s="84">
        <v>2</v>
      </c>
      <c r="AC32" s="84">
        <v>3</v>
      </c>
      <c r="AD32" s="84">
        <v>3</v>
      </c>
      <c r="AE32" s="84">
        <v>4</v>
      </c>
      <c r="AF32" s="84">
        <v>4</v>
      </c>
      <c r="AG32" s="84">
        <v>3</v>
      </c>
      <c r="AH32" s="84">
        <v>3</v>
      </c>
      <c r="AI32" s="84">
        <v>3</v>
      </c>
    </row>
    <row r="33" spans="1:35" ht="36" customHeight="1" x14ac:dyDescent="0.25">
      <c r="A33" s="155" t="s">
        <v>292</v>
      </c>
      <c r="B33" s="155">
        <v>611</v>
      </c>
      <c r="C33" s="155" t="s">
        <v>103</v>
      </c>
      <c r="D33" s="159">
        <v>38288</v>
      </c>
      <c r="E33" s="160" t="s">
        <v>537</v>
      </c>
      <c r="F33" s="160" t="s">
        <v>382</v>
      </c>
      <c r="G33" s="161" t="s">
        <v>584</v>
      </c>
      <c r="H33" s="5">
        <v>109956</v>
      </c>
      <c r="I33" s="6">
        <v>0.34486521881479898</v>
      </c>
      <c r="J33" s="7">
        <v>68575</v>
      </c>
      <c r="K33" s="7">
        <v>848519</v>
      </c>
      <c r="L33" s="6">
        <v>0.56997409969023505</v>
      </c>
      <c r="M33" s="6">
        <v>0.119038972678947</v>
      </c>
      <c r="N33" s="6">
        <v>5.17678328594387E-2</v>
      </c>
      <c r="O33" s="6">
        <v>0.24117628878724201</v>
      </c>
      <c r="P33" s="8">
        <v>0.21535804796637401</v>
      </c>
      <c r="Q33" s="84" t="s">
        <v>772</v>
      </c>
      <c r="R33" s="84" t="s">
        <v>772</v>
      </c>
      <c r="S33" s="84" t="s">
        <v>772</v>
      </c>
      <c r="T33" s="84" t="s">
        <v>772</v>
      </c>
      <c r="U33" s="84" t="s">
        <v>772</v>
      </c>
      <c r="V33" s="84" t="s">
        <v>772</v>
      </c>
      <c r="W33" s="84">
        <v>1</v>
      </c>
      <c r="X33" s="84" t="s">
        <v>772</v>
      </c>
      <c r="Y33" s="84" t="s">
        <v>772</v>
      </c>
      <c r="Z33" s="84">
        <v>2</v>
      </c>
      <c r="AA33" s="84">
        <v>2</v>
      </c>
      <c r="AB33" s="84">
        <v>2</v>
      </c>
      <c r="AC33" s="84">
        <v>3</v>
      </c>
      <c r="AD33" s="84">
        <v>2</v>
      </c>
      <c r="AE33" s="84">
        <v>2</v>
      </c>
      <c r="AF33" s="84">
        <v>3</v>
      </c>
      <c r="AG33" s="84">
        <v>2</v>
      </c>
      <c r="AH33" s="84">
        <v>2</v>
      </c>
      <c r="AI33" s="84">
        <v>2</v>
      </c>
    </row>
    <row r="34" spans="1:35" ht="36" customHeight="1" x14ac:dyDescent="0.25">
      <c r="A34" s="155" t="s">
        <v>288</v>
      </c>
      <c r="B34" s="155">
        <v>214</v>
      </c>
      <c r="C34" s="155" t="s">
        <v>40</v>
      </c>
      <c r="D34" s="159">
        <v>38414</v>
      </c>
      <c r="E34" s="160" t="s">
        <v>521</v>
      </c>
      <c r="F34" s="160" t="s">
        <v>327</v>
      </c>
      <c r="G34" s="161" t="s">
        <v>584</v>
      </c>
      <c r="H34" s="5">
        <v>115833</v>
      </c>
      <c r="I34" s="6">
        <v>0.62373416901919099</v>
      </c>
      <c r="J34" s="7">
        <v>125578</v>
      </c>
      <c r="K34" s="7">
        <v>2322931</v>
      </c>
      <c r="L34" s="6">
        <v>0.63642402919516605</v>
      </c>
      <c r="M34" s="6">
        <v>0.17460652696920201</v>
      </c>
      <c r="N34" s="6">
        <v>0.23349739521159699</v>
      </c>
      <c r="O34" s="6">
        <v>6.7338830630597493E-2</v>
      </c>
      <c r="P34" s="8">
        <v>0.25252367572067902</v>
      </c>
      <c r="Q34" s="84" t="s">
        <v>772</v>
      </c>
      <c r="R34" s="84" t="s">
        <v>772</v>
      </c>
      <c r="S34" s="84" t="s">
        <v>772</v>
      </c>
      <c r="T34" s="84" t="s">
        <v>772</v>
      </c>
      <c r="U34" s="84" t="s">
        <v>772</v>
      </c>
      <c r="V34" s="84" t="s">
        <v>772</v>
      </c>
      <c r="W34" s="84">
        <v>0</v>
      </c>
      <c r="X34" s="84" t="s">
        <v>772</v>
      </c>
      <c r="Y34" s="84" t="s">
        <v>772</v>
      </c>
      <c r="Z34" s="84">
        <v>2</v>
      </c>
      <c r="AA34" s="84">
        <v>2</v>
      </c>
      <c r="AB34" s="84">
        <v>1</v>
      </c>
      <c r="AC34" s="84">
        <v>2</v>
      </c>
      <c r="AD34" s="84">
        <v>1</v>
      </c>
      <c r="AE34" s="84">
        <v>0</v>
      </c>
      <c r="AF34" s="84">
        <v>2</v>
      </c>
      <c r="AG34" s="84">
        <v>1</v>
      </c>
      <c r="AH34" s="84">
        <v>3</v>
      </c>
      <c r="AI34" s="84">
        <v>2</v>
      </c>
    </row>
    <row r="35" spans="1:35" ht="36" customHeight="1" x14ac:dyDescent="0.25">
      <c r="A35" s="155" t="s">
        <v>295</v>
      </c>
      <c r="B35" s="155">
        <v>901</v>
      </c>
      <c r="C35" s="155" t="s">
        <v>117</v>
      </c>
      <c r="D35" s="159">
        <v>38594</v>
      </c>
      <c r="E35" s="160" t="s">
        <v>543</v>
      </c>
      <c r="F35" s="160" t="s">
        <v>394</v>
      </c>
      <c r="G35" s="161" t="s">
        <v>583</v>
      </c>
      <c r="H35" s="5">
        <v>112471</v>
      </c>
      <c r="I35" s="6">
        <v>0.286278240613136</v>
      </c>
      <c r="J35" s="7">
        <v>57338</v>
      </c>
      <c r="K35" s="7">
        <v>751078</v>
      </c>
      <c r="L35" s="6">
        <v>0.40660512886487399</v>
      </c>
      <c r="M35" s="6">
        <v>0.38128107700625202</v>
      </c>
      <c r="N35" s="6">
        <v>3.1988852254296499E-2</v>
      </c>
      <c r="O35" s="6">
        <v>0.18143260715618301</v>
      </c>
      <c r="P35" s="8">
        <v>0.23957373578928901</v>
      </c>
      <c r="Q35" s="84">
        <v>2</v>
      </c>
      <c r="R35" s="84">
        <v>3</v>
      </c>
      <c r="S35" s="84">
        <v>3</v>
      </c>
      <c r="T35" s="84">
        <v>3</v>
      </c>
      <c r="U35" s="84">
        <v>3</v>
      </c>
      <c r="V35" s="84">
        <v>3</v>
      </c>
      <c r="W35" s="84">
        <v>3</v>
      </c>
      <c r="X35" s="84">
        <v>3</v>
      </c>
      <c r="Y35" s="84">
        <v>3</v>
      </c>
      <c r="Z35" s="84">
        <v>2</v>
      </c>
      <c r="AA35" s="84">
        <v>3</v>
      </c>
      <c r="AB35" s="84">
        <v>4</v>
      </c>
      <c r="AC35" s="84">
        <v>1</v>
      </c>
      <c r="AD35" s="84">
        <v>3</v>
      </c>
      <c r="AE35" s="84">
        <v>3</v>
      </c>
      <c r="AF35" s="84">
        <v>2</v>
      </c>
      <c r="AG35" s="84">
        <v>3</v>
      </c>
      <c r="AH35" s="84">
        <v>3</v>
      </c>
      <c r="AI35" s="84">
        <v>4</v>
      </c>
    </row>
    <row r="36" spans="1:35" ht="36" customHeight="1" x14ac:dyDescent="0.25">
      <c r="A36" s="155" t="s">
        <v>293</v>
      </c>
      <c r="B36" s="155">
        <v>703</v>
      </c>
      <c r="C36" s="155" t="s">
        <v>109</v>
      </c>
      <c r="D36" s="159">
        <v>38653</v>
      </c>
      <c r="E36" s="160" t="s">
        <v>540</v>
      </c>
      <c r="F36" s="160" t="s">
        <v>387</v>
      </c>
      <c r="G36" s="161" t="s">
        <v>584</v>
      </c>
      <c r="H36" s="5">
        <v>66227</v>
      </c>
      <c r="I36" s="6">
        <v>0.36121219442221503</v>
      </c>
      <c r="J36" s="7">
        <v>73919</v>
      </c>
      <c r="K36" s="7">
        <v>1185073</v>
      </c>
      <c r="L36" s="6">
        <v>0.51939498750011204</v>
      </c>
      <c r="M36" s="6">
        <v>7.5073939273689994E-2</v>
      </c>
      <c r="N36" s="6">
        <v>5.3701303935367498E-2</v>
      </c>
      <c r="O36" s="6">
        <v>0.15106553158772601</v>
      </c>
      <c r="P36" s="8">
        <v>0.24317805569161899</v>
      </c>
      <c r="Q36" s="84">
        <v>3</v>
      </c>
      <c r="R36" s="84">
        <v>2</v>
      </c>
      <c r="S36" s="84">
        <v>1</v>
      </c>
      <c r="T36" s="84">
        <v>2</v>
      </c>
      <c r="U36" s="84">
        <v>1</v>
      </c>
      <c r="V36" s="84">
        <v>2</v>
      </c>
      <c r="W36" s="84">
        <v>2</v>
      </c>
      <c r="X36" s="84">
        <v>2</v>
      </c>
      <c r="Y36" s="84">
        <v>1</v>
      </c>
      <c r="Z36" s="84">
        <v>4</v>
      </c>
      <c r="AA36" s="84">
        <v>4</v>
      </c>
      <c r="AB36" s="84">
        <v>3</v>
      </c>
      <c r="AC36" s="84">
        <v>4</v>
      </c>
      <c r="AD36" s="84">
        <v>3</v>
      </c>
      <c r="AE36" s="84">
        <v>4</v>
      </c>
      <c r="AF36" s="84">
        <v>4</v>
      </c>
      <c r="AG36" s="84">
        <v>3</v>
      </c>
      <c r="AH36" s="84">
        <v>3</v>
      </c>
      <c r="AI36" s="84">
        <v>2</v>
      </c>
    </row>
    <row r="37" spans="1:35" ht="36" customHeight="1" x14ac:dyDescent="0.25">
      <c r="A37" s="155" t="s">
        <v>295</v>
      </c>
      <c r="B37" s="155">
        <v>902</v>
      </c>
      <c r="C37" s="155" t="s">
        <v>118</v>
      </c>
      <c r="D37" s="159">
        <v>38694</v>
      </c>
      <c r="E37" s="160" t="s">
        <v>544</v>
      </c>
      <c r="F37" s="160" t="s">
        <v>395</v>
      </c>
      <c r="G37" s="161" t="s">
        <v>584</v>
      </c>
      <c r="H37" s="5">
        <v>63515</v>
      </c>
      <c r="I37" s="6">
        <v>0.272203416515784</v>
      </c>
      <c r="J37" s="7">
        <v>60995</v>
      </c>
      <c r="K37" s="7">
        <v>1186673</v>
      </c>
      <c r="L37" s="6">
        <v>0.37017634610862898</v>
      </c>
      <c r="M37" s="6">
        <v>0.17550643080918901</v>
      </c>
      <c r="N37" s="6">
        <v>2.4241179189564002E-2</v>
      </c>
      <c r="O37" s="6">
        <v>8.1564524530987503E-2</v>
      </c>
      <c r="P37" s="8">
        <v>0.26853122225727599</v>
      </c>
      <c r="Q37" s="84">
        <v>2</v>
      </c>
      <c r="R37" s="84">
        <v>2</v>
      </c>
      <c r="S37" s="84">
        <v>2</v>
      </c>
      <c r="T37" s="84">
        <v>3</v>
      </c>
      <c r="U37" s="84">
        <v>2</v>
      </c>
      <c r="V37" s="84">
        <v>3</v>
      </c>
      <c r="W37" s="84">
        <v>3</v>
      </c>
      <c r="X37" s="84">
        <v>2</v>
      </c>
      <c r="Y37" s="84">
        <v>1</v>
      </c>
      <c r="Z37" s="84">
        <v>3</v>
      </c>
      <c r="AA37" s="84">
        <v>3</v>
      </c>
      <c r="AB37" s="84">
        <v>3</v>
      </c>
      <c r="AC37" s="84">
        <v>3</v>
      </c>
      <c r="AD37" s="84">
        <v>3</v>
      </c>
      <c r="AE37" s="84">
        <v>3</v>
      </c>
      <c r="AF37" s="84">
        <v>3</v>
      </c>
      <c r="AG37" s="84">
        <v>3</v>
      </c>
      <c r="AH37" s="84">
        <v>3</v>
      </c>
      <c r="AI37" s="84">
        <v>2</v>
      </c>
    </row>
    <row r="38" spans="1:35" ht="36" customHeight="1" x14ac:dyDescent="0.25">
      <c r="A38" s="155" t="s">
        <v>295</v>
      </c>
      <c r="B38" s="155">
        <v>904</v>
      </c>
      <c r="C38" s="155" t="s">
        <v>120</v>
      </c>
      <c r="D38" s="159">
        <v>38778</v>
      </c>
      <c r="E38" s="160" t="s">
        <v>545</v>
      </c>
      <c r="F38" s="160" t="s">
        <v>397</v>
      </c>
      <c r="G38" s="161" t="s">
        <v>583</v>
      </c>
      <c r="H38" s="5">
        <v>96695</v>
      </c>
      <c r="I38" s="6">
        <v>0.29076994673974899</v>
      </c>
      <c r="J38" s="7">
        <v>58323</v>
      </c>
      <c r="K38" s="7">
        <v>750999</v>
      </c>
      <c r="L38" s="6">
        <v>0.36450565419414999</v>
      </c>
      <c r="M38" s="6">
        <v>0.21528301547965401</v>
      </c>
      <c r="N38" s="6">
        <v>1.9578529612469898E-2</v>
      </c>
      <c r="O38" s="6">
        <v>0.36970243867399299</v>
      </c>
      <c r="P38" s="8">
        <v>0.28244082893366401</v>
      </c>
      <c r="Q38" s="84">
        <v>1</v>
      </c>
      <c r="R38" s="84">
        <v>3</v>
      </c>
      <c r="S38" s="84">
        <v>3</v>
      </c>
      <c r="T38" s="84">
        <v>2</v>
      </c>
      <c r="U38" s="84">
        <v>3</v>
      </c>
      <c r="V38" s="84">
        <v>3</v>
      </c>
      <c r="W38" s="84">
        <v>1</v>
      </c>
      <c r="X38" s="84">
        <v>2</v>
      </c>
      <c r="Y38" s="84">
        <v>3</v>
      </c>
      <c r="Z38" s="84">
        <v>2</v>
      </c>
      <c r="AA38" s="84">
        <v>3</v>
      </c>
      <c r="AB38" s="84">
        <v>4</v>
      </c>
      <c r="AC38" s="84">
        <v>2</v>
      </c>
      <c r="AD38" s="84">
        <v>4</v>
      </c>
      <c r="AE38" s="84">
        <v>4</v>
      </c>
      <c r="AF38" s="84">
        <v>3</v>
      </c>
      <c r="AG38" s="84">
        <v>4</v>
      </c>
      <c r="AH38" s="84">
        <v>3</v>
      </c>
      <c r="AI38" s="84">
        <v>4</v>
      </c>
    </row>
    <row r="39" spans="1:35" ht="36" customHeight="1" x14ac:dyDescent="0.25">
      <c r="A39" s="155" t="s">
        <v>295</v>
      </c>
      <c r="B39" s="155">
        <v>907</v>
      </c>
      <c r="C39" s="155" t="s">
        <v>123</v>
      </c>
      <c r="D39" s="159">
        <v>38876</v>
      </c>
      <c r="E39" s="160" t="s">
        <v>546</v>
      </c>
      <c r="F39" s="160" t="s">
        <v>400</v>
      </c>
      <c r="G39" s="161" t="s">
        <v>585</v>
      </c>
      <c r="H39" s="5">
        <v>79803</v>
      </c>
      <c r="I39" s="6">
        <v>0.27425034146586003</v>
      </c>
      <c r="J39" s="7">
        <v>62306</v>
      </c>
      <c r="K39" s="7">
        <v>566903</v>
      </c>
      <c r="L39" s="6">
        <v>0.40202446806068798</v>
      </c>
      <c r="M39" s="6">
        <v>0.165586531593299</v>
      </c>
      <c r="N39" s="6">
        <v>9.3531181405340003E-2</v>
      </c>
      <c r="O39" s="6">
        <v>0.17854293862782</v>
      </c>
      <c r="P39" s="8">
        <v>0.20351726043681601</v>
      </c>
      <c r="Q39" s="84">
        <v>4</v>
      </c>
      <c r="R39" s="84">
        <v>3</v>
      </c>
      <c r="S39" s="84">
        <v>3</v>
      </c>
      <c r="T39" s="84">
        <v>2</v>
      </c>
      <c r="U39" s="84">
        <v>3</v>
      </c>
      <c r="V39" s="84">
        <v>3</v>
      </c>
      <c r="W39" s="84">
        <v>3</v>
      </c>
      <c r="X39" s="84">
        <v>4</v>
      </c>
      <c r="Y39" s="84">
        <v>3</v>
      </c>
      <c r="Z39" s="84">
        <v>3</v>
      </c>
      <c r="AA39" s="84">
        <v>4</v>
      </c>
      <c r="AB39" s="84">
        <v>4</v>
      </c>
      <c r="AC39" s="84">
        <v>3</v>
      </c>
      <c r="AD39" s="84">
        <v>4</v>
      </c>
      <c r="AE39" s="84">
        <v>4</v>
      </c>
      <c r="AF39" s="84">
        <v>4</v>
      </c>
      <c r="AG39" s="84">
        <v>4</v>
      </c>
      <c r="AH39" s="84">
        <v>3</v>
      </c>
      <c r="AI39" s="84">
        <v>4</v>
      </c>
    </row>
    <row r="40" spans="1:35" ht="36" customHeight="1" x14ac:dyDescent="0.25">
      <c r="A40" s="155" t="s">
        <v>295</v>
      </c>
      <c r="B40" s="155">
        <v>912</v>
      </c>
      <c r="C40" s="155" t="s">
        <v>127</v>
      </c>
      <c r="D40" s="159">
        <v>38960</v>
      </c>
      <c r="E40" s="160" t="s">
        <v>545</v>
      </c>
      <c r="F40" s="160" t="s">
        <v>403</v>
      </c>
      <c r="G40" s="161" t="s">
        <v>584</v>
      </c>
      <c r="H40" s="5">
        <v>161891</v>
      </c>
      <c r="I40" s="6">
        <v>0.22702312049465401</v>
      </c>
      <c r="J40" s="7">
        <v>52353</v>
      </c>
      <c r="K40" s="7">
        <v>650376</v>
      </c>
      <c r="L40" s="6">
        <v>0.315950920245399</v>
      </c>
      <c r="M40" s="6">
        <v>0.40930532923487201</v>
      </c>
      <c r="N40" s="6">
        <v>2.0054070068883802E-2</v>
      </c>
      <c r="O40" s="6">
        <v>0.36431097696466902</v>
      </c>
      <c r="P40" s="8">
        <v>0.25144433745648498</v>
      </c>
      <c r="Q40" s="84">
        <v>0</v>
      </c>
      <c r="R40" s="84">
        <v>3</v>
      </c>
      <c r="S40" s="84">
        <v>4</v>
      </c>
      <c r="T40" s="84">
        <v>3</v>
      </c>
      <c r="U40" s="84">
        <v>3</v>
      </c>
      <c r="V40" s="84">
        <v>2</v>
      </c>
      <c r="W40" s="84">
        <v>1</v>
      </c>
      <c r="X40" s="84">
        <v>4</v>
      </c>
      <c r="Y40" s="84">
        <v>4</v>
      </c>
      <c r="Z40" s="84">
        <v>0</v>
      </c>
      <c r="AA40" s="84">
        <v>0</v>
      </c>
      <c r="AB40" s="84">
        <v>3</v>
      </c>
      <c r="AC40" s="84">
        <v>0</v>
      </c>
      <c r="AD40" s="84">
        <v>2</v>
      </c>
      <c r="AE40" s="84">
        <v>3</v>
      </c>
      <c r="AF40" s="84">
        <v>0</v>
      </c>
      <c r="AG40" s="84">
        <v>2</v>
      </c>
      <c r="AH40" s="84">
        <v>2</v>
      </c>
      <c r="AI40" s="84">
        <v>4</v>
      </c>
    </row>
    <row r="41" spans="1:35" ht="36" customHeight="1" x14ac:dyDescent="0.25">
      <c r="A41" s="155" t="s">
        <v>295</v>
      </c>
      <c r="B41" s="155">
        <v>903</v>
      </c>
      <c r="C41" s="155" t="s">
        <v>119</v>
      </c>
      <c r="D41" s="159">
        <v>39037</v>
      </c>
      <c r="E41" s="160" t="s">
        <v>545</v>
      </c>
      <c r="F41" s="160" t="s">
        <v>396</v>
      </c>
      <c r="G41" s="161" t="s">
        <v>585</v>
      </c>
      <c r="H41" s="5">
        <v>68444</v>
      </c>
      <c r="I41" s="6">
        <v>0.40805622114429302</v>
      </c>
      <c r="J41" s="7">
        <v>80301</v>
      </c>
      <c r="K41" s="7">
        <v>1762097</v>
      </c>
      <c r="L41" s="6">
        <v>0.45903331134006697</v>
      </c>
      <c r="M41" s="6">
        <v>0.124372878495817</v>
      </c>
      <c r="N41" s="6">
        <v>3.5105823711520899E-2</v>
      </c>
      <c r="O41" s="6">
        <v>0.201769245247506</v>
      </c>
      <c r="P41" s="8">
        <v>0.28553255839612701</v>
      </c>
      <c r="Q41" s="84">
        <v>2</v>
      </c>
      <c r="R41" s="84">
        <v>3</v>
      </c>
      <c r="S41" s="84">
        <v>4</v>
      </c>
      <c r="T41" s="84">
        <v>3</v>
      </c>
      <c r="U41" s="84">
        <v>2</v>
      </c>
      <c r="V41" s="84">
        <v>4</v>
      </c>
      <c r="W41" s="84">
        <v>3</v>
      </c>
      <c r="X41" s="84">
        <v>2</v>
      </c>
      <c r="Y41" s="84">
        <v>2</v>
      </c>
      <c r="Z41" s="84">
        <v>3</v>
      </c>
      <c r="AA41" s="84">
        <v>4</v>
      </c>
      <c r="AB41" s="84">
        <v>4</v>
      </c>
      <c r="AC41" s="84">
        <v>4</v>
      </c>
      <c r="AD41" s="84">
        <v>4</v>
      </c>
      <c r="AE41" s="84">
        <v>4</v>
      </c>
      <c r="AF41" s="84">
        <v>4</v>
      </c>
      <c r="AG41" s="84">
        <v>4</v>
      </c>
      <c r="AH41" s="84">
        <v>4</v>
      </c>
      <c r="AI41" s="84">
        <v>4</v>
      </c>
    </row>
    <row r="42" spans="1:35" ht="36" customHeight="1" x14ac:dyDescent="0.25">
      <c r="A42" s="155" t="s">
        <v>295</v>
      </c>
      <c r="B42" s="155">
        <v>910</v>
      </c>
      <c r="C42" s="155" t="s">
        <v>126</v>
      </c>
      <c r="D42" s="159">
        <v>39041</v>
      </c>
      <c r="E42" s="160" t="s">
        <v>543</v>
      </c>
      <c r="F42" s="160" t="s">
        <v>402</v>
      </c>
      <c r="G42" s="161" t="s">
        <v>583</v>
      </c>
      <c r="H42" s="5">
        <v>104154</v>
      </c>
      <c r="I42" s="6">
        <v>0.25961556925322099</v>
      </c>
      <c r="J42" s="7">
        <v>57520</v>
      </c>
      <c r="K42" s="7">
        <v>935480</v>
      </c>
      <c r="L42" s="6">
        <v>0.33830469973314498</v>
      </c>
      <c r="M42" s="6">
        <v>0.13364490006891799</v>
      </c>
      <c r="N42" s="6">
        <v>2.7554272915230899E-2</v>
      </c>
      <c r="O42" s="6">
        <v>6.4085113714679495E-2</v>
      </c>
      <c r="P42" s="8">
        <v>0.29846657477601701</v>
      </c>
      <c r="Q42" s="84">
        <v>1</v>
      </c>
      <c r="R42" s="84">
        <v>0</v>
      </c>
      <c r="S42" s="84">
        <v>1</v>
      </c>
      <c r="T42" s="84">
        <v>1</v>
      </c>
      <c r="U42" s="84">
        <v>1</v>
      </c>
      <c r="V42" s="84">
        <v>3</v>
      </c>
      <c r="W42" s="84">
        <v>2</v>
      </c>
      <c r="X42" s="84">
        <v>1</v>
      </c>
      <c r="Y42" s="84">
        <v>1</v>
      </c>
      <c r="Z42" s="84">
        <v>3</v>
      </c>
      <c r="AA42" s="84">
        <v>2</v>
      </c>
      <c r="AB42" s="84">
        <v>2</v>
      </c>
      <c r="AC42" s="84">
        <v>2</v>
      </c>
      <c r="AD42" s="84">
        <v>1</v>
      </c>
      <c r="AE42" s="84">
        <v>1</v>
      </c>
      <c r="AF42" s="84">
        <v>2</v>
      </c>
      <c r="AG42" s="84">
        <v>1</v>
      </c>
      <c r="AH42" s="84">
        <v>2</v>
      </c>
      <c r="AI42" s="84">
        <v>1</v>
      </c>
    </row>
    <row r="43" spans="1:35" ht="36" customHeight="1" x14ac:dyDescent="0.25">
      <c r="A43" s="155" t="s">
        <v>295</v>
      </c>
      <c r="B43" s="155">
        <v>905</v>
      </c>
      <c r="C43" s="155" t="s">
        <v>121</v>
      </c>
      <c r="D43" s="159">
        <v>39135</v>
      </c>
      <c r="E43" s="160" t="s">
        <v>545</v>
      </c>
      <c r="F43" s="160" t="s">
        <v>398</v>
      </c>
      <c r="G43" s="161" t="s">
        <v>585</v>
      </c>
      <c r="H43" s="5">
        <v>114906</v>
      </c>
      <c r="I43" s="6">
        <v>0.35115659756670697</v>
      </c>
      <c r="J43" s="7">
        <v>67832</v>
      </c>
      <c r="K43" s="7">
        <v>1601701</v>
      </c>
      <c r="L43" s="6">
        <v>0.46726753762263801</v>
      </c>
      <c r="M43" s="6">
        <v>0.18486860638255101</v>
      </c>
      <c r="N43" s="6">
        <v>2.7989053885468199E-2</v>
      </c>
      <c r="O43" s="6">
        <v>0.10936053764739</v>
      </c>
      <c r="P43" s="8">
        <v>0.27690047889251101</v>
      </c>
      <c r="Q43" s="84">
        <v>3</v>
      </c>
      <c r="R43" s="84">
        <v>3</v>
      </c>
      <c r="S43" s="84">
        <v>4</v>
      </c>
      <c r="T43" s="84">
        <v>3</v>
      </c>
      <c r="U43" s="84">
        <v>4</v>
      </c>
      <c r="V43" s="84">
        <v>4</v>
      </c>
      <c r="W43" s="84">
        <v>3</v>
      </c>
      <c r="X43" s="84">
        <v>2</v>
      </c>
      <c r="Y43" s="84">
        <v>3</v>
      </c>
      <c r="Z43" s="84">
        <v>3</v>
      </c>
      <c r="AA43" s="84">
        <v>4</v>
      </c>
      <c r="AB43" s="84">
        <v>4</v>
      </c>
      <c r="AC43" s="84">
        <v>3</v>
      </c>
      <c r="AD43" s="84">
        <v>4</v>
      </c>
      <c r="AE43" s="84">
        <v>4</v>
      </c>
      <c r="AF43" s="84">
        <v>4</v>
      </c>
      <c r="AG43" s="84">
        <v>4</v>
      </c>
      <c r="AH43" s="84">
        <v>4</v>
      </c>
      <c r="AI43" s="84">
        <v>4</v>
      </c>
    </row>
    <row r="44" spans="1:35" ht="36" customHeight="1" x14ac:dyDescent="0.25">
      <c r="A44" s="155" t="s">
        <v>295</v>
      </c>
      <c r="B44" s="155">
        <v>909</v>
      </c>
      <c r="C44" s="155" t="s">
        <v>125</v>
      </c>
      <c r="D44" s="159">
        <v>39170</v>
      </c>
      <c r="E44" s="160" t="s">
        <v>547</v>
      </c>
      <c r="F44" s="160" t="s">
        <v>401</v>
      </c>
      <c r="G44" s="161" t="s">
        <v>584</v>
      </c>
      <c r="H44" s="5">
        <v>128481</v>
      </c>
      <c r="I44" s="6">
        <v>0.26235007510838199</v>
      </c>
      <c r="J44" s="7">
        <v>57186</v>
      </c>
      <c r="K44" s="7">
        <v>622337</v>
      </c>
      <c r="L44" s="6">
        <v>0.39721412405085998</v>
      </c>
      <c r="M44" s="6">
        <v>0.30977262542887102</v>
      </c>
      <c r="N44" s="6">
        <v>3.1904959002794699E-2</v>
      </c>
      <c r="O44" s="6">
        <v>0.17466485597101999</v>
      </c>
      <c r="P44" s="8">
        <v>0.23836189055781501</v>
      </c>
      <c r="Q44" s="84">
        <v>2</v>
      </c>
      <c r="R44" s="84">
        <v>3</v>
      </c>
      <c r="S44" s="84">
        <v>2</v>
      </c>
      <c r="T44" s="84">
        <v>2</v>
      </c>
      <c r="U44" s="84">
        <v>2</v>
      </c>
      <c r="V44" s="84">
        <v>3</v>
      </c>
      <c r="W44" s="84">
        <v>3</v>
      </c>
      <c r="X44" s="84">
        <v>3</v>
      </c>
      <c r="Y44" s="84">
        <v>3</v>
      </c>
      <c r="Z44" s="84">
        <v>2</v>
      </c>
      <c r="AA44" s="84">
        <v>2</v>
      </c>
      <c r="AB44" s="84">
        <v>3</v>
      </c>
      <c r="AC44" s="84">
        <v>2</v>
      </c>
      <c r="AD44" s="84">
        <v>3</v>
      </c>
      <c r="AE44" s="84">
        <v>3</v>
      </c>
      <c r="AF44" s="84">
        <v>2</v>
      </c>
      <c r="AG44" s="84">
        <v>3</v>
      </c>
      <c r="AH44" s="84">
        <v>3</v>
      </c>
      <c r="AI44" s="84">
        <v>3</v>
      </c>
    </row>
    <row r="45" spans="1:35" ht="36" customHeight="1" x14ac:dyDescent="0.25">
      <c r="A45" s="155" t="s">
        <v>294</v>
      </c>
      <c r="B45" s="155">
        <v>802</v>
      </c>
      <c r="C45" s="155" t="s">
        <v>113</v>
      </c>
      <c r="D45" s="159">
        <v>39262</v>
      </c>
      <c r="E45" s="160" t="s">
        <v>542</v>
      </c>
      <c r="F45" s="160" t="s">
        <v>390</v>
      </c>
      <c r="G45" s="161" t="s">
        <v>584</v>
      </c>
      <c r="H45" s="5">
        <v>65746</v>
      </c>
      <c r="I45" s="6">
        <v>0.37288960545128202</v>
      </c>
      <c r="J45" s="7">
        <v>79168</v>
      </c>
      <c r="K45" s="7">
        <v>1115435</v>
      </c>
      <c r="L45" s="6">
        <v>0.47809616809212702</v>
      </c>
      <c r="M45" s="6">
        <v>0.124708671657852</v>
      </c>
      <c r="N45" s="6">
        <v>7.0810770372842696E-2</v>
      </c>
      <c r="O45" s="6">
        <v>0.21585631830031099</v>
      </c>
      <c r="P45" s="8">
        <v>0.23250447422787199</v>
      </c>
      <c r="Q45" s="84">
        <v>4</v>
      </c>
      <c r="R45" s="84">
        <v>3</v>
      </c>
      <c r="S45" s="84">
        <v>2</v>
      </c>
      <c r="T45" s="84">
        <v>3</v>
      </c>
      <c r="U45" s="84">
        <v>2</v>
      </c>
      <c r="V45" s="84">
        <v>4</v>
      </c>
      <c r="W45" s="84">
        <v>3</v>
      </c>
      <c r="X45" s="84">
        <v>4</v>
      </c>
      <c r="Y45" s="84">
        <v>2</v>
      </c>
      <c r="Z45" s="84">
        <v>4</v>
      </c>
      <c r="AA45" s="84">
        <v>3</v>
      </c>
      <c r="AB45" s="84">
        <v>3</v>
      </c>
      <c r="AC45" s="84">
        <v>3</v>
      </c>
      <c r="AD45" s="84">
        <v>3</v>
      </c>
      <c r="AE45" s="84">
        <v>3</v>
      </c>
      <c r="AF45" s="84">
        <v>3</v>
      </c>
      <c r="AG45" s="84">
        <v>2</v>
      </c>
      <c r="AH45" s="84">
        <v>3</v>
      </c>
      <c r="AI45" s="84">
        <v>3</v>
      </c>
    </row>
    <row r="46" spans="1:35" ht="36" customHeight="1" x14ac:dyDescent="0.25">
      <c r="A46" s="155" t="s">
        <v>295</v>
      </c>
      <c r="B46" s="155">
        <v>906</v>
      </c>
      <c r="C46" s="155" t="s">
        <v>122</v>
      </c>
      <c r="D46" s="159">
        <v>39367</v>
      </c>
      <c r="E46" s="160" t="s">
        <v>545</v>
      </c>
      <c r="F46" s="160" t="s">
        <v>399</v>
      </c>
      <c r="G46" s="161" t="s">
        <v>585</v>
      </c>
      <c r="H46" s="5">
        <v>107171</v>
      </c>
      <c r="I46" s="6">
        <v>0.29053568595982099</v>
      </c>
      <c r="J46" s="7">
        <v>63029</v>
      </c>
      <c r="K46" s="7">
        <v>1144939</v>
      </c>
      <c r="L46" s="6">
        <v>0.350837087339474</v>
      </c>
      <c r="M46" s="6">
        <v>0.19136542134798101</v>
      </c>
      <c r="N46" s="6">
        <v>2.63023644840964E-2</v>
      </c>
      <c r="O46" s="6">
        <v>0.24495881234008399</v>
      </c>
      <c r="P46" s="8">
        <v>0.25218395441081698</v>
      </c>
      <c r="Q46" s="84">
        <v>1</v>
      </c>
      <c r="R46" s="84">
        <v>3</v>
      </c>
      <c r="S46" s="84">
        <v>2</v>
      </c>
      <c r="T46" s="84">
        <v>3</v>
      </c>
      <c r="U46" s="84">
        <v>2</v>
      </c>
      <c r="V46" s="84">
        <v>3</v>
      </c>
      <c r="W46" s="84">
        <v>3</v>
      </c>
      <c r="X46" s="84">
        <v>3</v>
      </c>
      <c r="Y46" s="84">
        <v>2</v>
      </c>
      <c r="Z46" s="84">
        <v>3</v>
      </c>
      <c r="AA46" s="84">
        <v>2</v>
      </c>
      <c r="AB46" s="84">
        <v>3</v>
      </c>
      <c r="AC46" s="84">
        <v>3</v>
      </c>
      <c r="AD46" s="84">
        <v>3</v>
      </c>
      <c r="AE46" s="84">
        <v>3</v>
      </c>
      <c r="AF46" s="84">
        <v>3</v>
      </c>
      <c r="AG46" s="84">
        <v>3</v>
      </c>
      <c r="AH46" s="84">
        <v>3</v>
      </c>
      <c r="AI46" s="84">
        <v>3</v>
      </c>
    </row>
    <row r="47" spans="1:35" ht="36" customHeight="1" x14ac:dyDescent="0.25">
      <c r="A47" s="155" t="s">
        <v>295</v>
      </c>
      <c r="B47" s="155">
        <v>908</v>
      </c>
      <c r="C47" s="155" t="s">
        <v>124</v>
      </c>
      <c r="D47" s="159">
        <v>39387</v>
      </c>
      <c r="E47" s="160" t="s">
        <v>544</v>
      </c>
      <c r="F47" s="160" t="s">
        <v>648</v>
      </c>
      <c r="G47" s="161" t="s">
        <v>585</v>
      </c>
      <c r="H47" s="5">
        <v>64972</v>
      </c>
      <c r="I47" s="6">
        <v>0.40442036569599199</v>
      </c>
      <c r="J47" s="7">
        <v>79478</v>
      </c>
      <c r="K47" s="7">
        <v>2029369</v>
      </c>
      <c r="L47" s="6">
        <v>0.42991152803094301</v>
      </c>
      <c r="M47" s="6">
        <v>0.24609667985549599</v>
      </c>
      <c r="N47" s="6">
        <v>1.80354378118011E-2</v>
      </c>
      <c r="O47" s="6">
        <v>6.3911921555135004E-2</v>
      </c>
      <c r="P47" s="8">
        <v>0.27333218647858198</v>
      </c>
      <c r="Q47" s="84">
        <v>3</v>
      </c>
      <c r="R47" s="84">
        <v>2</v>
      </c>
      <c r="S47" s="84">
        <v>3</v>
      </c>
      <c r="T47" s="84">
        <v>3</v>
      </c>
      <c r="U47" s="84">
        <v>4</v>
      </c>
      <c r="V47" s="84">
        <v>4</v>
      </c>
      <c r="W47" s="84">
        <v>4</v>
      </c>
      <c r="X47" s="84">
        <v>2</v>
      </c>
      <c r="Y47" s="84">
        <v>3</v>
      </c>
      <c r="Z47" s="84">
        <v>3</v>
      </c>
      <c r="AA47" s="84">
        <v>4</v>
      </c>
      <c r="AB47" s="84">
        <v>4</v>
      </c>
      <c r="AC47" s="84">
        <v>4</v>
      </c>
      <c r="AD47" s="84">
        <v>4</v>
      </c>
      <c r="AE47" s="84">
        <v>4</v>
      </c>
      <c r="AF47" s="84">
        <v>4</v>
      </c>
      <c r="AG47" s="84">
        <v>4</v>
      </c>
      <c r="AH47" s="84">
        <v>4</v>
      </c>
      <c r="AI47" s="84">
        <v>4</v>
      </c>
    </row>
    <row r="48" spans="1:35" ht="36" customHeight="1" x14ac:dyDescent="0.25">
      <c r="A48" s="155" t="s">
        <v>296</v>
      </c>
      <c r="B48" s="155">
        <v>1002</v>
      </c>
      <c r="C48" s="155" t="s">
        <v>155</v>
      </c>
      <c r="D48" s="159">
        <v>39463</v>
      </c>
      <c r="E48" s="160" t="s">
        <v>551</v>
      </c>
      <c r="F48" s="160" t="s">
        <v>426</v>
      </c>
      <c r="G48" s="161" t="s">
        <v>584</v>
      </c>
      <c r="H48" s="5">
        <v>118274</v>
      </c>
      <c r="I48" s="6">
        <v>0.31504810862911498</v>
      </c>
      <c r="J48" s="7">
        <v>70227</v>
      </c>
      <c r="K48" s="7">
        <v>945516</v>
      </c>
      <c r="L48" s="6">
        <v>0.30421914386180898</v>
      </c>
      <c r="M48" s="6">
        <v>0.17236782152319599</v>
      </c>
      <c r="N48" s="6">
        <v>4.4598950334981499E-2</v>
      </c>
      <c r="O48" s="6">
        <v>3.8986111345494998E-2</v>
      </c>
      <c r="P48" s="8">
        <v>0.25845047842448998</v>
      </c>
      <c r="Q48" s="84">
        <v>3</v>
      </c>
      <c r="R48" s="84">
        <v>2</v>
      </c>
      <c r="S48" s="84">
        <v>2</v>
      </c>
      <c r="T48" s="84">
        <v>3</v>
      </c>
      <c r="U48" s="84">
        <v>2</v>
      </c>
      <c r="V48" s="84">
        <v>2</v>
      </c>
      <c r="W48" s="84">
        <v>3</v>
      </c>
      <c r="X48" s="84">
        <v>3</v>
      </c>
      <c r="Y48" s="84">
        <v>2</v>
      </c>
      <c r="Z48" s="84">
        <v>2</v>
      </c>
      <c r="AA48" s="84">
        <v>1</v>
      </c>
      <c r="AB48" s="84">
        <v>1</v>
      </c>
      <c r="AC48" s="84">
        <v>2</v>
      </c>
      <c r="AD48" s="84">
        <v>0</v>
      </c>
      <c r="AE48" s="84">
        <v>1</v>
      </c>
      <c r="AF48" s="84">
        <v>2</v>
      </c>
      <c r="AG48" s="84">
        <v>0</v>
      </c>
      <c r="AH48" s="84">
        <v>1</v>
      </c>
      <c r="AI48" s="84">
        <v>1</v>
      </c>
    </row>
    <row r="49" spans="1:35" ht="36" customHeight="1" x14ac:dyDescent="0.25">
      <c r="A49" s="155" t="s">
        <v>297</v>
      </c>
      <c r="B49" s="155">
        <v>1101</v>
      </c>
      <c r="C49" s="155" t="s">
        <v>167</v>
      </c>
      <c r="D49" s="159">
        <v>39471</v>
      </c>
      <c r="E49" s="160" t="s">
        <v>552</v>
      </c>
      <c r="F49" s="160" t="s">
        <v>436</v>
      </c>
      <c r="G49" s="161" t="s">
        <v>585</v>
      </c>
      <c r="H49" s="5">
        <v>86848</v>
      </c>
      <c r="I49" s="6">
        <v>0.48822079955784797</v>
      </c>
      <c r="J49" s="7">
        <v>97376</v>
      </c>
      <c r="K49" s="7">
        <v>1445578</v>
      </c>
      <c r="L49" s="6">
        <v>0.43143260779876702</v>
      </c>
      <c r="M49" s="6">
        <v>0.15531460249897</v>
      </c>
      <c r="N49" s="6">
        <v>9.8693017987093207E-2</v>
      </c>
      <c r="O49" s="6">
        <v>2.36810037072635E-2</v>
      </c>
      <c r="P49" s="8">
        <v>0.23482339008650299</v>
      </c>
      <c r="Q49" s="84">
        <v>3</v>
      </c>
      <c r="R49" s="84">
        <v>2</v>
      </c>
      <c r="S49" s="84">
        <v>2</v>
      </c>
      <c r="T49" s="84">
        <v>1</v>
      </c>
      <c r="U49" s="84">
        <v>1</v>
      </c>
      <c r="V49" s="84">
        <v>2</v>
      </c>
      <c r="W49" s="84">
        <v>2</v>
      </c>
      <c r="X49" s="84">
        <v>2</v>
      </c>
      <c r="Y49" s="84">
        <v>2</v>
      </c>
      <c r="Z49" s="84">
        <v>1</v>
      </c>
      <c r="AA49" s="84">
        <v>2</v>
      </c>
      <c r="AB49" s="84">
        <v>3</v>
      </c>
      <c r="AC49" s="84">
        <v>3</v>
      </c>
      <c r="AD49" s="84">
        <v>4</v>
      </c>
      <c r="AE49" s="84">
        <v>2</v>
      </c>
      <c r="AF49" s="84">
        <v>2</v>
      </c>
      <c r="AG49" s="84">
        <v>3</v>
      </c>
      <c r="AH49" s="84">
        <v>2</v>
      </c>
      <c r="AI49" s="84">
        <v>2</v>
      </c>
    </row>
    <row r="50" spans="1:35" ht="36" customHeight="1" x14ac:dyDescent="0.25">
      <c r="A50" s="155" t="s">
        <v>295</v>
      </c>
      <c r="B50" s="155">
        <v>913</v>
      </c>
      <c r="C50" s="155" t="s">
        <v>128</v>
      </c>
      <c r="D50" s="159">
        <v>39526</v>
      </c>
      <c r="E50" s="160" t="s">
        <v>543</v>
      </c>
      <c r="F50" s="160" t="s">
        <v>404</v>
      </c>
      <c r="G50" s="161" t="s">
        <v>584</v>
      </c>
      <c r="H50" s="5">
        <v>108034</v>
      </c>
      <c r="I50" s="6">
        <v>0.24620027028528099</v>
      </c>
      <c r="J50" s="7">
        <v>57550</v>
      </c>
      <c r="K50" s="7">
        <v>870506</v>
      </c>
      <c r="L50" s="6">
        <v>0.292750574333694</v>
      </c>
      <c r="M50" s="6">
        <v>0.10622096130915699</v>
      </c>
      <c r="N50" s="6">
        <v>5.3081698943299997E-2</v>
      </c>
      <c r="O50" s="6">
        <v>4.5002261420171899E-2</v>
      </c>
      <c r="P50" s="8">
        <v>0.31252004440606901</v>
      </c>
      <c r="Q50" s="84">
        <v>1</v>
      </c>
      <c r="R50" s="84">
        <v>1</v>
      </c>
      <c r="S50" s="84">
        <v>1</v>
      </c>
      <c r="T50" s="84">
        <v>1</v>
      </c>
      <c r="U50" s="84">
        <v>1</v>
      </c>
      <c r="V50" s="84">
        <v>3</v>
      </c>
      <c r="W50" s="84">
        <v>3</v>
      </c>
      <c r="X50" s="84">
        <v>2</v>
      </c>
      <c r="Y50" s="84">
        <v>2</v>
      </c>
      <c r="Z50" s="84">
        <v>3</v>
      </c>
      <c r="AA50" s="84">
        <v>1</v>
      </c>
      <c r="AB50" s="84">
        <v>2</v>
      </c>
      <c r="AC50" s="84">
        <v>3</v>
      </c>
      <c r="AD50" s="84">
        <v>2</v>
      </c>
      <c r="AE50" s="84">
        <v>3</v>
      </c>
      <c r="AF50" s="84">
        <v>3</v>
      </c>
      <c r="AG50" s="84">
        <v>1</v>
      </c>
      <c r="AH50" s="84">
        <v>2</v>
      </c>
      <c r="AI50" s="84">
        <v>2</v>
      </c>
    </row>
    <row r="51" spans="1:35" ht="36" customHeight="1" x14ac:dyDescent="0.25">
      <c r="A51" s="155" t="s">
        <v>295</v>
      </c>
      <c r="B51" s="155">
        <v>915</v>
      </c>
      <c r="C51" s="155" t="s">
        <v>130</v>
      </c>
      <c r="D51" s="159">
        <v>39638</v>
      </c>
      <c r="E51" s="160" t="s">
        <v>545</v>
      </c>
      <c r="F51" s="160" t="s">
        <v>406</v>
      </c>
      <c r="G51" s="161" t="s">
        <v>584</v>
      </c>
      <c r="H51" s="5">
        <v>87528</v>
      </c>
      <c r="I51" s="6">
        <v>0.42573804953843303</v>
      </c>
      <c r="J51" s="7">
        <v>84991</v>
      </c>
      <c r="K51" s="7">
        <v>1231215</v>
      </c>
      <c r="L51" s="6">
        <v>0.40040160642570299</v>
      </c>
      <c r="M51" s="6">
        <v>0.53698722131281995</v>
      </c>
      <c r="N51" s="6">
        <v>5.7765465874533101E-2</v>
      </c>
      <c r="O51" s="6">
        <v>0.206118812410093</v>
      </c>
      <c r="P51" s="8">
        <v>0.25011733192916602</v>
      </c>
      <c r="Q51" s="84">
        <v>1</v>
      </c>
      <c r="R51" s="84">
        <v>3</v>
      </c>
      <c r="S51" s="84">
        <v>3</v>
      </c>
      <c r="T51" s="84">
        <v>4</v>
      </c>
      <c r="U51" s="84">
        <v>4</v>
      </c>
      <c r="V51" s="84">
        <v>2</v>
      </c>
      <c r="W51" s="84">
        <v>2</v>
      </c>
      <c r="X51" s="84">
        <v>3</v>
      </c>
      <c r="Y51" s="84">
        <v>3</v>
      </c>
      <c r="Z51" s="84">
        <v>1</v>
      </c>
      <c r="AA51" s="84">
        <v>2</v>
      </c>
      <c r="AB51" s="84">
        <v>3</v>
      </c>
      <c r="AC51" s="84">
        <v>0</v>
      </c>
      <c r="AD51" s="84">
        <v>1</v>
      </c>
      <c r="AE51" s="84">
        <v>3</v>
      </c>
      <c r="AF51" s="84">
        <v>2</v>
      </c>
      <c r="AG51" s="84">
        <v>2</v>
      </c>
      <c r="AH51" s="84">
        <v>1</v>
      </c>
      <c r="AI51" s="84">
        <v>4</v>
      </c>
    </row>
    <row r="52" spans="1:35" ht="36" customHeight="1" x14ac:dyDescent="0.25">
      <c r="A52" s="155" t="s">
        <v>296</v>
      </c>
      <c r="B52" s="155">
        <v>1003</v>
      </c>
      <c r="C52" s="155" t="s">
        <v>156</v>
      </c>
      <c r="D52" s="159">
        <v>39652</v>
      </c>
      <c r="E52" s="160" t="s">
        <v>551</v>
      </c>
      <c r="F52" s="160" t="s">
        <v>427</v>
      </c>
      <c r="G52" s="161" t="s">
        <v>584</v>
      </c>
      <c r="H52" s="5">
        <v>83444</v>
      </c>
      <c r="I52" s="6">
        <v>0.41367863477302103</v>
      </c>
      <c r="J52" s="7">
        <v>82948</v>
      </c>
      <c r="K52" s="7">
        <v>1238293</v>
      </c>
      <c r="L52" s="6">
        <v>0.46919780227413199</v>
      </c>
      <c r="M52" s="6">
        <v>0.18041568247630499</v>
      </c>
      <c r="N52" s="6">
        <v>5.66053586076712E-2</v>
      </c>
      <c r="O52" s="6">
        <v>3.0761096231580399E-2</v>
      </c>
      <c r="P52" s="8">
        <v>0.25180119189982503</v>
      </c>
      <c r="Q52" s="84">
        <v>3</v>
      </c>
      <c r="R52" s="84">
        <v>2</v>
      </c>
      <c r="S52" s="84">
        <v>3</v>
      </c>
      <c r="T52" s="84">
        <v>2</v>
      </c>
      <c r="U52" s="84">
        <v>1</v>
      </c>
      <c r="V52" s="84">
        <v>2</v>
      </c>
      <c r="W52" s="84">
        <v>2</v>
      </c>
      <c r="X52" s="84">
        <v>1</v>
      </c>
      <c r="Y52" s="84">
        <v>1</v>
      </c>
      <c r="Z52" s="84">
        <v>3</v>
      </c>
      <c r="AA52" s="84">
        <v>3</v>
      </c>
      <c r="AB52" s="84">
        <v>4</v>
      </c>
      <c r="AC52" s="84">
        <v>3</v>
      </c>
      <c r="AD52" s="84">
        <v>4</v>
      </c>
      <c r="AE52" s="84">
        <v>3</v>
      </c>
      <c r="AF52" s="84">
        <v>3</v>
      </c>
      <c r="AG52" s="84">
        <v>4</v>
      </c>
      <c r="AH52" s="84">
        <v>3</v>
      </c>
      <c r="AI52" s="84">
        <v>3</v>
      </c>
    </row>
    <row r="53" spans="1:35" ht="36" customHeight="1" x14ac:dyDescent="0.25">
      <c r="A53" s="155" t="s">
        <v>296</v>
      </c>
      <c r="B53" s="155">
        <v>1001</v>
      </c>
      <c r="C53" s="155" t="s">
        <v>154</v>
      </c>
      <c r="D53" s="159">
        <v>39709</v>
      </c>
      <c r="E53" s="160" t="s">
        <v>551</v>
      </c>
      <c r="F53" s="160" t="s">
        <v>425</v>
      </c>
      <c r="G53" s="161" t="s">
        <v>584</v>
      </c>
      <c r="H53" s="5">
        <v>104841</v>
      </c>
      <c r="I53" s="6">
        <v>0.195190812754552</v>
      </c>
      <c r="J53" s="7">
        <v>43730</v>
      </c>
      <c r="K53" s="7">
        <v>519532</v>
      </c>
      <c r="L53" s="6">
        <v>0.37928964420321698</v>
      </c>
      <c r="M53" s="6">
        <v>0.36082431098244599</v>
      </c>
      <c r="N53" s="6">
        <v>4.8959152596261699E-2</v>
      </c>
      <c r="O53" s="6">
        <v>4.1131879716862697E-2</v>
      </c>
      <c r="P53" s="8">
        <v>0.22448501480948499</v>
      </c>
      <c r="Q53" s="84">
        <v>3</v>
      </c>
      <c r="R53" s="84">
        <v>2</v>
      </c>
      <c r="S53" s="84">
        <v>2</v>
      </c>
      <c r="T53" s="84">
        <v>3</v>
      </c>
      <c r="U53" s="84">
        <v>2</v>
      </c>
      <c r="V53" s="84">
        <v>2</v>
      </c>
      <c r="W53" s="84">
        <v>3</v>
      </c>
      <c r="X53" s="84">
        <v>2</v>
      </c>
      <c r="Y53" s="84">
        <v>1</v>
      </c>
      <c r="Z53" s="84">
        <v>3</v>
      </c>
      <c r="AA53" s="84">
        <v>3</v>
      </c>
      <c r="AB53" s="84">
        <v>2</v>
      </c>
      <c r="AC53" s="84">
        <v>3</v>
      </c>
      <c r="AD53" s="84">
        <v>3</v>
      </c>
      <c r="AE53" s="84">
        <v>2</v>
      </c>
      <c r="AF53" s="84">
        <v>3</v>
      </c>
      <c r="AG53" s="84">
        <v>3</v>
      </c>
      <c r="AH53" s="84">
        <v>3</v>
      </c>
      <c r="AI53" s="84">
        <v>2</v>
      </c>
    </row>
    <row r="54" spans="1:35" ht="36" customHeight="1" x14ac:dyDescent="0.25">
      <c r="A54" s="155" t="s">
        <v>295</v>
      </c>
      <c r="B54" s="155">
        <v>914</v>
      </c>
      <c r="C54" s="155" t="s">
        <v>129</v>
      </c>
      <c r="D54" s="159">
        <v>39722</v>
      </c>
      <c r="E54" s="160" t="s">
        <v>543</v>
      </c>
      <c r="F54" s="160" t="s">
        <v>405</v>
      </c>
      <c r="G54" s="161" t="s">
        <v>584</v>
      </c>
      <c r="H54" s="5">
        <v>53078</v>
      </c>
      <c r="I54" s="6">
        <v>0.354723237499529</v>
      </c>
      <c r="J54" s="7">
        <v>74843</v>
      </c>
      <c r="K54" s="7">
        <v>1374467</v>
      </c>
      <c r="L54" s="6">
        <v>0.40749655391792999</v>
      </c>
      <c r="M54" s="6">
        <v>0.14478017690974601</v>
      </c>
      <c r="N54" s="6">
        <v>3.2844107525645302E-2</v>
      </c>
      <c r="O54" s="6">
        <v>5.53561602207676E-2</v>
      </c>
      <c r="P54" s="8">
        <v>0.29383936857839799</v>
      </c>
      <c r="Q54" s="84">
        <v>2</v>
      </c>
      <c r="R54" s="84">
        <v>2</v>
      </c>
      <c r="S54" s="84">
        <v>2</v>
      </c>
      <c r="T54" s="84">
        <v>2</v>
      </c>
      <c r="U54" s="84">
        <v>1</v>
      </c>
      <c r="V54" s="84">
        <v>3</v>
      </c>
      <c r="W54" s="84">
        <v>3</v>
      </c>
      <c r="X54" s="84">
        <v>1</v>
      </c>
      <c r="Y54" s="84">
        <v>2</v>
      </c>
      <c r="Z54" s="84">
        <v>3</v>
      </c>
      <c r="AA54" s="84">
        <v>3</v>
      </c>
      <c r="AB54" s="84">
        <v>4</v>
      </c>
      <c r="AC54" s="84">
        <v>4</v>
      </c>
      <c r="AD54" s="84">
        <v>4</v>
      </c>
      <c r="AE54" s="84">
        <v>3</v>
      </c>
      <c r="AF54" s="84">
        <v>4</v>
      </c>
      <c r="AG54" s="84">
        <v>4</v>
      </c>
      <c r="AH54" s="84">
        <v>4</v>
      </c>
      <c r="AI54" s="84">
        <v>3</v>
      </c>
    </row>
    <row r="55" spans="1:35" ht="36" customHeight="1" x14ac:dyDescent="0.25">
      <c r="A55" s="155" t="s">
        <v>297</v>
      </c>
      <c r="B55" s="155">
        <v>1103</v>
      </c>
      <c r="C55" s="155" t="s">
        <v>169</v>
      </c>
      <c r="D55" s="159">
        <v>39737</v>
      </c>
      <c r="E55" s="160" t="s">
        <v>553</v>
      </c>
      <c r="F55" s="160" t="s">
        <v>438</v>
      </c>
      <c r="G55" s="161" t="s">
        <v>584</v>
      </c>
      <c r="H55" s="5">
        <v>162484</v>
      </c>
      <c r="I55" s="6">
        <v>0.50749612269515798</v>
      </c>
      <c r="J55" s="7">
        <v>101198</v>
      </c>
      <c r="K55" s="7">
        <v>1302349</v>
      </c>
      <c r="L55" s="6">
        <v>0.492628482748665</v>
      </c>
      <c r="M55" s="6">
        <v>0.38489217991694602</v>
      </c>
      <c r="N55" s="6">
        <v>0.271628558563066</v>
      </c>
      <c r="O55" s="6">
        <v>1.9680792515134798E-2</v>
      </c>
      <c r="P55" s="8">
        <v>0.21138339920948601</v>
      </c>
      <c r="Q55" s="84">
        <v>2</v>
      </c>
      <c r="R55" s="84">
        <v>2</v>
      </c>
      <c r="S55" s="84">
        <v>4</v>
      </c>
      <c r="T55" s="84">
        <v>1</v>
      </c>
      <c r="U55" s="84">
        <v>3</v>
      </c>
      <c r="V55" s="84">
        <v>0</v>
      </c>
      <c r="W55" s="84">
        <v>2</v>
      </c>
      <c r="X55" s="84">
        <v>1</v>
      </c>
      <c r="Y55" s="84">
        <v>3</v>
      </c>
      <c r="Z55" s="84">
        <v>0</v>
      </c>
      <c r="AA55" s="84">
        <v>3</v>
      </c>
      <c r="AB55" s="84">
        <v>4</v>
      </c>
      <c r="AC55" s="84">
        <v>1</v>
      </c>
      <c r="AD55" s="84">
        <v>3</v>
      </c>
      <c r="AE55" s="84">
        <v>2</v>
      </c>
      <c r="AF55" s="84">
        <v>1</v>
      </c>
      <c r="AG55" s="84">
        <v>4</v>
      </c>
      <c r="AH55" s="84">
        <v>2</v>
      </c>
      <c r="AI55" s="84">
        <v>3</v>
      </c>
    </row>
    <row r="56" spans="1:35" ht="36" customHeight="1" x14ac:dyDescent="0.25">
      <c r="A56" s="155" t="s">
        <v>294</v>
      </c>
      <c r="B56" s="155">
        <v>803</v>
      </c>
      <c r="C56" s="155" t="s">
        <v>114</v>
      </c>
      <c r="D56" s="159">
        <v>39758</v>
      </c>
      <c r="E56" s="160" t="s">
        <v>542</v>
      </c>
      <c r="F56" s="160" t="s">
        <v>391</v>
      </c>
      <c r="G56" s="161" t="s">
        <v>585</v>
      </c>
      <c r="H56" s="5">
        <v>104773</v>
      </c>
      <c r="I56" s="6">
        <v>0.476649518482815</v>
      </c>
      <c r="J56" s="7">
        <v>93894</v>
      </c>
      <c r="K56" s="7">
        <v>1623966</v>
      </c>
      <c r="L56" s="6">
        <v>0.68080069892917405</v>
      </c>
      <c r="M56" s="6">
        <v>0.14347928388324499</v>
      </c>
      <c r="N56" s="6">
        <v>0.10701297414664999</v>
      </c>
      <c r="O56" s="6">
        <v>0.15464951641066499</v>
      </c>
      <c r="P56" s="8">
        <v>0.21703522379680601</v>
      </c>
      <c r="Q56" s="84" t="s">
        <v>772</v>
      </c>
      <c r="R56" s="84" t="s">
        <v>772</v>
      </c>
      <c r="S56" s="84" t="s">
        <v>772</v>
      </c>
      <c r="T56" s="84" t="s">
        <v>772</v>
      </c>
      <c r="U56" s="84" t="s">
        <v>772</v>
      </c>
      <c r="V56" s="84" t="s">
        <v>772</v>
      </c>
      <c r="W56" s="84">
        <v>0</v>
      </c>
      <c r="X56" s="84" t="s">
        <v>772</v>
      </c>
      <c r="Y56" s="84" t="s">
        <v>772</v>
      </c>
      <c r="Z56" s="84">
        <v>1</v>
      </c>
      <c r="AA56" s="84">
        <v>1</v>
      </c>
      <c r="AB56" s="84">
        <v>2</v>
      </c>
      <c r="AC56" s="84">
        <v>2</v>
      </c>
      <c r="AD56" s="84">
        <v>2</v>
      </c>
      <c r="AE56" s="84">
        <v>0</v>
      </c>
      <c r="AF56" s="84">
        <v>2</v>
      </c>
      <c r="AG56" s="84">
        <v>2</v>
      </c>
      <c r="AH56" s="84">
        <v>2</v>
      </c>
      <c r="AI56" s="84">
        <v>2</v>
      </c>
    </row>
    <row r="57" spans="1:35" ht="36" customHeight="1" x14ac:dyDescent="0.25">
      <c r="A57" s="155" t="s">
        <v>294</v>
      </c>
      <c r="B57" s="155">
        <v>801</v>
      </c>
      <c r="C57" s="155" t="s">
        <v>112</v>
      </c>
      <c r="D57" s="159">
        <v>39940</v>
      </c>
      <c r="E57" s="160" t="s">
        <v>542</v>
      </c>
      <c r="F57" s="160" t="s">
        <v>652</v>
      </c>
      <c r="G57" s="161" t="s">
        <v>585</v>
      </c>
      <c r="H57" s="5">
        <v>79012</v>
      </c>
      <c r="I57" s="6">
        <v>0.53981673669822305</v>
      </c>
      <c r="J57" s="7">
        <v>107097</v>
      </c>
      <c r="K57" s="7">
        <v>1777722</v>
      </c>
      <c r="L57" s="6">
        <v>0.63037459864431</v>
      </c>
      <c r="M57" s="6">
        <v>0.11941369910852</v>
      </c>
      <c r="N57" s="6">
        <v>0.150018916061191</v>
      </c>
      <c r="O57" s="6">
        <v>0.13857712417666601</v>
      </c>
      <c r="P57" s="8">
        <v>0.244458564125447</v>
      </c>
      <c r="Q57" s="84">
        <v>4</v>
      </c>
      <c r="R57" s="84">
        <v>3</v>
      </c>
      <c r="S57" s="84">
        <v>3</v>
      </c>
      <c r="T57" s="84">
        <v>3</v>
      </c>
      <c r="U57" s="84">
        <v>3</v>
      </c>
      <c r="V57" s="84">
        <v>4</v>
      </c>
      <c r="W57" s="84">
        <v>4</v>
      </c>
      <c r="X57" s="84">
        <v>3</v>
      </c>
      <c r="Y57" s="84">
        <v>3</v>
      </c>
      <c r="Z57" s="84">
        <v>4</v>
      </c>
      <c r="AA57" s="84">
        <v>4</v>
      </c>
      <c r="AB57" s="84">
        <v>4</v>
      </c>
      <c r="AC57" s="84">
        <v>4</v>
      </c>
      <c r="AD57" s="84">
        <v>4</v>
      </c>
      <c r="AE57" s="84">
        <v>4</v>
      </c>
      <c r="AF57" s="84">
        <v>4</v>
      </c>
      <c r="AG57" s="84">
        <v>4</v>
      </c>
      <c r="AH57" s="84">
        <v>4</v>
      </c>
      <c r="AI57" s="84">
        <v>4</v>
      </c>
    </row>
    <row r="58" spans="1:35" ht="36" customHeight="1" x14ac:dyDescent="0.25">
      <c r="A58" s="155" t="s">
        <v>297</v>
      </c>
      <c r="B58" s="155">
        <v>1104</v>
      </c>
      <c r="C58" s="155" t="s">
        <v>170</v>
      </c>
      <c r="D58" s="159">
        <v>40031</v>
      </c>
      <c r="E58" s="160" t="s">
        <v>553</v>
      </c>
      <c r="F58" s="160" t="s">
        <v>439</v>
      </c>
      <c r="G58" s="161" t="s">
        <v>585</v>
      </c>
      <c r="H58" s="5">
        <v>84828</v>
      </c>
      <c r="I58" s="6">
        <v>0.426274343377187</v>
      </c>
      <c r="J58" s="7">
        <v>87836</v>
      </c>
      <c r="K58" s="7">
        <v>913943</v>
      </c>
      <c r="L58" s="6">
        <v>0.30547894148341398</v>
      </c>
      <c r="M58" s="6">
        <v>0.54037301921189196</v>
      </c>
      <c r="N58" s="6">
        <v>0.11217220586173</v>
      </c>
      <c r="O58" s="6">
        <v>9.57123825550414E-2</v>
      </c>
      <c r="P58" s="8">
        <v>0.21234749684476201</v>
      </c>
      <c r="Q58" s="84">
        <v>3</v>
      </c>
      <c r="R58" s="84">
        <v>4</v>
      </c>
      <c r="S58" s="84">
        <v>4</v>
      </c>
      <c r="T58" s="84">
        <v>2</v>
      </c>
      <c r="U58" s="84">
        <v>3</v>
      </c>
      <c r="V58" s="84">
        <v>1</v>
      </c>
      <c r="W58" s="84">
        <v>3</v>
      </c>
      <c r="X58" s="84">
        <v>3</v>
      </c>
      <c r="Y58" s="84">
        <v>3</v>
      </c>
      <c r="Z58" s="84">
        <v>0</v>
      </c>
      <c r="AA58" s="84">
        <v>2</v>
      </c>
      <c r="AB58" s="84">
        <v>3</v>
      </c>
      <c r="AC58" s="84">
        <v>0</v>
      </c>
      <c r="AD58" s="84">
        <v>1</v>
      </c>
      <c r="AE58" s="84">
        <v>1</v>
      </c>
      <c r="AF58" s="84">
        <v>0</v>
      </c>
      <c r="AG58" s="84">
        <v>1</v>
      </c>
      <c r="AH58" s="84">
        <v>0</v>
      </c>
      <c r="AI58" s="84">
        <v>3</v>
      </c>
    </row>
    <row r="59" spans="1:35" ht="36" customHeight="1" x14ac:dyDescent="0.25">
      <c r="A59" s="155" t="s">
        <v>298</v>
      </c>
      <c r="B59" s="155">
        <v>1202</v>
      </c>
      <c r="C59" s="155" t="s">
        <v>206</v>
      </c>
      <c r="D59" s="159">
        <v>40044</v>
      </c>
      <c r="E59" s="160" t="s">
        <v>558</v>
      </c>
      <c r="F59" s="160" t="s">
        <v>464</v>
      </c>
      <c r="G59" s="161" t="s">
        <v>584</v>
      </c>
      <c r="H59" s="5">
        <v>122940</v>
      </c>
      <c r="I59" s="6">
        <v>0.293696111924516</v>
      </c>
      <c r="J59" s="7">
        <v>63610</v>
      </c>
      <c r="K59" s="7">
        <v>764478</v>
      </c>
      <c r="L59" s="6">
        <v>0.28355471891543199</v>
      </c>
      <c r="M59" s="6">
        <v>0.27623198758451101</v>
      </c>
      <c r="N59" s="6">
        <v>8.7233982027884294E-2</v>
      </c>
      <c r="O59" s="6">
        <v>9.1937201900252494E-2</v>
      </c>
      <c r="P59" s="8">
        <v>0.24711185002797301</v>
      </c>
      <c r="Q59" s="84">
        <v>2</v>
      </c>
      <c r="R59" s="84">
        <v>2</v>
      </c>
      <c r="S59" s="84">
        <v>2</v>
      </c>
      <c r="T59" s="84">
        <v>1</v>
      </c>
      <c r="U59" s="84">
        <v>2</v>
      </c>
      <c r="V59" s="84">
        <v>2</v>
      </c>
      <c r="W59" s="84">
        <v>2</v>
      </c>
      <c r="X59" s="84">
        <v>2</v>
      </c>
      <c r="Y59" s="84">
        <v>2</v>
      </c>
      <c r="Z59" s="84">
        <v>1</v>
      </c>
      <c r="AA59" s="84">
        <v>1</v>
      </c>
      <c r="AB59" s="84">
        <v>1</v>
      </c>
      <c r="AC59" s="84">
        <v>2</v>
      </c>
      <c r="AD59" s="84">
        <v>2</v>
      </c>
      <c r="AE59" s="84">
        <v>2</v>
      </c>
      <c r="AF59" s="84">
        <v>1</v>
      </c>
      <c r="AG59" s="84">
        <v>1</v>
      </c>
      <c r="AH59" s="84">
        <v>1</v>
      </c>
      <c r="AI59" s="84">
        <v>2</v>
      </c>
    </row>
    <row r="60" spans="1:35" ht="36" customHeight="1" x14ac:dyDescent="0.25">
      <c r="A60" s="155" t="s">
        <v>296</v>
      </c>
      <c r="B60" s="155">
        <v>1004</v>
      </c>
      <c r="C60" s="155" t="s">
        <v>157</v>
      </c>
      <c r="D60" s="159">
        <v>40052</v>
      </c>
      <c r="E60" s="160" t="s">
        <v>551</v>
      </c>
      <c r="F60" s="160" t="s">
        <v>428</v>
      </c>
      <c r="G60" s="161" t="s">
        <v>584</v>
      </c>
      <c r="H60" s="5">
        <v>97652</v>
      </c>
      <c r="I60" s="6">
        <v>0.38727317412853801</v>
      </c>
      <c r="J60" s="7">
        <v>80276</v>
      </c>
      <c r="K60" s="7">
        <v>1036358</v>
      </c>
      <c r="L60" s="6">
        <v>0.461381410065071</v>
      </c>
      <c r="M60" s="6">
        <v>0.24129753395578701</v>
      </c>
      <c r="N60" s="6">
        <v>7.7198626842899506E-2</v>
      </c>
      <c r="O60" s="6">
        <v>8.7231960729033706E-2</v>
      </c>
      <c r="P60" s="8">
        <v>0.23995837410238999</v>
      </c>
      <c r="Q60" s="84">
        <v>3</v>
      </c>
      <c r="R60" s="84">
        <v>2</v>
      </c>
      <c r="S60" s="84">
        <v>3</v>
      </c>
      <c r="T60" s="84">
        <v>2</v>
      </c>
      <c r="U60" s="84">
        <v>2</v>
      </c>
      <c r="V60" s="84">
        <v>2</v>
      </c>
      <c r="W60" s="84">
        <v>3</v>
      </c>
      <c r="X60" s="84">
        <v>2</v>
      </c>
      <c r="Y60" s="84">
        <v>2</v>
      </c>
      <c r="Z60" s="84">
        <v>2</v>
      </c>
      <c r="AA60" s="84">
        <v>2</v>
      </c>
      <c r="AB60" s="84">
        <v>1</v>
      </c>
      <c r="AC60" s="84">
        <v>2</v>
      </c>
      <c r="AD60" s="84">
        <v>1</v>
      </c>
      <c r="AE60" s="84">
        <v>2</v>
      </c>
      <c r="AF60" s="84">
        <v>2</v>
      </c>
      <c r="AG60" s="84">
        <v>2</v>
      </c>
      <c r="AH60" s="84">
        <v>2</v>
      </c>
      <c r="AI60" s="84">
        <v>2</v>
      </c>
    </row>
    <row r="61" spans="1:35" ht="36" customHeight="1" x14ac:dyDescent="0.25">
      <c r="A61" s="155" t="s">
        <v>296</v>
      </c>
      <c r="B61" s="155">
        <v>1005</v>
      </c>
      <c r="C61" s="155" t="s">
        <v>158</v>
      </c>
      <c r="D61" s="159">
        <v>40073</v>
      </c>
      <c r="E61" s="160" t="s">
        <v>551</v>
      </c>
      <c r="F61" s="160" t="s">
        <v>429</v>
      </c>
      <c r="G61" s="161" t="s">
        <v>584</v>
      </c>
      <c r="H61" s="5">
        <v>96370</v>
      </c>
      <c r="I61" s="6">
        <v>0.504928919788316</v>
      </c>
      <c r="J61" s="7">
        <v>100569</v>
      </c>
      <c r="K61" s="7">
        <v>1198186</v>
      </c>
      <c r="L61" s="6">
        <v>0.44725912493960102</v>
      </c>
      <c r="M61" s="6">
        <v>0.18861257531410899</v>
      </c>
      <c r="N61" s="6">
        <v>8.51469267730946E-2</v>
      </c>
      <c r="O61" s="6">
        <v>4.7371631857096801E-2</v>
      </c>
      <c r="P61" s="8">
        <v>0.19823975762394699</v>
      </c>
      <c r="Q61" s="84">
        <v>3</v>
      </c>
      <c r="R61" s="84">
        <v>2</v>
      </c>
      <c r="S61" s="84">
        <v>3</v>
      </c>
      <c r="T61" s="84">
        <v>2</v>
      </c>
      <c r="U61" s="84">
        <v>2</v>
      </c>
      <c r="V61" s="84">
        <v>2</v>
      </c>
      <c r="W61" s="84">
        <v>3</v>
      </c>
      <c r="X61" s="84">
        <v>2</v>
      </c>
      <c r="Y61" s="84">
        <v>2</v>
      </c>
      <c r="Z61" s="84">
        <v>3</v>
      </c>
      <c r="AA61" s="84">
        <v>2</v>
      </c>
      <c r="AB61" s="84">
        <v>2</v>
      </c>
      <c r="AC61" s="84">
        <v>2</v>
      </c>
      <c r="AD61" s="84">
        <v>1</v>
      </c>
      <c r="AE61" s="84">
        <v>2</v>
      </c>
      <c r="AF61" s="84">
        <v>2</v>
      </c>
      <c r="AG61" s="84">
        <v>2</v>
      </c>
      <c r="AH61" s="84">
        <v>2</v>
      </c>
      <c r="AI61" s="84">
        <v>2</v>
      </c>
    </row>
    <row r="62" spans="1:35" ht="36" customHeight="1" x14ac:dyDescent="0.25">
      <c r="A62" s="155" t="s">
        <v>296</v>
      </c>
      <c r="B62" s="155">
        <v>1006</v>
      </c>
      <c r="C62" s="155" t="s">
        <v>159</v>
      </c>
      <c r="D62" s="159">
        <v>40108</v>
      </c>
      <c r="E62" s="160" t="s">
        <v>551</v>
      </c>
      <c r="F62" s="160" t="s">
        <v>430</v>
      </c>
      <c r="G62" s="161" t="s">
        <v>585</v>
      </c>
      <c r="H62" s="5">
        <v>160333</v>
      </c>
      <c r="I62" s="6">
        <v>0.255892423892773</v>
      </c>
      <c r="J62" s="7">
        <v>53360</v>
      </c>
      <c r="K62" s="7">
        <v>719646</v>
      </c>
      <c r="L62" s="6">
        <v>0.34806407778139298</v>
      </c>
      <c r="M62" s="6">
        <v>0.43907751278764301</v>
      </c>
      <c r="N62" s="6">
        <v>3.30739842867478E-2</v>
      </c>
      <c r="O62" s="6">
        <v>7.7680327972888902E-2</v>
      </c>
      <c r="P62" s="8">
        <v>0.22220670922867999</v>
      </c>
      <c r="Q62" s="84">
        <v>3</v>
      </c>
      <c r="R62" s="84">
        <v>4</v>
      </c>
      <c r="S62" s="84">
        <v>4</v>
      </c>
      <c r="T62" s="84">
        <v>2</v>
      </c>
      <c r="U62" s="84">
        <v>2</v>
      </c>
      <c r="V62" s="84">
        <v>3</v>
      </c>
      <c r="W62" s="84">
        <v>3</v>
      </c>
      <c r="X62" s="84">
        <v>3</v>
      </c>
      <c r="Y62" s="84">
        <v>2</v>
      </c>
      <c r="Z62" s="84">
        <v>2</v>
      </c>
      <c r="AA62" s="84">
        <v>3</v>
      </c>
      <c r="AB62" s="84">
        <v>3</v>
      </c>
      <c r="AC62" s="84">
        <v>3</v>
      </c>
      <c r="AD62" s="84">
        <v>4</v>
      </c>
      <c r="AE62" s="84">
        <v>4</v>
      </c>
      <c r="AF62" s="84">
        <v>3</v>
      </c>
      <c r="AG62" s="84">
        <v>4</v>
      </c>
      <c r="AH62" s="84">
        <v>3</v>
      </c>
      <c r="AI62" s="84">
        <v>4</v>
      </c>
    </row>
    <row r="63" spans="1:35" ht="36" customHeight="1" x14ac:dyDescent="0.25">
      <c r="A63" s="155" t="s">
        <v>298</v>
      </c>
      <c r="B63" s="155">
        <v>1201</v>
      </c>
      <c r="C63" s="155" t="s">
        <v>205</v>
      </c>
      <c r="D63" s="159">
        <v>40241</v>
      </c>
      <c r="E63" s="160" t="s">
        <v>558</v>
      </c>
      <c r="F63" s="160" t="s">
        <v>463</v>
      </c>
      <c r="G63" s="161" t="s">
        <v>585</v>
      </c>
      <c r="H63" s="5">
        <v>170684</v>
      </c>
      <c r="I63" s="6">
        <v>0.30047924820135502</v>
      </c>
      <c r="J63" s="7">
        <v>64506</v>
      </c>
      <c r="K63" s="7">
        <v>873551</v>
      </c>
      <c r="L63" s="6">
        <v>0.31523355104322898</v>
      </c>
      <c r="M63" s="6">
        <v>0.26348376193303802</v>
      </c>
      <c r="N63" s="6">
        <v>0.115607728497693</v>
      </c>
      <c r="O63" s="6">
        <v>0.11461882793587</v>
      </c>
      <c r="P63" s="8">
        <v>0.25163979354131499</v>
      </c>
      <c r="Q63" s="84">
        <v>3</v>
      </c>
      <c r="R63" s="84">
        <v>2</v>
      </c>
      <c r="S63" s="84">
        <v>4</v>
      </c>
      <c r="T63" s="84">
        <v>1</v>
      </c>
      <c r="U63" s="84">
        <v>3</v>
      </c>
      <c r="V63" s="84">
        <v>3</v>
      </c>
      <c r="W63" s="84">
        <v>4</v>
      </c>
      <c r="X63" s="84">
        <v>2</v>
      </c>
      <c r="Y63" s="84">
        <v>3</v>
      </c>
      <c r="Z63" s="84">
        <v>2</v>
      </c>
      <c r="AA63" s="84">
        <v>4</v>
      </c>
      <c r="AB63" s="84">
        <v>4</v>
      </c>
      <c r="AC63" s="84">
        <v>2</v>
      </c>
      <c r="AD63" s="84">
        <v>4</v>
      </c>
      <c r="AE63" s="84">
        <v>4</v>
      </c>
      <c r="AF63" s="84">
        <v>3</v>
      </c>
      <c r="AG63" s="84">
        <v>4</v>
      </c>
      <c r="AH63" s="84">
        <v>4</v>
      </c>
      <c r="AI63" s="84">
        <v>4</v>
      </c>
    </row>
    <row r="64" spans="1:35" ht="36" customHeight="1" x14ac:dyDescent="0.25">
      <c r="A64" s="155" t="s">
        <v>297</v>
      </c>
      <c r="B64" s="155">
        <v>1105</v>
      </c>
      <c r="C64" s="155" t="s">
        <v>171</v>
      </c>
      <c r="D64" s="159">
        <v>40381</v>
      </c>
      <c r="E64" s="160" t="s">
        <v>553</v>
      </c>
      <c r="F64" s="160" t="s">
        <v>440</v>
      </c>
      <c r="G64" s="161" t="s">
        <v>583</v>
      </c>
      <c r="H64" s="5">
        <v>112976</v>
      </c>
      <c r="I64" s="6">
        <v>0.46663008072510997</v>
      </c>
      <c r="J64" s="7">
        <v>91951</v>
      </c>
      <c r="K64" s="7">
        <v>1420834</v>
      </c>
      <c r="L64" s="6">
        <v>0.41804888650146999</v>
      </c>
      <c r="M64" s="6">
        <v>0.393359680668043</v>
      </c>
      <c r="N64" s="6">
        <v>0.23177838859399599</v>
      </c>
      <c r="O64" s="6">
        <v>2.02520417301103E-2</v>
      </c>
      <c r="P64" s="8">
        <v>0.232464850602702</v>
      </c>
      <c r="Q64" s="84">
        <v>3</v>
      </c>
      <c r="R64" s="84">
        <v>3</v>
      </c>
      <c r="S64" s="84">
        <v>4</v>
      </c>
      <c r="T64" s="84">
        <v>1</v>
      </c>
      <c r="U64" s="84">
        <v>3</v>
      </c>
      <c r="V64" s="84">
        <v>1</v>
      </c>
      <c r="W64" s="84">
        <v>2</v>
      </c>
      <c r="X64" s="84">
        <v>1</v>
      </c>
      <c r="Y64" s="84">
        <v>2</v>
      </c>
      <c r="Z64" s="84">
        <v>0</v>
      </c>
      <c r="AA64" s="84">
        <v>3</v>
      </c>
      <c r="AB64" s="84">
        <v>4</v>
      </c>
      <c r="AC64" s="84">
        <v>1</v>
      </c>
      <c r="AD64" s="84">
        <v>3</v>
      </c>
      <c r="AE64" s="84">
        <v>1</v>
      </c>
      <c r="AF64" s="84">
        <v>1</v>
      </c>
      <c r="AG64" s="84">
        <v>2</v>
      </c>
      <c r="AH64" s="84">
        <v>1</v>
      </c>
      <c r="AI64" s="84">
        <v>3</v>
      </c>
    </row>
    <row r="65" spans="1:35" ht="36" customHeight="1" x14ac:dyDescent="0.25">
      <c r="A65" s="155" t="s">
        <v>292</v>
      </c>
      <c r="B65" s="155">
        <v>613</v>
      </c>
      <c r="C65" s="155" t="s">
        <v>104</v>
      </c>
      <c r="D65" s="159">
        <v>40465</v>
      </c>
      <c r="E65" s="160" t="s">
        <v>536</v>
      </c>
      <c r="F65" s="160" t="s">
        <v>383</v>
      </c>
      <c r="G65" s="161" t="s">
        <v>584</v>
      </c>
      <c r="H65" s="5">
        <v>66168</v>
      </c>
      <c r="I65" s="6">
        <v>0.55764115584572604</v>
      </c>
      <c r="J65" s="7">
        <v>111573</v>
      </c>
      <c r="K65" s="7">
        <v>2080707</v>
      </c>
      <c r="L65" s="6">
        <v>0.65126283886176095</v>
      </c>
      <c r="M65" s="6">
        <v>7.0146986603318903E-2</v>
      </c>
      <c r="N65" s="6">
        <v>9.3496956338012097E-2</v>
      </c>
      <c r="O65" s="6">
        <v>8.3343802464623806E-2</v>
      </c>
      <c r="P65" s="8">
        <v>0.26135520049338201</v>
      </c>
      <c r="Q65" s="84" t="s">
        <v>772</v>
      </c>
      <c r="R65" s="84" t="s">
        <v>772</v>
      </c>
      <c r="S65" s="84" t="s">
        <v>772</v>
      </c>
      <c r="T65" s="84" t="s">
        <v>772</v>
      </c>
      <c r="U65" s="84" t="s">
        <v>772</v>
      </c>
      <c r="V65" s="84" t="s">
        <v>772</v>
      </c>
      <c r="W65" s="84">
        <v>2</v>
      </c>
      <c r="X65" s="84" t="s">
        <v>772</v>
      </c>
      <c r="Y65" s="84" t="s">
        <v>772</v>
      </c>
      <c r="Z65" s="84">
        <v>3</v>
      </c>
      <c r="AA65" s="84">
        <v>3</v>
      </c>
      <c r="AB65" s="84">
        <v>3</v>
      </c>
      <c r="AC65" s="84">
        <v>3</v>
      </c>
      <c r="AD65" s="84">
        <v>2</v>
      </c>
      <c r="AE65" s="84">
        <v>3</v>
      </c>
      <c r="AF65" s="84">
        <v>3</v>
      </c>
      <c r="AG65" s="84">
        <v>3</v>
      </c>
      <c r="AH65" s="84">
        <v>3</v>
      </c>
      <c r="AI65" s="84">
        <v>2</v>
      </c>
    </row>
    <row r="66" spans="1:35" ht="36" customHeight="1" x14ac:dyDescent="0.25">
      <c r="A66" s="155" t="s">
        <v>297</v>
      </c>
      <c r="B66" s="155">
        <v>1102</v>
      </c>
      <c r="C66" s="155" t="s">
        <v>168</v>
      </c>
      <c r="D66" s="159">
        <v>40465</v>
      </c>
      <c r="E66" s="160" t="s">
        <v>553</v>
      </c>
      <c r="F66" s="160" t="s">
        <v>437</v>
      </c>
      <c r="G66" s="161" t="s">
        <v>584</v>
      </c>
      <c r="H66" s="5">
        <v>173897</v>
      </c>
      <c r="I66" s="6">
        <v>0.41020259118903701</v>
      </c>
      <c r="J66" s="7">
        <v>81493</v>
      </c>
      <c r="K66" s="7">
        <v>992346</v>
      </c>
      <c r="L66" s="6">
        <v>0.37304297737702302</v>
      </c>
      <c r="M66" s="6">
        <v>0.39514874652239002</v>
      </c>
      <c r="N66" s="6">
        <v>0.169192079413512</v>
      </c>
      <c r="O66" s="6">
        <v>4.4092341471949403E-2</v>
      </c>
      <c r="P66" s="8">
        <v>0.238046347620613</v>
      </c>
      <c r="Q66" s="84">
        <v>2</v>
      </c>
      <c r="R66" s="84">
        <v>3</v>
      </c>
      <c r="S66" s="84">
        <v>4</v>
      </c>
      <c r="T66" s="84">
        <v>2</v>
      </c>
      <c r="U66" s="84">
        <v>3</v>
      </c>
      <c r="V66" s="84">
        <v>1</v>
      </c>
      <c r="W66" s="84">
        <v>2</v>
      </c>
      <c r="X66" s="84">
        <v>2</v>
      </c>
      <c r="Y66" s="84">
        <v>2</v>
      </c>
      <c r="Z66" s="84">
        <v>0</v>
      </c>
      <c r="AA66" s="84">
        <v>2</v>
      </c>
      <c r="AB66" s="84">
        <v>2</v>
      </c>
      <c r="AC66" s="84">
        <v>0</v>
      </c>
      <c r="AD66" s="84">
        <v>2</v>
      </c>
      <c r="AE66" s="84">
        <v>1</v>
      </c>
      <c r="AF66" s="84">
        <v>0</v>
      </c>
      <c r="AG66" s="84">
        <v>1</v>
      </c>
      <c r="AH66" s="84">
        <v>0</v>
      </c>
      <c r="AI66" s="84">
        <v>3</v>
      </c>
    </row>
    <row r="67" spans="1:35" ht="36" customHeight="1" x14ac:dyDescent="0.25">
      <c r="A67" s="155" t="s">
        <v>295</v>
      </c>
      <c r="B67" s="155">
        <v>916</v>
      </c>
      <c r="C67" s="155" t="s">
        <v>131</v>
      </c>
      <c r="D67" s="159">
        <v>40486</v>
      </c>
      <c r="E67" s="160" t="s">
        <v>545</v>
      </c>
      <c r="F67" s="160" t="s">
        <v>407</v>
      </c>
      <c r="G67" s="161" t="s">
        <v>584</v>
      </c>
      <c r="H67" s="5">
        <v>49058</v>
      </c>
      <c r="I67" s="6">
        <v>0.28252272819927399</v>
      </c>
      <c r="J67" s="7">
        <v>62481</v>
      </c>
      <c r="K67" s="7">
        <v>1129541</v>
      </c>
      <c r="L67" s="6">
        <v>0.31080410992077701</v>
      </c>
      <c r="M67" s="6">
        <v>0.136025066652008</v>
      </c>
      <c r="N67" s="6">
        <v>1.7975428084545001E-2</v>
      </c>
      <c r="O67" s="6">
        <v>8.8347121824295202E-2</v>
      </c>
      <c r="P67" s="8">
        <v>0.30711229603569401</v>
      </c>
      <c r="Q67" s="84">
        <v>1</v>
      </c>
      <c r="R67" s="84">
        <v>1</v>
      </c>
      <c r="S67" s="84">
        <v>1</v>
      </c>
      <c r="T67" s="84">
        <v>2</v>
      </c>
      <c r="U67" s="84">
        <v>1</v>
      </c>
      <c r="V67" s="84">
        <v>3</v>
      </c>
      <c r="W67" s="84">
        <v>2</v>
      </c>
      <c r="X67" s="84">
        <v>1</v>
      </c>
      <c r="Y67" s="84">
        <v>1</v>
      </c>
      <c r="Z67" s="84">
        <v>3</v>
      </c>
      <c r="AA67" s="84">
        <v>3</v>
      </c>
      <c r="AB67" s="84">
        <v>2</v>
      </c>
      <c r="AC67" s="84">
        <v>4</v>
      </c>
      <c r="AD67" s="84">
        <v>3</v>
      </c>
      <c r="AE67" s="84">
        <v>3</v>
      </c>
      <c r="AF67" s="84">
        <v>4</v>
      </c>
      <c r="AG67" s="84">
        <v>2</v>
      </c>
      <c r="AH67" s="84">
        <v>3</v>
      </c>
      <c r="AI67" s="84">
        <v>2</v>
      </c>
    </row>
    <row r="68" spans="1:35" ht="36" customHeight="1" x14ac:dyDescent="0.25">
      <c r="A68" s="155" t="s">
        <v>297</v>
      </c>
      <c r="B68" s="155">
        <v>1107</v>
      </c>
      <c r="C68" s="155" t="s">
        <v>173</v>
      </c>
      <c r="D68" s="159">
        <v>40626</v>
      </c>
      <c r="E68" s="160" t="s">
        <v>553</v>
      </c>
      <c r="F68" s="160" t="s">
        <v>442</v>
      </c>
      <c r="G68" s="161" t="s">
        <v>584</v>
      </c>
      <c r="H68" s="5">
        <v>48982</v>
      </c>
      <c r="I68" s="6">
        <v>0.58692989261361295</v>
      </c>
      <c r="J68" s="7">
        <v>115595</v>
      </c>
      <c r="K68" s="7">
        <v>2419760</v>
      </c>
      <c r="L68" s="6">
        <v>0.53561582290113796</v>
      </c>
      <c r="M68" s="6">
        <v>0.19696936015708899</v>
      </c>
      <c r="N68" s="6">
        <v>9.2097365788596203E-2</v>
      </c>
      <c r="O68" s="6">
        <v>1.5293986884517099E-2</v>
      </c>
      <c r="P68" s="8">
        <v>0.29416472157385798</v>
      </c>
      <c r="Q68" s="84">
        <v>2</v>
      </c>
      <c r="R68" s="84">
        <v>2</v>
      </c>
      <c r="S68" s="84">
        <v>3</v>
      </c>
      <c r="T68" s="84">
        <v>1</v>
      </c>
      <c r="U68" s="84">
        <v>1</v>
      </c>
      <c r="V68" s="84">
        <v>1</v>
      </c>
      <c r="W68" s="84">
        <v>2</v>
      </c>
      <c r="X68" s="84">
        <v>0</v>
      </c>
      <c r="Y68" s="84">
        <v>1</v>
      </c>
      <c r="Z68" s="84">
        <v>0</v>
      </c>
      <c r="AA68" s="84">
        <v>3</v>
      </c>
      <c r="AB68" s="84">
        <v>2</v>
      </c>
      <c r="AC68" s="84">
        <v>2</v>
      </c>
      <c r="AD68" s="84">
        <v>3</v>
      </c>
      <c r="AE68" s="84">
        <v>1</v>
      </c>
      <c r="AF68" s="84">
        <v>1</v>
      </c>
      <c r="AG68" s="84">
        <v>2</v>
      </c>
      <c r="AH68" s="84">
        <v>1</v>
      </c>
      <c r="AI68" s="84">
        <v>2</v>
      </c>
    </row>
    <row r="69" spans="1:35" ht="36" customHeight="1" x14ac:dyDescent="0.25">
      <c r="A69" s="155" t="s">
        <v>295</v>
      </c>
      <c r="B69" s="155">
        <v>917</v>
      </c>
      <c r="C69" s="155" t="s">
        <v>132</v>
      </c>
      <c r="D69" s="159">
        <v>40633</v>
      </c>
      <c r="E69" s="160" t="s">
        <v>545</v>
      </c>
      <c r="F69" s="160" t="s">
        <v>408</v>
      </c>
      <c r="G69" s="161" t="s">
        <v>583</v>
      </c>
      <c r="H69" s="5">
        <v>77995</v>
      </c>
      <c r="I69" s="6">
        <v>0.336842105263158</v>
      </c>
      <c r="J69" s="7">
        <v>69365</v>
      </c>
      <c r="K69" s="7">
        <v>1092108</v>
      </c>
      <c r="L69" s="6">
        <v>0.35005888816512398</v>
      </c>
      <c r="M69" s="6">
        <v>0.326186608409889</v>
      </c>
      <c r="N69" s="6">
        <v>3.72834042871013E-2</v>
      </c>
      <c r="O69" s="6">
        <v>0.200187654044365</v>
      </c>
      <c r="P69" s="8">
        <v>0.25127903502875498</v>
      </c>
      <c r="Q69" s="84">
        <v>0</v>
      </c>
      <c r="R69" s="84">
        <v>2</v>
      </c>
      <c r="S69" s="84">
        <v>2</v>
      </c>
      <c r="T69" s="84">
        <v>2</v>
      </c>
      <c r="U69" s="84">
        <v>2</v>
      </c>
      <c r="V69" s="84">
        <v>2</v>
      </c>
      <c r="W69" s="84">
        <v>2</v>
      </c>
      <c r="X69" s="84">
        <v>2</v>
      </c>
      <c r="Y69" s="84">
        <v>1</v>
      </c>
      <c r="Z69" s="84">
        <v>1</v>
      </c>
      <c r="AA69" s="84">
        <v>1</v>
      </c>
      <c r="AB69" s="84">
        <v>3</v>
      </c>
      <c r="AC69" s="84">
        <v>1</v>
      </c>
      <c r="AD69" s="84">
        <v>2</v>
      </c>
      <c r="AE69" s="84">
        <v>2</v>
      </c>
      <c r="AF69" s="84">
        <v>1</v>
      </c>
      <c r="AG69" s="84">
        <v>2</v>
      </c>
      <c r="AH69" s="84">
        <v>1</v>
      </c>
      <c r="AI69" s="84">
        <v>3</v>
      </c>
    </row>
    <row r="70" spans="1:35" ht="36" customHeight="1" x14ac:dyDescent="0.25">
      <c r="A70" s="155" t="s">
        <v>298</v>
      </c>
      <c r="B70" s="155">
        <v>1203</v>
      </c>
      <c r="C70" s="155" t="s">
        <v>207</v>
      </c>
      <c r="D70" s="159">
        <v>40647</v>
      </c>
      <c r="E70" s="160" t="s">
        <v>559</v>
      </c>
      <c r="F70" s="160" t="s">
        <v>465</v>
      </c>
      <c r="G70" s="161" t="s">
        <v>585</v>
      </c>
      <c r="H70" s="5">
        <v>68202</v>
      </c>
      <c r="I70" s="6">
        <v>0.34677868684202801</v>
      </c>
      <c r="J70" s="7">
        <v>69366</v>
      </c>
      <c r="K70" s="7">
        <v>1109799</v>
      </c>
      <c r="L70" s="6">
        <v>0.391123119173103</v>
      </c>
      <c r="M70" s="6">
        <v>0.25718408079836502</v>
      </c>
      <c r="N70" s="6">
        <v>5.9225555773526603E-2</v>
      </c>
      <c r="O70" s="6">
        <v>2.4369870208767099E-2</v>
      </c>
      <c r="P70" s="8">
        <v>0.26225296317624702</v>
      </c>
      <c r="Q70" s="84">
        <v>4</v>
      </c>
      <c r="R70" s="84">
        <v>2</v>
      </c>
      <c r="S70" s="84">
        <v>2</v>
      </c>
      <c r="T70" s="84">
        <v>1</v>
      </c>
      <c r="U70" s="84">
        <v>1</v>
      </c>
      <c r="V70" s="84">
        <v>2</v>
      </c>
      <c r="W70" s="84">
        <v>3</v>
      </c>
      <c r="X70" s="84">
        <v>1</v>
      </c>
      <c r="Y70" s="84">
        <v>1</v>
      </c>
      <c r="Z70" s="84">
        <v>2</v>
      </c>
      <c r="AA70" s="84">
        <v>2</v>
      </c>
      <c r="AB70" s="84">
        <v>3</v>
      </c>
      <c r="AC70" s="84">
        <v>4</v>
      </c>
      <c r="AD70" s="84">
        <v>4</v>
      </c>
      <c r="AE70" s="84">
        <v>3</v>
      </c>
      <c r="AF70" s="84">
        <v>2</v>
      </c>
      <c r="AG70" s="84">
        <v>3</v>
      </c>
      <c r="AH70" s="84">
        <v>3</v>
      </c>
      <c r="AI70" s="84">
        <v>3</v>
      </c>
    </row>
    <row r="71" spans="1:35" ht="36" customHeight="1" x14ac:dyDescent="0.25">
      <c r="A71" s="155" t="s">
        <v>297</v>
      </c>
      <c r="B71" s="155">
        <v>1106</v>
      </c>
      <c r="C71" s="155" t="s">
        <v>172</v>
      </c>
      <c r="D71" s="159">
        <v>40647</v>
      </c>
      <c r="E71" s="160" t="s">
        <v>553</v>
      </c>
      <c r="F71" s="160" t="s">
        <v>441</v>
      </c>
      <c r="G71" s="161" t="s">
        <v>585</v>
      </c>
      <c r="H71" s="5">
        <v>207129</v>
      </c>
      <c r="I71" s="6">
        <v>0.44045015425169798</v>
      </c>
      <c r="J71" s="7">
        <v>86671</v>
      </c>
      <c r="K71" s="7">
        <v>1090631</v>
      </c>
      <c r="L71" s="6">
        <v>0.42804486309650103</v>
      </c>
      <c r="M71" s="6">
        <v>0.35593735302094498</v>
      </c>
      <c r="N71" s="6">
        <v>0.20219683263355601</v>
      </c>
      <c r="O71" s="6">
        <v>0.105958809817257</v>
      </c>
      <c r="P71" s="8">
        <v>0.24373204066148699</v>
      </c>
      <c r="Q71" s="84">
        <v>4</v>
      </c>
      <c r="R71" s="84">
        <v>4</v>
      </c>
      <c r="S71" s="84">
        <v>4</v>
      </c>
      <c r="T71" s="84">
        <v>2</v>
      </c>
      <c r="U71" s="84">
        <v>4</v>
      </c>
      <c r="V71" s="84">
        <v>3</v>
      </c>
      <c r="W71" s="84">
        <v>4</v>
      </c>
      <c r="X71" s="84">
        <v>4</v>
      </c>
      <c r="Y71" s="84">
        <v>4</v>
      </c>
      <c r="Z71" s="84">
        <v>2</v>
      </c>
      <c r="AA71" s="84">
        <v>4</v>
      </c>
      <c r="AB71" s="84">
        <v>4</v>
      </c>
      <c r="AC71" s="84">
        <v>1</v>
      </c>
      <c r="AD71" s="84">
        <v>4</v>
      </c>
      <c r="AE71" s="84">
        <v>4</v>
      </c>
      <c r="AF71" s="84">
        <v>2</v>
      </c>
      <c r="AG71" s="84">
        <v>4</v>
      </c>
      <c r="AH71" s="84">
        <v>3</v>
      </c>
      <c r="AI71" s="84">
        <v>4</v>
      </c>
    </row>
    <row r="72" spans="1:35" ht="36" customHeight="1" x14ac:dyDescent="0.25">
      <c r="A72" s="155" t="s">
        <v>296</v>
      </c>
      <c r="B72" s="155">
        <v>1008</v>
      </c>
      <c r="C72" s="155" t="s">
        <v>161</v>
      </c>
      <c r="D72" s="159">
        <v>40745</v>
      </c>
      <c r="E72" s="160" t="s">
        <v>551</v>
      </c>
      <c r="F72" s="160" t="s">
        <v>432</v>
      </c>
      <c r="G72" s="161" t="s">
        <v>585</v>
      </c>
      <c r="H72" s="5">
        <v>62900</v>
      </c>
      <c r="I72" s="6">
        <v>0.34979332273449898</v>
      </c>
      <c r="J72" s="7">
        <v>76687</v>
      </c>
      <c r="K72" s="7">
        <v>788083</v>
      </c>
      <c r="L72" s="6">
        <v>0.25911501887513699</v>
      </c>
      <c r="M72" s="6">
        <v>0.42965706070904303</v>
      </c>
      <c r="N72" s="6">
        <v>5.1936177021899101E-2</v>
      </c>
      <c r="O72" s="6">
        <v>0.10035203218579999</v>
      </c>
      <c r="P72" s="8">
        <v>0.192362984298247</v>
      </c>
      <c r="Q72" s="84">
        <v>2</v>
      </c>
      <c r="R72" s="84">
        <v>3</v>
      </c>
      <c r="S72" s="84">
        <v>3</v>
      </c>
      <c r="T72" s="84">
        <v>2</v>
      </c>
      <c r="U72" s="84">
        <v>3</v>
      </c>
      <c r="V72" s="84">
        <v>2</v>
      </c>
      <c r="W72" s="84">
        <v>3</v>
      </c>
      <c r="X72" s="84">
        <v>3</v>
      </c>
      <c r="Y72" s="84">
        <v>2</v>
      </c>
      <c r="Z72" s="84">
        <v>1</v>
      </c>
      <c r="AA72" s="84">
        <v>1</v>
      </c>
      <c r="AB72" s="84">
        <v>0</v>
      </c>
      <c r="AC72" s="84">
        <v>1</v>
      </c>
      <c r="AD72" s="84">
        <v>0</v>
      </c>
      <c r="AE72" s="84">
        <v>1</v>
      </c>
      <c r="AF72" s="84">
        <v>0</v>
      </c>
      <c r="AG72" s="84">
        <v>0</v>
      </c>
      <c r="AH72" s="84">
        <v>0</v>
      </c>
      <c r="AI72" s="84">
        <v>1</v>
      </c>
    </row>
    <row r="73" spans="1:35" ht="36" customHeight="1" x14ac:dyDescent="0.25">
      <c r="A73" s="155" t="s">
        <v>295</v>
      </c>
      <c r="B73" s="155">
        <v>918</v>
      </c>
      <c r="C73" s="155" t="s">
        <v>133</v>
      </c>
      <c r="D73" s="159">
        <v>40773</v>
      </c>
      <c r="E73" s="160" t="s">
        <v>545</v>
      </c>
      <c r="F73" s="160" t="s">
        <v>409</v>
      </c>
      <c r="G73" s="161" t="s">
        <v>584</v>
      </c>
      <c r="H73" s="5">
        <v>95855</v>
      </c>
      <c r="I73" s="6">
        <v>0.38402795889625002</v>
      </c>
      <c r="J73" s="7">
        <v>76987</v>
      </c>
      <c r="K73" s="7">
        <v>1309505</v>
      </c>
      <c r="L73" s="6">
        <v>0.42435878748888001</v>
      </c>
      <c r="M73" s="6">
        <v>0.64496632077189198</v>
      </c>
      <c r="N73" s="6">
        <v>3.03149462952849E-2</v>
      </c>
      <c r="O73" s="6">
        <v>0.109036956125979</v>
      </c>
      <c r="P73" s="8">
        <v>0.26947751683961402</v>
      </c>
      <c r="Q73" s="84">
        <v>1</v>
      </c>
      <c r="R73" s="84">
        <v>2</v>
      </c>
      <c r="S73" s="84">
        <v>3</v>
      </c>
      <c r="T73" s="84">
        <v>4</v>
      </c>
      <c r="U73" s="84">
        <v>4</v>
      </c>
      <c r="V73" s="84">
        <v>2</v>
      </c>
      <c r="W73" s="84">
        <v>2</v>
      </c>
      <c r="X73" s="84">
        <v>2</v>
      </c>
      <c r="Y73" s="84">
        <v>2</v>
      </c>
      <c r="Z73" s="84">
        <v>3</v>
      </c>
      <c r="AA73" s="84">
        <v>3</v>
      </c>
      <c r="AB73" s="84">
        <v>4</v>
      </c>
      <c r="AC73" s="84">
        <v>2</v>
      </c>
      <c r="AD73" s="84">
        <v>3</v>
      </c>
      <c r="AE73" s="84">
        <v>4</v>
      </c>
      <c r="AF73" s="84">
        <v>3</v>
      </c>
      <c r="AG73" s="84">
        <v>4</v>
      </c>
      <c r="AH73" s="84">
        <v>3</v>
      </c>
      <c r="AI73" s="84">
        <v>4</v>
      </c>
    </row>
    <row r="74" spans="1:35" ht="36" customHeight="1" x14ac:dyDescent="0.25">
      <c r="A74" s="155" t="s">
        <v>296</v>
      </c>
      <c r="B74" s="155">
        <v>1007</v>
      </c>
      <c r="C74" s="155" t="s">
        <v>160</v>
      </c>
      <c r="D74" s="159">
        <v>40808</v>
      </c>
      <c r="E74" s="160" t="s">
        <v>551</v>
      </c>
      <c r="F74" s="160" t="s">
        <v>431</v>
      </c>
      <c r="G74" s="161" t="s">
        <v>584</v>
      </c>
      <c r="H74" s="5">
        <v>86579</v>
      </c>
      <c r="I74" s="6">
        <v>0.47720578893265098</v>
      </c>
      <c r="J74" s="7">
        <v>94804</v>
      </c>
      <c r="K74" s="7">
        <v>1970370</v>
      </c>
      <c r="L74" s="6">
        <v>0.57170143592522304</v>
      </c>
      <c r="M74" s="6">
        <v>8.4990939356904993E-2</v>
      </c>
      <c r="N74" s="6">
        <v>5.0402461123519697E-2</v>
      </c>
      <c r="O74" s="6">
        <v>2.1792953769649001E-2</v>
      </c>
      <c r="P74" s="8">
        <v>0.30443234017447002</v>
      </c>
      <c r="Q74" s="84">
        <v>3</v>
      </c>
      <c r="R74" s="84">
        <v>2</v>
      </c>
      <c r="S74" s="84">
        <v>4</v>
      </c>
      <c r="T74" s="84">
        <v>2</v>
      </c>
      <c r="U74" s="84">
        <v>1</v>
      </c>
      <c r="V74" s="84">
        <v>3</v>
      </c>
      <c r="W74" s="84">
        <v>2</v>
      </c>
      <c r="X74" s="84">
        <v>1</v>
      </c>
      <c r="Y74" s="84">
        <v>1</v>
      </c>
      <c r="Z74" s="84">
        <v>3</v>
      </c>
      <c r="AA74" s="84">
        <v>3</v>
      </c>
      <c r="AB74" s="84">
        <v>4</v>
      </c>
      <c r="AC74" s="84">
        <v>4</v>
      </c>
      <c r="AD74" s="84">
        <v>4</v>
      </c>
      <c r="AE74" s="84">
        <v>4</v>
      </c>
      <c r="AF74" s="84">
        <v>3</v>
      </c>
      <c r="AG74" s="84">
        <v>4</v>
      </c>
      <c r="AH74" s="84">
        <v>4</v>
      </c>
      <c r="AI74" s="84">
        <v>4</v>
      </c>
    </row>
    <row r="75" spans="1:35" ht="36" customHeight="1" x14ac:dyDescent="0.25">
      <c r="A75" s="155" t="s">
        <v>295</v>
      </c>
      <c r="B75" s="155">
        <v>920</v>
      </c>
      <c r="C75" s="155" t="s">
        <v>135</v>
      </c>
      <c r="D75" s="159">
        <v>40822</v>
      </c>
      <c r="E75" s="160" t="s">
        <v>547</v>
      </c>
      <c r="F75" s="160" t="s">
        <v>411</v>
      </c>
      <c r="G75" s="161" t="s">
        <v>584</v>
      </c>
      <c r="H75" s="5">
        <v>104075</v>
      </c>
      <c r="I75" s="6">
        <v>0.191755945231804</v>
      </c>
      <c r="J75" s="7">
        <v>50696</v>
      </c>
      <c r="K75" s="7">
        <v>473709</v>
      </c>
      <c r="L75" s="6">
        <v>0.31054856007076798</v>
      </c>
      <c r="M75" s="6">
        <v>0.27614739463774002</v>
      </c>
      <c r="N75" s="6">
        <v>4.2261181377623698E-2</v>
      </c>
      <c r="O75" s="6">
        <v>0.38484043750281299</v>
      </c>
      <c r="P75" s="8">
        <v>0.212858771811376</v>
      </c>
      <c r="Q75" s="84">
        <v>2</v>
      </c>
      <c r="R75" s="84">
        <v>2</v>
      </c>
      <c r="S75" s="84">
        <v>2</v>
      </c>
      <c r="T75" s="84">
        <v>3</v>
      </c>
      <c r="U75" s="84">
        <v>3</v>
      </c>
      <c r="V75" s="84">
        <v>2</v>
      </c>
      <c r="W75" s="84">
        <v>3</v>
      </c>
      <c r="X75" s="84">
        <v>4</v>
      </c>
      <c r="Y75" s="84">
        <v>3</v>
      </c>
      <c r="Z75" s="84">
        <v>2</v>
      </c>
      <c r="AA75" s="84">
        <v>2</v>
      </c>
      <c r="AB75" s="84">
        <v>4</v>
      </c>
      <c r="AC75" s="84">
        <v>2</v>
      </c>
      <c r="AD75" s="84">
        <v>3</v>
      </c>
      <c r="AE75" s="84">
        <v>3</v>
      </c>
      <c r="AF75" s="84">
        <v>2</v>
      </c>
      <c r="AG75" s="84">
        <v>3</v>
      </c>
      <c r="AH75" s="84">
        <v>2</v>
      </c>
      <c r="AI75" s="84">
        <v>4</v>
      </c>
    </row>
    <row r="76" spans="1:35" ht="36" customHeight="1" x14ac:dyDescent="0.25">
      <c r="A76" s="155" t="s">
        <v>297</v>
      </c>
      <c r="B76" s="155">
        <v>1108</v>
      </c>
      <c r="C76" s="155" t="s">
        <v>174</v>
      </c>
      <c r="D76" s="159">
        <v>40834</v>
      </c>
      <c r="E76" s="160" t="s">
        <v>552</v>
      </c>
      <c r="F76" s="160" t="s">
        <v>443</v>
      </c>
      <c r="G76" s="161" t="s">
        <v>585</v>
      </c>
      <c r="H76" s="5">
        <v>151263</v>
      </c>
      <c r="I76" s="6">
        <v>0.28498046448900299</v>
      </c>
      <c r="J76" s="7">
        <v>60692</v>
      </c>
      <c r="K76" s="7">
        <v>701980</v>
      </c>
      <c r="L76" s="6">
        <v>0.360061774250303</v>
      </c>
      <c r="M76" s="6">
        <v>0.27583376815375199</v>
      </c>
      <c r="N76" s="6">
        <v>0.103938385946604</v>
      </c>
      <c r="O76" s="6">
        <v>0.106014653448126</v>
      </c>
      <c r="P76" s="8">
        <v>0.22912318462475001</v>
      </c>
      <c r="Q76" s="84">
        <v>2</v>
      </c>
      <c r="R76" s="84">
        <v>3</v>
      </c>
      <c r="S76" s="84">
        <v>2</v>
      </c>
      <c r="T76" s="84">
        <v>2</v>
      </c>
      <c r="U76" s="84">
        <v>2</v>
      </c>
      <c r="V76" s="84">
        <v>2</v>
      </c>
      <c r="W76" s="84">
        <v>3</v>
      </c>
      <c r="X76" s="84">
        <v>3</v>
      </c>
      <c r="Y76" s="84">
        <v>2</v>
      </c>
      <c r="Z76" s="84">
        <v>2</v>
      </c>
      <c r="AA76" s="84">
        <v>2</v>
      </c>
      <c r="AB76" s="84">
        <v>3</v>
      </c>
      <c r="AC76" s="84">
        <v>2</v>
      </c>
      <c r="AD76" s="84">
        <v>3</v>
      </c>
      <c r="AE76" s="84">
        <v>3</v>
      </c>
      <c r="AF76" s="84">
        <v>2</v>
      </c>
      <c r="AG76" s="84">
        <v>3</v>
      </c>
      <c r="AH76" s="84">
        <v>2</v>
      </c>
      <c r="AI76" s="84">
        <v>3</v>
      </c>
    </row>
    <row r="77" spans="1:35" ht="36" customHeight="1" x14ac:dyDescent="0.25">
      <c r="A77" s="155" t="s">
        <v>297</v>
      </c>
      <c r="B77" s="155">
        <v>1109</v>
      </c>
      <c r="C77" s="155" t="s">
        <v>175</v>
      </c>
      <c r="D77" s="159">
        <v>41018</v>
      </c>
      <c r="E77" s="160" t="s">
        <v>553</v>
      </c>
      <c r="F77" s="160" t="s">
        <v>444</v>
      </c>
      <c r="G77" s="161" t="s">
        <v>584</v>
      </c>
      <c r="H77" s="5">
        <v>174778</v>
      </c>
      <c r="I77" s="6">
        <v>0.43587865749693899</v>
      </c>
      <c r="J77" s="7">
        <v>85443</v>
      </c>
      <c r="K77" s="7">
        <v>1258042</v>
      </c>
      <c r="L77" s="6">
        <v>0.34183546836456102</v>
      </c>
      <c r="M77" s="6">
        <v>0.28134835004910802</v>
      </c>
      <c r="N77" s="6">
        <v>0.33373420126318198</v>
      </c>
      <c r="O77" s="6">
        <v>1.1031335804256999E-2</v>
      </c>
      <c r="P77" s="8">
        <v>0.24844611403049699</v>
      </c>
      <c r="Q77" s="84">
        <v>2</v>
      </c>
      <c r="R77" s="84">
        <v>3</v>
      </c>
      <c r="S77" s="84">
        <v>4</v>
      </c>
      <c r="T77" s="84">
        <v>1</v>
      </c>
      <c r="U77" s="84">
        <v>3</v>
      </c>
      <c r="V77" s="84">
        <v>1</v>
      </c>
      <c r="W77" s="84">
        <v>2</v>
      </c>
      <c r="X77" s="84">
        <v>2</v>
      </c>
      <c r="Y77" s="84">
        <v>4</v>
      </c>
      <c r="Z77" s="84">
        <v>0</v>
      </c>
      <c r="AA77" s="84">
        <v>3</v>
      </c>
      <c r="AB77" s="84">
        <v>3</v>
      </c>
      <c r="AC77" s="84">
        <v>1</v>
      </c>
      <c r="AD77" s="84">
        <v>3</v>
      </c>
      <c r="AE77" s="84">
        <v>1</v>
      </c>
      <c r="AF77" s="84">
        <v>1</v>
      </c>
      <c r="AG77" s="84">
        <v>2</v>
      </c>
      <c r="AH77" s="84">
        <v>0</v>
      </c>
      <c r="AI77" s="84">
        <v>3</v>
      </c>
    </row>
    <row r="78" spans="1:35" ht="36" customHeight="1" x14ac:dyDescent="0.25">
      <c r="A78" s="155" t="s">
        <v>291</v>
      </c>
      <c r="B78" s="155">
        <v>501</v>
      </c>
      <c r="C78" s="155" t="s">
        <v>56</v>
      </c>
      <c r="D78" s="159">
        <v>41053</v>
      </c>
      <c r="E78" s="160" t="s">
        <v>529</v>
      </c>
      <c r="F78" s="160" t="s">
        <v>339</v>
      </c>
      <c r="G78" s="161" t="s">
        <v>585</v>
      </c>
      <c r="H78" s="5">
        <v>189335</v>
      </c>
      <c r="I78" s="6">
        <v>0.391316977843505</v>
      </c>
      <c r="J78" s="7">
        <v>74425</v>
      </c>
      <c r="K78" s="7">
        <v>1348097</v>
      </c>
      <c r="L78" s="6">
        <v>0.56633464862264604</v>
      </c>
      <c r="M78" s="6">
        <v>0.303510431027607</v>
      </c>
      <c r="N78" s="6">
        <v>6.0888488839768898E-2</v>
      </c>
      <c r="O78" s="6">
        <v>0.14401996194469399</v>
      </c>
      <c r="P78" s="8">
        <v>0.21299349413788801</v>
      </c>
      <c r="Q78" s="84">
        <v>4</v>
      </c>
      <c r="R78" s="84">
        <v>4</v>
      </c>
      <c r="S78" s="84">
        <v>4</v>
      </c>
      <c r="T78" s="84">
        <v>4</v>
      </c>
      <c r="U78" s="84">
        <v>4</v>
      </c>
      <c r="V78" s="84">
        <v>4</v>
      </c>
      <c r="W78" s="84">
        <v>4</v>
      </c>
      <c r="X78" s="84">
        <v>3</v>
      </c>
      <c r="Y78" s="84">
        <v>4</v>
      </c>
      <c r="Z78" s="84">
        <v>3</v>
      </c>
      <c r="AA78" s="84">
        <v>4</v>
      </c>
      <c r="AB78" s="84">
        <v>4</v>
      </c>
      <c r="AC78" s="84">
        <v>4</v>
      </c>
      <c r="AD78" s="84">
        <v>4</v>
      </c>
      <c r="AE78" s="84">
        <v>4</v>
      </c>
      <c r="AF78" s="84">
        <v>4</v>
      </c>
      <c r="AG78" s="84">
        <v>4</v>
      </c>
      <c r="AH78" s="84">
        <v>4</v>
      </c>
      <c r="AI78" s="84">
        <v>4</v>
      </c>
    </row>
    <row r="79" spans="1:35" ht="36" customHeight="1" x14ac:dyDescent="0.25">
      <c r="A79" s="155" t="s">
        <v>300</v>
      </c>
      <c r="B79" s="155">
        <v>1401</v>
      </c>
      <c r="C79" s="155" t="s">
        <v>213</v>
      </c>
      <c r="D79" s="159">
        <v>41088</v>
      </c>
      <c r="E79" s="160" t="s">
        <v>561</v>
      </c>
      <c r="F79" s="160" t="s">
        <v>471</v>
      </c>
      <c r="G79" s="161" t="s">
        <v>585</v>
      </c>
      <c r="H79" s="5">
        <v>101821</v>
      </c>
      <c r="I79" s="6">
        <v>0.65430510405515596</v>
      </c>
      <c r="J79" s="7">
        <v>141954</v>
      </c>
      <c r="K79" s="7">
        <v>2180090</v>
      </c>
      <c r="L79" s="6">
        <v>0.72347393980461905</v>
      </c>
      <c r="M79" s="6">
        <v>6.8657728387099395E-2</v>
      </c>
      <c r="N79" s="6">
        <v>0.31884273671764202</v>
      </c>
      <c r="O79" s="6">
        <v>2.44955163902911E-2</v>
      </c>
      <c r="P79" s="8">
        <v>0.247307560329253</v>
      </c>
      <c r="Q79" s="84">
        <v>4</v>
      </c>
      <c r="R79" s="84">
        <v>2</v>
      </c>
      <c r="S79" s="84">
        <v>4</v>
      </c>
      <c r="T79" s="84">
        <v>2</v>
      </c>
      <c r="U79" s="84">
        <v>4</v>
      </c>
      <c r="V79" s="84">
        <v>3</v>
      </c>
      <c r="W79" s="84">
        <v>4</v>
      </c>
      <c r="X79" s="84">
        <v>3</v>
      </c>
      <c r="Y79" s="84">
        <v>4</v>
      </c>
      <c r="Z79" s="84">
        <v>2</v>
      </c>
      <c r="AA79" s="84">
        <v>4</v>
      </c>
      <c r="AB79" s="84">
        <v>4</v>
      </c>
      <c r="AC79" s="84">
        <v>3</v>
      </c>
      <c r="AD79" s="84">
        <v>4</v>
      </c>
      <c r="AE79" s="84">
        <v>4</v>
      </c>
      <c r="AF79" s="84">
        <v>2</v>
      </c>
      <c r="AG79" s="84">
        <v>4</v>
      </c>
      <c r="AH79" s="84">
        <v>3</v>
      </c>
      <c r="AI79" s="84">
        <v>4</v>
      </c>
    </row>
    <row r="80" spans="1:35" ht="36" customHeight="1" x14ac:dyDescent="0.25">
      <c r="A80" s="155" t="s">
        <v>295</v>
      </c>
      <c r="B80" s="155">
        <v>919</v>
      </c>
      <c r="C80" s="155" t="s">
        <v>134</v>
      </c>
      <c r="D80" s="159">
        <v>41102</v>
      </c>
      <c r="E80" s="160" t="s">
        <v>545</v>
      </c>
      <c r="F80" s="160" t="s">
        <v>410</v>
      </c>
      <c r="G80" s="161" t="s">
        <v>584</v>
      </c>
      <c r="H80" s="5">
        <v>144133</v>
      </c>
      <c r="I80" s="6">
        <v>0.25715138101614499</v>
      </c>
      <c r="J80" s="7">
        <v>56680</v>
      </c>
      <c r="K80" s="7">
        <v>716877</v>
      </c>
      <c r="L80" s="6">
        <v>0.30861838969178101</v>
      </c>
      <c r="M80" s="6">
        <v>0.27860408906374301</v>
      </c>
      <c r="N80" s="6">
        <v>3.6728853639141197E-2</v>
      </c>
      <c r="O80" s="6">
        <v>0.38491660737454497</v>
      </c>
      <c r="P80" s="8">
        <v>0.249468986732516</v>
      </c>
      <c r="Q80" s="84">
        <v>1</v>
      </c>
      <c r="R80" s="84">
        <v>3</v>
      </c>
      <c r="S80" s="84">
        <v>2</v>
      </c>
      <c r="T80" s="84">
        <v>3</v>
      </c>
      <c r="U80" s="84">
        <v>3</v>
      </c>
      <c r="V80" s="84">
        <v>2</v>
      </c>
      <c r="W80" s="84">
        <v>2</v>
      </c>
      <c r="X80" s="84">
        <v>3</v>
      </c>
      <c r="Y80" s="84">
        <v>2</v>
      </c>
      <c r="Z80" s="84">
        <v>2</v>
      </c>
      <c r="AA80" s="84">
        <v>1</v>
      </c>
      <c r="AB80" s="84">
        <v>3</v>
      </c>
      <c r="AC80" s="84">
        <v>1</v>
      </c>
      <c r="AD80" s="84">
        <v>1</v>
      </c>
      <c r="AE80" s="84">
        <v>3</v>
      </c>
      <c r="AF80" s="84">
        <v>2</v>
      </c>
      <c r="AG80" s="84">
        <v>2</v>
      </c>
      <c r="AH80" s="84">
        <v>2</v>
      </c>
      <c r="AI80" s="84">
        <v>3</v>
      </c>
    </row>
    <row r="81" spans="1:35" ht="36" customHeight="1" x14ac:dyDescent="0.25">
      <c r="A81" s="155" t="s">
        <v>297</v>
      </c>
      <c r="B81" s="155">
        <v>1110</v>
      </c>
      <c r="C81" s="155" t="s">
        <v>176</v>
      </c>
      <c r="D81" s="159">
        <v>41137</v>
      </c>
      <c r="E81" s="160" t="s">
        <v>553</v>
      </c>
      <c r="F81" s="160" t="s">
        <v>445</v>
      </c>
      <c r="G81" s="161" t="s">
        <v>583</v>
      </c>
      <c r="H81" s="5">
        <v>117011</v>
      </c>
      <c r="I81" s="6">
        <v>0.55781935031749197</v>
      </c>
      <c r="J81" s="7">
        <v>110086</v>
      </c>
      <c r="K81" s="7">
        <v>1774066</v>
      </c>
      <c r="L81" s="6">
        <v>0.536843559115879</v>
      </c>
      <c r="M81" s="6">
        <v>0.21093686254671301</v>
      </c>
      <c r="N81" s="6">
        <v>0.16400398178821499</v>
      </c>
      <c r="O81" s="6">
        <v>1.9073418299907E-2</v>
      </c>
      <c r="P81" s="8">
        <v>0.26309176063578099</v>
      </c>
      <c r="Q81" s="84">
        <v>2</v>
      </c>
      <c r="R81" s="84">
        <v>2</v>
      </c>
      <c r="S81" s="84">
        <v>3</v>
      </c>
      <c r="T81" s="84">
        <v>1</v>
      </c>
      <c r="U81" s="84">
        <v>2</v>
      </c>
      <c r="V81" s="84">
        <v>1</v>
      </c>
      <c r="W81" s="84">
        <v>2</v>
      </c>
      <c r="X81" s="84">
        <v>1</v>
      </c>
      <c r="Y81" s="84">
        <v>1</v>
      </c>
      <c r="Z81" s="84">
        <v>1</v>
      </c>
      <c r="AA81" s="84">
        <v>3</v>
      </c>
      <c r="AB81" s="84">
        <v>3</v>
      </c>
      <c r="AC81" s="84">
        <v>2</v>
      </c>
      <c r="AD81" s="84">
        <v>3</v>
      </c>
      <c r="AE81" s="84">
        <v>1</v>
      </c>
      <c r="AF81" s="84">
        <v>1</v>
      </c>
      <c r="AG81" s="84">
        <v>3</v>
      </c>
      <c r="AH81" s="84">
        <v>2</v>
      </c>
      <c r="AI81" s="84">
        <v>3</v>
      </c>
    </row>
    <row r="82" spans="1:35" ht="36" customHeight="1" x14ac:dyDescent="0.25">
      <c r="A82" s="155" t="s">
        <v>296</v>
      </c>
      <c r="B82" s="155">
        <v>1009</v>
      </c>
      <c r="C82" s="155" t="s">
        <v>162</v>
      </c>
      <c r="D82" s="159">
        <v>41144</v>
      </c>
      <c r="E82" s="160" t="s">
        <v>551</v>
      </c>
      <c r="F82" s="160" t="s">
        <v>433</v>
      </c>
      <c r="G82" s="161" t="s">
        <v>585</v>
      </c>
      <c r="H82" s="5">
        <v>115955</v>
      </c>
      <c r="I82" s="6">
        <v>0.17894010607563299</v>
      </c>
      <c r="J82" s="7">
        <v>48071</v>
      </c>
      <c r="K82" s="7">
        <v>459209</v>
      </c>
      <c r="L82" s="6">
        <v>0.34406101658755101</v>
      </c>
      <c r="M82" s="6">
        <v>0.314077991754243</v>
      </c>
      <c r="N82" s="6">
        <v>3.8786303812709998E-2</v>
      </c>
      <c r="O82" s="6">
        <v>5.9789359772593899E-2</v>
      </c>
      <c r="P82" s="8">
        <v>0.24517409826320899</v>
      </c>
      <c r="Q82" s="84">
        <v>3</v>
      </c>
      <c r="R82" s="84">
        <v>2</v>
      </c>
      <c r="S82" s="84">
        <v>2</v>
      </c>
      <c r="T82" s="84">
        <v>2</v>
      </c>
      <c r="U82" s="84">
        <v>1</v>
      </c>
      <c r="V82" s="84">
        <v>2</v>
      </c>
      <c r="W82" s="84">
        <v>3</v>
      </c>
      <c r="X82" s="84">
        <v>2</v>
      </c>
      <c r="Y82" s="84">
        <v>1</v>
      </c>
      <c r="Z82" s="84">
        <v>2</v>
      </c>
      <c r="AA82" s="84">
        <v>1</v>
      </c>
      <c r="AB82" s="84">
        <v>1</v>
      </c>
      <c r="AC82" s="84">
        <v>2</v>
      </c>
      <c r="AD82" s="84">
        <v>1</v>
      </c>
      <c r="AE82" s="84">
        <v>0</v>
      </c>
      <c r="AF82" s="84">
        <v>1</v>
      </c>
      <c r="AG82" s="84">
        <v>0</v>
      </c>
      <c r="AH82" s="84">
        <v>1</v>
      </c>
      <c r="AI82" s="84">
        <v>1</v>
      </c>
    </row>
    <row r="83" spans="1:35" ht="36" customHeight="1" x14ac:dyDescent="0.25">
      <c r="A83" s="155" t="s">
        <v>300</v>
      </c>
      <c r="B83" s="155">
        <v>1402</v>
      </c>
      <c r="C83" s="155" t="s">
        <v>214</v>
      </c>
      <c r="D83" s="159">
        <v>41172</v>
      </c>
      <c r="E83" s="160" t="s">
        <v>561</v>
      </c>
      <c r="F83" s="160" t="s">
        <v>472</v>
      </c>
      <c r="G83" s="161" t="s">
        <v>585</v>
      </c>
      <c r="H83" s="5">
        <v>108755</v>
      </c>
      <c r="I83" s="6">
        <v>0.36464530366419901</v>
      </c>
      <c r="J83" s="7">
        <v>70671</v>
      </c>
      <c r="K83" s="7">
        <v>827365</v>
      </c>
      <c r="L83" s="6">
        <v>0.31068057085554202</v>
      </c>
      <c r="M83" s="6">
        <v>0.16794646289724999</v>
      </c>
      <c r="N83" s="6">
        <v>0.24420349270397099</v>
      </c>
      <c r="O83" s="6">
        <v>0.14909484327741199</v>
      </c>
      <c r="P83" s="8">
        <v>0.23534415007808099</v>
      </c>
      <c r="Q83" s="84">
        <v>3</v>
      </c>
      <c r="R83" s="84">
        <v>4</v>
      </c>
      <c r="S83" s="84">
        <v>3</v>
      </c>
      <c r="T83" s="84">
        <v>2</v>
      </c>
      <c r="U83" s="84">
        <v>3</v>
      </c>
      <c r="V83" s="84">
        <v>2</v>
      </c>
      <c r="W83" s="84">
        <v>3</v>
      </c>
      <c r="X83" s="84">
        <v>4</v>
      </c>
      <c r="Y83" s="84">
        <v>4</v>
      </c>
      <c r="Z83" s="84">
        <v>1</v>
      </c>
      <c r="AA83" s="84">
        <v>0</v>
      </c>
      <c r="AB83" s="84">
        <v>1</v>
      </c>
      <c r="AC83" s="84">
        <v>1</v>
      </c>
      <c r="AD83" s="84">
        <v>0</v>
      </c>
      <c r="AE83" s="84">
        <v>1</v>
      </c>
      <c r="AF83" s="84">
        <v>0</v>
      </c>
      <c r="AG83" s="84">
        <v>0</v>
      </c>
      <c r="AH83" s="84">
        <v>1</v>
      </c>
      <c r="AI83" s="84">
        <v>2</v>
      </c>
    </row>
    <row r="84" spans="1:35" ht="36" customHeight="1" x14ac:dyDescent="0.25">
      <c r="A84" s="155" t="s">
        <v>291</v>
      </c>
      <c r="B84" s="155">
        <v>502</v>
      </c>
      <c r="C84" s="155" t="s">
        <v>57</v>
      </c>
      <c r="D84" s="159">
        <v>41207</v>
      </c>
      <c r="E84" s="160" t="s">
        <v>529</v>
      </c>
      <c r="F84" s="160" t="s">
        <v>340</v>
      </c>
      <c r="G84" s="161" t="s">
        <v>585</v>
      </c>
      <c r="H84" s="5">
        <v>106636</v>
      </c>
      <c r="I84" s="6">
        <v>0.29283731572827199</v>
      </c>
      <c r="J84" s="7">
        <v>62719</v>
      </c>
      <c r="K84" s="7">
        <v>853693</v>
      </c>
      <c r="L84" s="6">
        <v>0.36735562545259598</v>
      </c>
      <c r="M84" s="6">
        <v>0.33879613863957803</v>
      </c>
      <c r="N84" s="6">
        <v>4.0518311159851099E-2</v>
      </c>
      <c r="O84" s="6">
        <v>0.19849715736919599</v>
      </c>
      <c r="P84" s="8">
        <v>0.21316845112695201</v>
      </c>
      <c r="Q84" s="84">
        <v>4</v>
      </c>
      <c r="R84" s="84">
        <v>4</v>
      </c>
      <c r="S84" s="84">
        <v>2</v>
      </c>
      <c r="T84" s="84">
        <v>2</v>
      </c>
      <c r="U84" s="84">
        <v>1</v>
      </c>
      <c r="V84" s="84">
        <v>3</v>
      </c>
      <c r="W84" s="84">
        <v>3</v>
      </c>
      <c r="X84" s="84">
        <v>4</v>
      </c>
      <c r="Y84" s="84">
        <v>2</v>
      </c>
      <c r="Z84" s="84">
        <v>2</v>
      </c>
      <c r="AA84" s="84">
        <v>2</v>
      </c>
      <c r="AB84" s="84">
        <v>2</v>
      </c>
      <c r="AC84" s="84">
        <v>1</v>
      </c>
      <c r="AD84" s="84">
        <v>2</v>
      </c>
      <c r="AE84" s="84">
        <v>1</v>
      </c>
      <c r="AF84" s="84">
        <v>1</v>
      </c>
      <c r="AG84" s="84">
        <v>1</v>
      </c>
      <c r="AH84" s="84">
        <v>1</v>
      </c>
      <c r="AI84" s="84">
        <v>1</v>
      </c>
    </row>
    <row r="85" spans="1:35" ht="36" customHeight="1" x14ac:dyDescent="0.25">
      <c r="A85" s="155" t="s">
        <v>300</v>
      </c>
      <c r="B85" s="155">
        <v>1403</v>
      </c>
      <c r="C85" s="155" t="s">
        <v>215</v>
      </c>
      <c r="D85" s="159">
        <v>41215</v>
      </c>
      <c r="E85" s="160" t="s">
        <v>562</v>
      </c>
      <c r="F85" s="160" t="s">
        <v>473</v>
      </c>
      <c r="G85" s="161" t="s">
        <v>584</v>
      </c>
      <c r="H85" s="5">
        <v>63536</v>
      </c>
      <c r="I85" s="6">
        <v>0.222834298665324</v>
      </c>
      <c r="J85" s="7">
        <v>55886</v>
      </c>
      <c r="K85" s="7">
        <v>544898</v>
      </c>
      <c r="L85" s="6">
        <v>0.28906794622244403</v>
      </c>
      <c r="M85" s="6">
        <v>6.7234321473181702E-2</v>
      </c>
      <c r="N85" s="6">
        <v>2.5266204133120598E-2</v>
      </c>
      <c r="O85" s="6">
        <v>1.89589285051757E-2</v>
      </c>
      <c r="P85" s="8">
        <v>0.233220791748599</v>
      </c>
      <c r="Q85" s="84">
        <v>1</v>
      </c>
      <c r="R85" s="84">
        <v>0</v>
      </c>
      <c r="S85" s="84">
        <v>0</v>
      </c>
      <c r="T85" s="84">
        <v>0</v>
      </c>
      <c r="U85" s="84">
        <v>0</v>
      </c>
      <c r="V85" s="84">
        <v>1</v>
      </c>
      <c r="W85" s="84">
        <v>3</v>
      </c>
      <c r="X85" s="84">
        <v>0</v>
      </c>
      <c r="Y85" s="84">
        <v>0</v>
      </c>
      <c r="Z85" s="84">
        <v>1</v>
      </c>
      <c r="AA85" s="84">
        <v>0</v>
      </c>
      <c r="AB85" s="84">
        <v>0</v>
      </c>
      <c r="AC85" s="84">
        <v>0</v>
      </c>
      <c r="AD85" s="84">
        <v>0</v>
      </c>
      <c r="AE85" s="84">
        <v>0</v>
      </c>
      <c r="AF85" s="84">
        <v>0</v>
      </c>
      <c r="AG85" s="84">
        <v>0</v>
      </c>
      <c r="AH85" s="84">
        <v>0</v>
      </c>
      <c r="AI85" s="84">
        <v>0</v>
      </c>
    </row>
    <row r="86" spans="1:35" ht="36" customHeight="1" x14ac:dyDescent="0.25">
      <c r="A86" s="155" t="s">
        <v>297</v>
      </c>
      <c r="B86" s="155">
        <v>1111</v>
      </c>
      <c r="C86" s="155" t="s">
        <v>177</v>
      </c>
      <c r="D86" s="159">
        <v>41242</v>
      </c>
      <c r="E86" s="160" t="s">
        <v>552</v>
      </c>
      <c r="F86" s="160" t="s">
        <v>446</v>
      </c>
      <c r="G86" s="161" t="s">
        <v>585</v>
      </c>
      <c r="H86" s="5">
        <v>44730</v>
      </c>
      <c r="I86" s="6">
        <v>0.59749608763693296</v>
      </c>
      <c r="J86" s="7">
        <v>116883</v>
      </c>
      <c r="K86" s="7">
        <v>2004263</v>
      </c>
      <c r="L86" s="6">
        <v>0.51949028853710599</v>
      </c>
      <c r="M86" s="6">
        <v>0.121910351012445</v>
      </c>
      <c r="N86" s="6">
        <v>0.14269418965056099</v>
      </c>
      <c r="O86" s="6">
        <v>3.9970735851728299E-2</v>
      </c>
      <c r="P86" s="8">
        <v>0.25300114853915301</v>
      </c>
      <c r="Q86" s="84">
        <v>2</v>
      </c>
      <c r="R86" s="84">
        <v>1</v>
      </c>
      <c r="S86" s="84">
        <v>1</v>
      </c>
      <c r="T86" s="84">
        <v>0</v>
      </c>
      <c r="U86" s="84">
        <v>1</v>
      </c>
      <c r="V86" s="84">
        <v>1</v>
      </c>
      <c r="W86" s="84">
        <v>1</v>
      </c>
      <c r="X86" s="84">
        <v>1</v>
      </c>
      <c r="Y86" s="84">
        <v>0</v>
      </c>
      <c r="Z86" s="84">
        <v>0</v>
      </c>
      <c r="AA86" s="84">
        <v>1</v>
      </c>
      <c r="AB86" s="84">
        <v>2</v>
      </c>
      <c r="AC86" s="84">
        <v>3</v>
      </c>
      <c r="AD86" s="84">
        <v>4</v>
      </c>
      <c r="AE86" s="84">
        <v>2</v>
      </c>
      <c r="AF86" s="84">
        <v>1</v>
      </c>
      <c r="AG86" s="84">
        <v>2</v>
      </c>
      <c r="AH86" s="84">
        <v>2</v>
      </c>
      <c r="AI86" s="84">
        <v>1</v>
      </c>
    </row>
    <row r="87" spans="1:35" ht="36" customHeight="1" x14ac:dyDescent="0.25">
      <c r="A87" s="155" t="s">
        <v>301</v>
      </c>
      <c r="B87" s="155">
        <v>1501</v>
      </c>
      <c r="C87" s="155" t="s">
        <v>226</v>
      </c>
      <c r="D87" s="159">
        <v>41249</v>
      </c>
      <c r="E87" s="160" t="s">
        <v>564</v>
      </c>
      <c r="F87" s="160" t="s">
        <v>483</v>
      </c>
      <c r="G87" s="161" t="s">
        <v>585</v>
      </c>
      <c r="H87" s="5">
        <v>53733</v>
      </c>
      <c r="I87" s="6">
        <v>0.55515232724768804</v>
      </c>
      <c r="J87" s="7">
        <v>114356</v>
      </c>
      <c r="K87" s="7">
        <v>2416222</v>
      </c>
      <c r="L87" s="6">
        <v>0.57207156863741204</v>
      </c>
      <c r="M87" s="6">
        <v>0.20906117335931501</v>
      </c>
      <c r="N87" s="6">
        <v>5.6962906256524497E-2</v>
      </c>
      <c r="O87" s="6">
        <v>0.107891989700049</v>
      </c>
      <c r="P87" s="8">
        <v>0.26765258542696102</v>
      </c>
      <c r="Q87" s="84">
        <v>3</v>
      </c>
      <c r="R87" s="84">
        <v>2</v>
      </c>
      <c r="S87" s="84">
        <v>3</v>
      </c>
      <c r="T87" s="84">
        <v>2</v>
      </c>
      <c r="U87" s="84">
        <v>3</v>
      </c>
      <c r="V87" s="84">
        <v>3</v>
      </c>
      <c r="W87" s="84">
        <v>3</v>
      </c>
      <c r="X87" s="84">
        <v>2</v>
      </c>
      <c r="Y87" s="84">
        <v>3</v>
      </c>
      <c r="Z87" s="84">
        <v>3</v>
      </c>
      <c r="AA87" s="84">
        <v>4</v>
      </c>
      <c r="AB87" s="84">
        <v>4</v>
      </c>
      <c r="AC87" s="84">
        <v>3</v>
      </c>
      <c r="AD87" s="84">
        <v>4</v>
      </c>
      <c r="AE87" s="84">
        <v>4</v>
      </c>
      <c r="AF87" s="84">
        <v>4</v>
      </c>
      <c r="AG87" s="84">
        <v>4</v>
      </c>
      <c r="AH87" s="84">
        <v>4</v>
      </c>
      <c r="AI87" s="84">
        <v>4</v>
      </c>
    </row>
    <row r="88" spans="1:35" ht="36" customHeight="1" x14ac:dyDescent="0.25">
      <c r="A88" s="155" t="s">
        <v>299</v>
      </c>
      <c r="B88" s="155">
        <v>1301</v>
      </c>
      <c r="C88" s="155" t="s">
        <v>210</v>
      </c>
      <c r="D88" s="159">
        <v>41325</v>
      </c>
      <c r="E88" s="160" t="s">
        <v>560</v>
      </c>
      <c r="F88" s="160" t="s">
        <v>468</v>
      </c>
      <c r="G88" s="161" t="s">
        <v>584</v>
      </c>
      <c r="H88" s="5">
        <v>67574</v>
      </c>
      <c r="I88" s="6">
        <v>0.32965341699470202</v>
      </c>
      <c r="J88" s="7">
        <v>72561</v>
      </c>
      <c r="K88" s="7">
        <v>981204</v>
      </c>
      <c r="L88" s="6">
        <v>0.37285052772099597</v>
      </c>
      <c r="M88" s="6">
        <v>0.45842168341476902</v>
      </c>
      <c r="N88" s="6">
        <v>2.3456946621185599E-2</v>
      </c>
      <c r="O88" s="6">
        <v>2.9328385728772902E-2</v>
      </c>
      <c r="P88" s="8">
        <v>0.25093919977874102</v>
      </c>
      <c r="Q88" s="84">
        <v>2</v>
      </c>
      <c r="R88" s="84">
        <v>2</v>
      </c>
      <c r="S88" s="84">
        <v>1</v>
      </c>
      <c r="T88" s="84">
        <v>0</v>
      </c>
      <c r="U88" s="84">
        <v>0</v>
      </c>
      <c r="V88" s="84">
        <v>2</v>
      </c>
      <c r="W88" s="84">
        <v>2</v>
      </c>
      <c r="X88" s="84">
        <v>1</v>
      </c>
      <c r="Y88" s="84">
        <v>0</v>
      </c>
      <c r="Z88" s="84">
        <v>1</v>
      </c>
      <c r="AA88" s="84">
        <v>0</v>
      </c>
      <c r="AB88" s="84">
        <v>0</v>
      </c>
      <c r="AC88" s="84">
        <v>1</v>
      </c>
      <c r="AD88" s="84">
        <v>0</v>
      </c>
      <c r="AE88" s="84">
        <v>0</v>
      </c>
      <c r="AF88" s="84">
        <v>1</v>
      </c>
      <c r="AG88" s="84">
        <v>0</v>
      </c>
      <c r="AH88" s="84">
        <v>0</v>
      </c>
      <c r="AI88" s="84">
        <v>0</v>
      </c>
    </row>
    <row r="89" spans="1:35" ht="36" customHeight="1" x14ac:dyDescent="0.25">
      <c r="A89" s="155" t="s">
        <v>295</v>
      </c>
      <c r="B89" s="155">
        <v>921</v>
      </c>
      <c r="C89" s="155" t="s">
        <v>136</v>
      </c>
      <c r="D89" s="159">
        <v>41354</v>
      </c>
      <c r="E89" s="160" t="s">
        <v>548</v>
      </c>
      <c r="F89" s="160" t="s">
        <v>412</v>
      </c>
      <c r="G89" s="161" t="s">
        <v>584</v>
      </c>
      <c r="H89" s="5">
        <v>29318</v>
      </c>
      <c r="I89" s="6">
        <v>0.39095436250767401</v>
      </c>
      <c r="J89" s="7">
        <v>80220</v>
      </c>
      <c r="K89" s="7">
        <v>1640636</v>
      </c>
      <c r="L89" s="6">
        <v>0.46797767250560002</v>
      </c>
      <c r="M89" s="6">
        <v>0.110386429481168</v>
      </c>
      <c r="N89" s="6">
        <v>4.1148231605760803E-2</v>
      </c>
      <c r="O89" s="6">
        <v>5.8419292082464401E-2</v>
      </c>
      <c r="P89" s="8">
        <v>0.293943932035438</v>
      </c>
      <c r="Q89" s="84">
        <v>2</v>
      </c>
      <c r="R89" s="84">
        <v>1</v>
      </c>
      <c r="S89" s="84">
        <v>1</v>
      </c>
      <c r="T89" s="84">
        <v>1</v>
      </c>
      <c r="U89" s="84">
        <v>1</v>
      </c>
      <c r="V89" s="84">
        <v>2</v>
      </c>
      <c r="W89" s="84">
        <v>2</v>
      </c>
      <c r="X89" s="84">
        <v>1</v>
      </c>
      <c r="Y89" s="84">
        <v>1</v>
      </c>
      <c r="Z89" s="84">
        <v>2</v>
      </c>
      <c r="AA89" s="84">
        <v>1</v>
      </c>
      <c r="AB89" s="84">
        <v>2</v>
      </c>
      <c r="AC89" s="84">
        <v>2</v>
      </c>
      <c r="AD89" s="84">
        <v>1</v>
      </c>
      <c r="AE89" s="84">
        <v>2</v>
      </c>
      <c r="AF89" s="84">
        <v>2</v>
      </c>
      <c r="AG89" s="84">
        <v>1</v>
      </c>
      <c r="AH89" s="84">
        <v>1</v>
      </c>
      <c r="AI89" s="84">
        <v>1</v>
      </c>
    </row>
    <row r="90" spans="1:35" ht="36" customHeight="1" x14ac:dyDescent="0.25">
      <c r="A90" s="155" t="s">
        <v>300</v>
      </c>
      <c r="B90" s="155">
        <v>1404</v>
      </c>
      <c r="C90" s="155" t="s">
        <v>216</v>
      </c>
      <c r="D90" s="159">
        <v>41410</v>
      </c>
      <c r="E90" s="160" t="s">
        <v>563</v>
      </c>
      <c r="F90" s="160" t="s">
        <v>474</v>
      </c>
      <c r="G90" s="161" t="s">
        <v>584</v>
      </c>
      <c r="H90" s="5">
        <v>110991</v>
      </c>
      <c r="I90" s="6">
        <v>0.30593471542737699</v>
      </c>
      <c r="J90" s="7">
        <v>69327</v>
      </c>
      <c r="K90" s="7">
        <v>584132</v>
      </c>
      <c r="L90" s="6">
        <v>0.27700628637242303</v>
      </c>
      <c r="M90" s="6">
        <v>0.13870323062753101</v>
      </c>
      <c r="N90" s="6">
        <v>5.2232243713396902E-2</v>
      </c>
      <c r="O90" s="6">
        <v>3.17015101749996E-2</v>
      </c>
      <c r="P90" s="8">
        <v>0.232146394869923</v>
      </c>
      <c r="Q90" s="84">
        <v>3</v>
      </c>
      <c r="R90" s="84">
        <v>2</v>
      </c>
      <c r="S90" s="84">
        <v>2</v>
      </c>
      <c r="T90" s="84">
        <v>0</v>
      </c>
      <c r="U90" s="84">
        <v>1</v>
      </c>
      <c r="V90" s="84">
        <v>2</v>
      </c>
      <c r="W90" s="84">
        <v>3</v>
      </c>
      <c r="X90" s="84">
        <v>2</v>
      </c>
      <c r="Y90" s="84">
        <v>1</v>
      </c>
      <c r="Z90" s="84">
        <v>0</v>
      </c>
      <c r="AA90" s="84">
        <v>0</v>
      </c>
      <c r="AB90" s="84">
        <v>1</v>
      </c>
      <c r="AC90" s="84">
        <v>1</v>
      </c>
      <c r="AD90" s="84">
        <v>1</v>
      </c>
      <c r="AE90" s="84">
        <v>1</v>
      </c>
      <c r="AF90" s="84">
        <v>1</v>
      </c>
      <c r="AG90" s="84">
        <v>2</v>
      </c>
      <c r="AH90" s="84">
        <v>0</v>
      </c>
      <c r="AI90" s="84">
        <v>1</v>
      </c>
    </row>
    <row r="91" spans="1:35" ht="36" customHeight="1" x14ac:dyDescent="0.25">
      <c r="A91" s="155" t="s">
        <v>299</v>
      </c>
      <c r="B91" s="155">
        <v>1302</v>
      </c>
      <c r="C91" s="155" t="s">
        <v>211</v>
      </c>
      <c r="D91" s="159">
        <v>41415</v>
      </c>
      <c r="E91" s="160" t="s">
        <v>560</v>
      </c>
      <c r="F91" s="160" t="s">
        <v>469</v>
      </c>
      <c r="G91" s="161" t="s">
        <v>584</v>
      </c>
      <c r="H91" s="5">
        <v>139245</v>
      </c>
      <c r="I91" s="6">
        <v>0.21539732126826799</v>
      </c>
      <c r="J91" s="7">
        <v>50283</v>
      </c>
      <c r="K91" s="7">
        <v>550548</v>
      </c>
      <c r="L91" s="6">
        <v>0.38035149954531899</v>
      </c>
      <c r="M91" s="6">
        <v>0.41176150964624098</v>
      </c>
      <c r="N91" s="6">
        <v>3.5577304166613401E-2</v>
      </c>
      <c r="O91" s="6">
        <v>3.7031591597734503E-2</v>
      </c>
      <c r="P91" s="8">
        <v>0.24062543948246501</v>
      </c>
      <c r="Q91" s="84">
        <v>3</v>
      </c>
      <c r="R91" s="84">
        <v>3</v>
      </c>
      <c r="S91" s="84">
        <v>2</v>
      </c>
      <c r="T91" s="84">
        <v>1</v>
      </c>
      <c r="U91" s="84">
        <v>1</v>
      </c>
      <c r="V91" s="84">
        <v>2</v>
      </c>
      <c r="W91" s="84">
        <v>2</v>
      </c>
      <c r="X91" s="84">
        <v>2</v>
      </c>
      <c r="Y91" s="84">
        <v>1</v>
      </c>
      <c r="Z91" s="84">
        <v>2</v>
      </c>
      <c r="AA91" s="84">
        <v>0</v>
      </c>
      <c r="AB91" s="84">
        <v>1</v>
      </c>
      <c r="AC91" s="84">
        <v>2</v>
      </c>
      <c r="AD91" s="84">
        <v>1</v>
      </c>
      <c r="AE91" s="84">
        <v>1</v>
      </c>
      <c r="AF91" s="84">
        <v>2</v>
      </c>
      <c r="AG91" s="84">
        <v>1</v>
      </c>
      <c r="AH91" s="84">
        <v>2</v>
      </c>
      <c r="AI91" s="84">
        <v>0</v>
      </c>
    </row>
    <row r="92" spans="1:35" ht="36" customHeight="1" x14ac:dyDescent="0.25">
      <c r="A92" s="155" t="s">
        <v>295</v>
      </c>
      <c r="B92" s="155">
        <v>922</v>
      </c>
      <c r="C92" s="155" t="s">
        <v>137</v>
      </c>
      <c r="D92" s="159">
        <v>41417</v>
      </c>
      <c r="E92" s="160" t="s">
        <v>545</v>
      </c>
      <c r="F92" s="160" t="s">
        <v>413</v>
      </c>
      <c r="G92" s="161" t="s">
        <v>585</v>
      </c>
      <c r="H92" s="5">
        <v>155715</v>
      </c>
      <c r="I92" s="6">
        <v>0.31285361076325302</v>
      </c>
      <c r="J92" s="7">
        <v>66776</v>
      </c>
      <c r="K92" s="7">
        <v>806438</v>
      </c>
      <c r="L92" s="6">
        <v>0.35434023112066598</v>
      </c>
      <c r="M92" s="6">
        <v>0.82686437989845496</v>
      </c>
      <c r="N92" s="6">
        <v>2.0281781267658599E-2</v>
      </c>
      <c r="O92" s="6">
        <v>4.6094575490029301E-2</v>
      </c>
      <c r="P92" s="8">
        <v>0.25973073860974699</v>
      </c>
      <c r="Q92" s="84">
        <v>1</v>
      </c>
      <c r="R92" s="84">
        <v>2</v>
      </c>
      <c r="S92" s="84">
        <v>2</v>
      </c>
      <c r="T92" s="84">
        <v>4</v>
      </c>
      <c r="U92" s="84">
        <v>4</v>
      </c>
      <c r="V92" s="84">
        <v>1</v>
      </c>
      <c r="W92" s="84">
        <v>2</v>
      </c>
      <c r="X92" s="84">
        <v>1</v>
      </c>
      <c r="Y92" s="84">
        <v>1</v>
      </c>
      <c r="Z92" s="84">
        <v>2</v>
      </c>
      <c r="AA92" s="84">
        <v>2</v>
      </c>
      <c r="AB92" s="84">
        <v>3</v>
      </c>
      <c r="AC92" s="84">
        <v>0</v>
      </c>
      <c r="AD92" s="84">
        <v>0</v>
      </c>
      <c r="AE92" s="84">
        <v>3</v>
      </c>
      <c r="AF92" s="84">
        <v>0</v>
      </c>
      <c r="AG92" s="84">
        <v>1</v>
      </c>
      <c r="AH92" s="84">
        <v>0</v>
      </c>
      <c r="AI92" s="84">
        <v>3</v>
      </c>
    </row>
    <row r="93" spans="1:35" ht="36" customHeight="1" x14ac:dyDescent="0.25">
      <c r="A93" s="155" t="s">
        <v>297</v>
      </c>
      <c r="B93" s="155">
        <v>1112</v>
      </c>
      <c r="C93" s="155" t="s">
        <v>178</v>
      </c>
      <c r="D93" s="159">
        <v>41438</v>
      </c>
      <c r="E93" s="160" t="s">
        <v>554</v>
      </c>
      <c r="F93" s="160" t="s">
        <v>447</v>
      </c>
      <c r="G93" s="161" t="s">
        <v>585</v>
      </c>
      <c r="H93" s="5">
        <v>34549</v>
      </c>
      <c r="I93" s="6">
        <v>0.37173290109699297</v>
      </c>
      <c r="J93" s="7">
        <v>71445</v>
      </c>
      <c r="K93" s="7">
        <v>2141335</v>
      </c>
      <c r="L93" s="6">
        <v>0.41160169013120801</v>
      </c>
      <c r="M93" s="6">
        <v>0.244647834707894</v>
      </c>
      <c r="N93" s="6">
        <v>3.9656311962987398E-2</v>
      </c>
      <c r="O93" s="6">
        <v>1.76010804908187E-2</v>
      </c>
      <c r="P93" s="8">
        <v>0.31444869105434098</v>
      </c>
      <c r="Q93" s="84">
        <v>2</v>
      </c>
      <c r="R93" s="84">
        <v>2</v>
      </c>
      <c r="S93" s="84">
        <v>3</v>
      </c>
      <c r="T93" s="84">
        <v>2</v>
      </c>
      <c r="U93" s="84">
        <v>2</v>
      </c>
      <c r="V93" s="84">
        <v>2</v>
      </c>
      <c r="W93" s="84">
        <v>2</v>
      </c>
      <c r="X93" s="84">
        <v>0</v>
      </c>
      <c r="Y93" s="84">
        <v>1</v>
      </c>
      <c r="Z93" s="84">
        <v>0</v>
      </c>
      <c r="AA93" s="84">
        <v>3</v>
      </c>
      <c r="AB93" s="84">
        <v>4</v>
      </c>
      <c r="AC93" s="84">
        <v>3</v>
      </c>
      <c r="AD93" s="84">
        <v>4</v>
      </c>
      <c r="AE93" s="84">
        <v>2</v>
      </c>
      <c r="AF93" s="84">
        <v>3</v>
      </c>
      <c r="AG93" s="84">
        <v>4</v>
      </c>
      <c r="AH93" s="84">
        <v>3</v>
      </c>
      <c r="AI93" s="84">
        <v>4</v>
      </c>
    </row>
    <row r="94" spans="1:35" ht="36" customHeight="1" x14ac:dyDescent="0.25">
      <c r="A94" s="155" t="s">
        <v>300</v>
      </c>
      <c r="B94" s="155">
        <v>1405</v>
      </c>
      <c r="C94" s="155" t="s">
        <v>217</v>
      </c>
      <c r="D94" s="159">
        <v>41445</v>
      </c>
      <c r="E94" s="160" t="s">
        <v>561</v>
      </c>
      <c r="F94" s="160" t="s">
        <v>475</v>
      </c>
      <c r="G94" s="161" t="s">
        <v>584</v>
      </c>
      <c r="H94" s="5">
        <v>135481</v>
      </c>
      <c r="I94" s="6">
        <v>0.46152597043127802</v>
      </c>
      <c r="J94" s="7">
        <v>92272</v>
      </c>
      <c r="K94" s="7">
        <v>1297898</v>
      </c>
      <c r="L94" s="6">
        <v>0.43366853880336897</v>
      </c>
      <c r="M94" s="6">
        <v>0.10840390584546999</v>
      </c>
      <c r="N94" s="6">
        <v>0.20581519386337499</v>
      </c>
      <c r="O94" s="6">
        <v>5.3503065766130301E-2</v>
      </c>
      <c r="P94" s="8">
        <v>0.24591207603439499</v>
      </c>
      <c r="Q94" s="84">
        <v>3</v>
      </c>
      <c r="R94" s="84">
        <v>2</v>
      </c>
      <c r="S94" s="84">
        <v>3</v>
      </c>
      <c r="T94" s="84">
        <v>2</v>
      </c>
      <c r="U94" s="84">
        <v>3</v>
      </c>
      <c r="V94" s="84">
        <v>2</v>
      </c>
      <c r="W94" s="84">
        <v>3</v>
      </c>
      <c r="X94" s="84">
        <v>3</v>
      </c>
      <c r="Y94" s="84">
        <v>3</v>
      </c>
      <c r="Z94" s="84">
        <v>2</v>
      </c>
      <c r="AA94" s="84">
        <v>1</v>
      </c>
      <c r="AB94" s="84">
        <v>1</v>
      </c>
      <c r="AC94" s="84">
        <v>2</v>
      </c>
      <c r="AD94" s="84">
        <v>1</v>
      </c>
      <c r="AE94" s="84">
        <v>2</v>
      </c>
      <c r="AF94" s="84">
        <v>0</v>
      </c>
      <c r="AG94" s="84">
        <v>1</v>
      </c>
      <c r="AH94" s="84">
        <v>1</v>
      </c>
      <c r="AI94" s="84">
        <v>2</v>
      </c>
    </row>
    <row r="95" spans="1:35" ht="36" customHeight="1" x14ac:dyDescent="0.25">
      <c r="A95" s="155" t="s">
        <v>300</v>
      </c>
      <c r="B95" s="155">
        <v>1406</v>
      </c>
      <c r="C95" s="155" t="s">
        <v>218</v>
      </c>
      <c r="D95" s="159">
        <v>41473</v>
      </c>
      <c r="E95" s="160" t="s">
        <v>561</v>
      </c>
      <c r="F95" s="160" t="s">
        <v>476</v>
      </c>
      <c r="G95" s="161" t="s">
        <v>584</v>
      </c>
      <c r="H95" s="5">
        <v>43832</v>
      </c>
      <c r="I95" s="6">
        <v>0.33023818215002698</v>
      </c>
      <c r="J95" s="7">
        <v>72592</v>
      </c>
      <c r="K95" s="7">
        <v>836879</v>
      </c>
      <c r="L95" s="6">
        <v>0.461477405728277</v>
      </c>
      <c r="M95" s="6">
        <v>8.2932232798423697E-2</v>
      </c>
      <c r="N95" s="6">
        <v>7.2315730656497795E-2</v>
      </c>
      <c r="O95" s="6">
        <v>2.42522865181206E-2</v>
      </c>
      <c r="P95" s="8">
        <v>0.25552146337159698</v>
      </c>
      <c r="Q95" s="84">
        <v>2</v>
      </c>
      <c r="R95" s="84">
        <v>1</v>
      </c>
      <c r="S95" s="84">
        <v>1</v>
      </c>
      <c r="T95" s="84">
        <v>0</v>
      </c>
      <c r="U95" s="84">
        <v>0</v>
      </c>
      <c r="V95" s="84">
        <v>2</v>
      </c>
      <c r="W95" s="84">
        <v>3</v>
      </c>
      <c r="X95" s="84">
        <v>1</v>
      </c>
      <c r="Y95" s="84">
        <v>0</v>
      </c>
      <c r="Z95" s="84">
        <v>1</v>
      </c>
      <c r="AA95" s="84">
        <v>0</v>
      </c>
      <c r="AB95" s="84">
        <v>0</v>
      </c>
      <c r="AC95" s="84">
        <v>1</v>
      </c>
      <c r="AD95" s="84">
        <v>0</v>
      </c>
      <c r="AE95" s="84">
        <v>1</v>
      </c>
      <c r="AF95" s="84">
        <v>0</v>
      </c>
      <c r="AG95" s="84">
        <v>0</v>
      </c>
      <c r="AH95" s="84">
        <v>0</v>
      </c>
      <c r="AI95" s="84">
        <v>0</v>
      </c>
    </row>
    <row r="96" spans="1:35" ht="36" customHeight="1" x14ac:dyDescent="0.25">
      <c r="A96" s="155" t="s">
        <v>291</v>
      </c>
      <c r="B96" s="155">
        <v>505</v>
      </c>
      <c r="C96" s="155" t="s">
        <v>60</v>
      </c>
      <c r="D96" s="159">
        <v>41585</v>
      </c>
      <c r="E96" s="160" t="s">
        <v>529</v>
      </c>
      <c r="F96" s="160" t="s">
        <v>343</v>
      </c>
      <c r="G96" s="161" t="s">
        <v>585</v>
      </c>
      <c r="H96" s="5">
        <v>123796</v>
      </c>
      <c r="I96" s="6">
        <v>0.40216969853630202</v>
      </c>
      <c r="J96" s="7">
        <v>80999</v>
      </c>
      <c r="K96" s="7">
        <v>1145351</v>
      </c>
      <c r="L96" s="6">
        <v>0.52916004565699104</v>
      </c>
      <c r="M96" s="6">
        <v>0.19311263080250499</v>
      </c>
      <c r="N96" s="6">
        <v>0.19438471251578399</v>
      </c>
      <c r="O96" s="6">
        <v>0.108348856689212</v>
      </c>
      <c r="P96" s="8">
        <v>0.242095590533462</v>
      </c>
      <c r="Q96" s="84">
        <v>4</v>
      </c>
      <c r="R96" s="84">
        <v>4</v>
      </c>
      <c r="S96" s="84">
        <v>2</v>
      </c>
      <c r="T96" s="84">
        <v>4</v>
      </c>
      <c r="U96" s="84">
        <v>3</v>
      </c>
      <c r="V96" s="84">
        <v>4</v>
      </c>
      <c r="W96" s="84">
        <v>3</v>
      </c>
      <c r="X96" s="84">
        <v>3</v>
      </c>
      <c r="Y96" s="84">
        <v>3</v>
      </c>
      <c r="Z96" s="84">
        <v>3</v>
      </c>
      <c r="AA96" s="84">
        <v>3</v>
      </c>
      <c r="AB96" s="84">
        <v>2</v>
      </c>
      <c r="AC96" s="84">
        <v>2</v>
      </c>
      <c r="AD96" s="84">
        <v>1</v>
      </c>
      <c r="AE96" s="84">
        <v>2</v>
      </c>
      <c r="AF96" s="84">
        <v>2</v>
      </c>
      <c r="AG96" s="84">
        <v>1</v>
      </c>
      <c r="AH96" s="84">
        <v>1</v>
      </c>
      <c r="AI96" s="84">
        <v>1</v>
      </c>
    </row>
    <row r="97" spans="1:35" ht="36" customHeight="1" x14ac:dyDescent="0.25">
      <c r="A97" s="155" t="s">
        <v>291</v>
      </c>
      <c r="B97" s="155">
        <v>506</v>
      </c>
      <c r="C97" s="155" t="s">
        <v>61</v>
      </c>
      <c r="D97" s="159">
        <v>41592</v>
      </c>
      <c r="E97" s="160" t="s">
        <v>529</v>
      </c>
      <c r="F97" s="160" t="s">
        <v>344</v>
      </c>
      <c r="G97" s="161" t="s">
        <v>585</v>
      </c>
      <c r="H97" s="5">
        <v>120430</v>
      </c>
      <c r="I97" s="6">
        <v>0.548094328655651</v>
      </c>
      <c r="J97" s="7">
        <v>108099</v>
      </c>
      <c r="K97" s="7">
        <v>1414564</v>
      </c>
      <c r="L97" s="6">
        <v>0.64776246082674205</v>
      </c>
      <c r="M97" s="6">
        <v>0.113462473531488</v>
      </c>
      <c r="N97" s="6">
        <v>0.26486079523174699</v>
      </c>
      <c r="O97" s="6">
        <v>8.6832405301544999E-2</v>
      </c>
      <c r="P97" s="8">
        <v>0.23650850913653801</v>
      </c>
      <c r="Q97" s="84">
        <v>4</v>
      </c>
      <c r="R97" s="84">
        <v>4</v>
      </c>
      <c r="S97" s="84">
        <v>4</v>
      </c>
      <c r="T97" s="84">
        <v>4</v>
      </c>
      <c r="U97" s="84">
        <v>4</v>
      </c>
      <c r="V97" s="84">
        <v>4</v>
      </c>
      <c r="W97" s="84">
        <v>4</v>
      </c>
      <c r="X97" s="84">
        <v>4</v>
      </c>
      <c r="Y97" s="84">
        <v>3</v>
      </c>
      <c r="Z97" s="84">
        <v>3</v>
      </c>
      <c r="AA97" s="84">
        <v>4</v>
      </c>
      <c r="AB97" s="84">
        <v>4</v>
      </c>
      <c r="AC97" s="84">
        <v>3</v>
      </c>
      <c r="AD97" s="84">
        <v>3</v>
      </c>
      <c r="AE97" s="84">
        <v>4</v>
      </c>
      <c r="AF97" s="84">
        <v>3</v>
      </c>
      <c r="AG97" s="84">
        <v>4</v>
      </c>
      <c r="AH97" s="84">
        <v>3</v>
      </c>
      <c r="AI97" s="84">
        <v>3</v>
      </c>
    </row>
    <row r="98" spans="1:35" ht="36" customHeight="1" x14ac:dyDescent="0.25">
      <c r="A98" s="155" t="s">
        <v>300</v>
      </c>
      <c r="B98" s="155">
        <v>1408</v>
      </c>
      <c r="C98" s="155" t="s">
        <v>220</v>
      </c>
      <c r="D98" s="159">
        <v>41599</v>
      </c>
      <c r="E98" s="160" t="s">
        <v>562</v>
      </c>
      <c r="F98" s="160" t="s">
        <v>478</v>
      </c>
      <c r="G98" s="161" t="s">
        <v>585</v>
      </c>
      <c r="H98" s="5">
        <v>50088</v>
      </c>
      <c r="I98" s="6">
        <v>0.25756668263855598</v>
      </c>
      <c r="J98" s="7">
        <v>59752</v>
      </c>
      <c r="K98" s="7">
        <v>631785</v>
      </c>
      <c r="L98" s="6">
        <v>0.282673062798384</v>
      </c>
      <c r="M98" s="6">
        <v>6.2120982110755098E-2</v>
      </c>
      <c r="N98" s="6">
        <v>2.07895556851685E-2</v>
      </c>
      <c r="O98" s="6">
        <v>1.18888773480133E-2</v>
      </c>
      <c r="P98" s="8">
        <v>0.24698183910066401</v>
      </c>
      <c r="Q98" s="84">
        <v>2</v>
      </c>
      <c r="R98" s="84">
        <v>0</v>
      </c>
      <c r="S98" s="84">
        <v>1</v>
      </c>
      <c r="T98" s="84">
        <v>0</v>
      </c>
      <c r="U98" s="84">
        <v>0</v>
      </c>
      <c r="V98" s="84">
        <v>2</v>
      </c>
      <c r="W98" s="84">
        <v>2</v>
      </c>
      <c r="X98" s="84">
        <v>0</v>
      </c>
      <c r="Y98" s="84">
        <v>0</v>
      </c>
      <c r="Z98" s="84">
        <v>1</v>
      </c>
      <c r="AA98" s="84">
        <v>1</v>
      </c>
      <c r="AB98" s="84">
        <v>1</v>
      </c>
      <c r="AC98" s="84">
        <v>1</v>
      </c>
      <c r="AD98" s="84">
        <v>1</v>
      </c>
      <c r="AE98" s="84">
        <v>1</v>
      </c>
      <c r="AF98" s="84">
        <v>0</v>
      </c>
      <c r="AG98" s="84">
        <v>0</v>
      </c>
      <c r="AH98" s="84">
        <v>0</v>
      </c>
      <c r="AI98" s="84">
        <v>1</v>
      </c>
    </row>
    <row r="99" spans="1:35" ht="36" customHeight="1" x14ac:dyDescent="0.25">
      <c r="A99" s="155" t="s">
        <v>291</v>
      </c>
      <c r="B99" s="155">
        <v>503</v>
      </c>
      <c r="C99" s="155" t="s">
        <v>58</v>
      </c>
      <c r="D99" s="159">
        <v>41612</v>
      </c>
      <c r="E99" s="160" t="s">
        <v>530</v>
      </c>
      <c r="F99" s="160" t="s">
        <v>341</v>
      </c>
      <c r="G99" s="161" t="s">
        <v>584</v>
      </c>
      <c r="H99" s="5">
        <v>133629</v>
      </c>
      <c r="I99" s="6">
        <v>0.22784724872595</v>
      </c>
      <c r="J99" s="7">
        <v>53255</v>
      </c>
      <c r="K99" s="7">
        <v>701789</v>
      </c>
      <c r="L99" s="6">
        <v>0.37589457349978</v>
      </c>
      <c r="M99" s="6">
        <v>0.56050387147476799</v>
      </c>
      <c r="N99" s="6">
        <v>3.07495587420606E-2</v>
      </c>
      <c r="O99" s="6">
        <v>5.1575645138432602E-2</v>
      </c>
      <c r="P99" s="8">
        <v>0.22832038547262901</v>
      </c>
      <c r="Q99" s="84">
        <v>3</v>
      </c>
      <c r="R99" s="84">
        <v>4</v>
      </c>
      <c r="S99" s="84">
        <v>2</v>
      </c>
      <c r="T99" s="84">
        <v>3</v>
      </c>
      <c r="U99" s="84">
        <v>2</v>
      </c>
      <c r="V99" s="84">
        <v>2</v>
      </c>
      <c r="W99" s="84">
        <v>2</v>
      </c>
      <c r="X99" s="84">
        <v>2</v>
      </c>
      <c r="Y99" s="84">
        <v>2</v>
      </c>
      <c r="Z99" s="84">
        <v>1</v>
      </c>
      <c r="AA99" s="84">
        <v>1</v>
      </c>
      <c r="AB99" s="84">
        <v>2</v>
      </c>
      <c r="AC99" s="84">
        <v>1</v>
      </c>
      <c r="AD99" s="84">
        <v>1</v>
      </c>
      <c r="AE99" s="84">
        <v>1</v>
      </c>
      <c r="AF99" s="84">
        <v>0</v>
      </c>
      <c r="AG99" s="84">
        <v>1</v>
      </c>
      <c r="AH99" s="84">
        <v>0</v>
      </c>
      <c r="AI99" s="84">
        <v>2</v>
      </c>
    </row>
    <row r="100" spans="1:35" ht="36" customHeight="1" x14ac:dyDescent="0.25">
      <c r="A100" s="155" t="s">
        <v>300</v>
      </c>
      <c r="B100" s="155">
        <v>1407</v>
      </c>
      <c r="C100" s="155" t="s">
        <v>219</v>
      </c>
      <c r="D100" s="159">
        <v>41697</v>
      </c>
      <c r="E100" s="160" t="s">
        <v>561</v>
      </c>
      <c r="F100" s="160" t="s">
        <v>477</v>
      </c>
      <c r="G100" s="161" t="s">
        <v>584</v>
      </c>
      <c r="H100" s="5">
        <v>79548</v>
      </c>
      <c r="I100" s="6">
        <v>0.37703022074722198</v>
      </c>
      <c r="J100" s="7">
        <v>74104</v>
      </c>
      <c r="K100" s="7">
        <v>1031073</v>
      </c>
      <c r="L100" s="6">
        <v>0.27501727371434198</v>
      </c>
      <c r="M100" s="6">
        <v>0.16158803838834401</v>
      </c>
      <c r="N100" s="6">
        <v>0.16357285927756199</v>
      </c>
      <c r="O100" s="6">
        <v>8.8086078548037697E-2</v>
      </c>
      <c r="P100" s="8">
        <v>0.24989667122373099</v>
      </c>
      <c r="Q100" s="84">
        <v>1</v>
      </c>
      <c r="R100" s="84">
        <v>2</v>
      </c>
      <c r="S100" s="84">
        <v>2</v>
      </c>
      <c r="T100" s="84">
        <v>1</v>
      </c>
      <c r="U100" s="84">
        <v>2</v>
      </c>
      <c r="V100" s="84">
        <v>2</v>
      </c>
      <c r="W100" s="84">
        <v>2</v>
      </c>
      <c r="X100" s="84">
        <v>3</v>
      </c>
      <c r="Y100" s="84">
        <v>3</v>
      </c>
      <c r="Z100" s="84">
        <v>0</v>
      </c>
      <c r="AA100" s="84">
        <v>0</v>
      </c>
      <c r="AB100" s="84">
        <v>0</v>
      </c>
      <c r="AC100" s="84">
        <v>0</v>
      </c>
      <c r="AD100" s="84">
        <v>0</v>
      </c>
      <c r="AE100" s="84">
        <v>1</v>
      </c>
      <c r="AF100" s="84">
        <v>0</v>
      </c>
      <c r="AG100" s="84">
        <v>0</v>
      </c>
      <c r="AH100" s="84">
        <v>0</v>
      </c>
      <c r="AI100" s="84">
        <v>0</v>
      </c>
    </row>
    <row r="101" spans="1:35" ht="36" customHeight="1" x14ac:dyDescent="0.25">
      <c r="A101" s="155" t="s">
        <v>302</v>
      </c>
      <c r="B101" s="155">
        <v>1602</v>
      </c>
      <c r="C101" s="155" t="s">
        <v>231</v>
      </c>
      <c r="D101" s="159">
        <v>41711</v>
      </c>
      <c r="E101" s="160" t="s">
        <v>567</v>
      </c>
      <c r="F101" s="160" t="s">
        <v>486</v>
      </c>
      <c r="G101" s="161" t="s">
        <v>584</v>
      </c>
      <c r="H101" s="5">
        <v>140763</v>
      </c>
      <c r="I101" s="6">
        <v>0.30971206922273598</v>
      </c>
      <c r="J101" s="7">
        <v>64444</v>
      </c>
      <c r="K101" s="7">
        <v>644223</v>
      </c>
      <c r="L101" s="6">
        <v>0.50125012998639096</v>
      </c>
      <c r="M101" s="6">
        <v>7.0161699531590502E-2</v>
      </c>
      <c r="N101" s="6">
        <v>0.12640603506178499</v>
      </c>
      <c r="O101" s="6">
        <v>0.168433834593082</v>
      </c>
      <c r="P101" s="8">
        <v>0.20591245992708401</v>
      </c>
      <c r="Q101" s="84">
        <v>2</v>
      </c>
      <c r="R101" s="84">
        <v>2</v>
      </c>
      <c r="S101" s="84">
        <v>1</v>
      </c>
      <c r="T101" s="84">
        <v>2</v>
      </c>
      <c r="U101" s="84">
        <v>1</v>
      </c>
      <c r="V101" s="84">
        <v>4</v>
      </c>
      <c r="W101" s="84">
        <v>3</v>
      </c>
      <c r="X101" s="84">
        <v>4</v>
      </c>
      <c r="Y101" s="84">
        <v>2</v>
      </c>
      <c r="Z101" s="84">
        <v>4</v>
      </c>
      <c r="AA101" s="84">
        <v>2</v>
      </c>
      <c r="AB101" s="84">
        <v>1</v>
      </c>
      <c r="AC101" s="84">
        <v>3</v>
      </c>
      <c r="AD101" s="84">
        <v>1</v>
      </c>
      <c r="AE101" s="84">
        <v>4</v>
      </c>
      <c r="AF101" s="84">
        <v>4</v>
      </c>
      <c r="AG101" s="84">
        <v>1</v>
      </c>
      <c r="AH101" s="84">
        <v>4</v>
      </c>
      <c r="AI101" s="84">
        <v>1</v>
      </c>
    </row>
    <row r="102" spans="1:35" ht="36" customHeight="1" x14ac:dyDescent="0.25">
      <c r="A102" s="155" t="s">
        <v>300</v>
      </c>
      <c r="B102" s="155">
        <v>1410</v>
      </c>
      <c r="C102" s="155" t="s">
        <v>222</v>
      </c>
      <c r="D102" s="159">
        <v>41718</v>
      </c>
      <c r="E102" s="160" t="s">
        <v>561</v>
      </c>
      <c r="F102" s="160" t="s">
        <v>480</v>
      </c>
      <c r="G102" s="161" t="s">
        <v>585</v>
      </c>
      <c r="H102" s="5">
        <v>64808</v>
      </c>
      <c r="I102" s="6">
        <v>0.42701518331070198</v>
      </c>
      <c r="J102" s="7">
        <v>86894</v>
      </c>
      <c r="K102" s="7">
        <v>1012832</v>
      </c>
      <c r="L102" s="6">
        <v>0.28043074637950199</v>
      </c>
      <c r="M102" s="6">
        <v>0.107281336856192</v>
      </c>
      <c r="N102" s="6">
        <v>5.6708872342128999E-2</v>
      </c>
      <c r="O102" s="6">
        <v>3.7121550057761202E-2</v>
      </c>
      <c r="P102" s="8">
        <v>0.24676594722574899</v>
      </c>
      <c r="Q102" s="84">
        <v>2</v>
      </c>
      <c r="R102" s="84">
        <v>2</v>
      </c>
      <c r="S102" s="84">
        <v>2</v>
      </c>
      <c r="T102" s="84">
        <v>0</v>
      </c>
      <c r="U102" s="84">
        <v>1</v>
      </c>
      <c r="V102" s="84">
        <v>2</v>
      </c>
      <c r="W102" s="84">
        <v>2</v>
      </c>
      <c r="X102" s="84">
        <v>2</v>
      </c>
      <c r="Y102" s="84">
        <v>2</v>
      </c>
      <c r="Z102" s="84">
        <v>1</v>
      </c>
      <c r="AA102" s="84">
        <v>0</v>
      </c>
      <c r="AB102" s="84">
        <v>0</v>
      </c>
      <c r="AC102" s="84">
        <v>0</v>
      </c>
      <c r="AD102" s="84">
        <v>0</v>
      </c>
      <c r="AE102" s="84">
        <v>1</v>
      </c>
      <c r="AF102" s="84">
        <v>0</v>
      </c>
      <c r="AG102" s="84">
        <v>0</v>
      </c>
      <c r="AH102" s="84">
        <v>0</v>
      </c>
      <c r="AI102" s="84">
        <v>0</v>
      </c>
    </row>
    <row r="103" spans="1:35" ht="36" customHeight="1" x14ac:dyDescent="0.25">
      <c r="A103" s="155" t="s">
        <v>295</v>
      </c>
      <c r="B103" s="155">
        <v>923</v>
      </c>
      <c r="C103" s="155" t="s">
        <v>138</v>
      </c>
      <c r="D103" s="159">
        <v>41760</v>
      </c>
      <c r="E103" s="160" t="s">
        <v>549</v>
      </c>
      <c r="F103" s="160" t="s">
        <v>414</v>
      </c>
      <c r="G103" s="161" t="s">
        <v>584</v>
      </c>
      <c r="H103" s="5">
        <v>43498</v>
      </c>
      <c r="I103" s="6">
        <v>0.132098027495517</v>
      </c>
      <c r="J103" s="7">
        <v>39984</v>
      </c>
      <c r="K103" s="7">
        <v>311524</v>
      </c>
      <c r="L103" s="6">
        <v>0.21509664292980701</v>
      </c>
      <c r="M103" s="6">
        <v>8.6949733100426502E-2</v>
      </c>
      <c r="N103" s="6">
        <v>2.7343788119797399E-2</v>
      </c>
      <c r="O103" s="6">
        <v>0.28824178076176199</v>
      </c>
      <c r="P103" s="8">
        <v>0.25203712197359301</v>
      </c>
      <c r="Q103" s="84">
        <v>1</v>
      </c>
      <c r="R103" s="84">
        <v>1</v>
      </c>
      <c r="S103" s="84">
        <v>1</v>
      </c>
      <c r="T103" s="84">
        <v>1</v>
      </c>
      <c r="U103" s="84">
        <v>1</v>
      </c>
      <c r="V103" s="84">
        <v>3</v>
      </c>
      <c r="W103" s="84">
        <v>3</v>
      </c>
      <c r="X103" s="84">
        <v>2</v>
      </c>
      <c r="Y103" s="84">
        <v>1</v>
      </c>
      <c r="Z103" s="84">
        <v>2</v>
      </c>
      <c r="AA103" s="84">
        <v>1</v>
      </c>
      <c r="AB103" s="84">
        <v>2</v>
      </c>
      <c r="AC103" s="84">
        <v>2</v>
      </c>
      <c r="AD103" s="84">
        <v>1</v>
      </c>
      <c r="AE103" s="84">
        <v>1</v>
      </c>
      <c r="AF103" s="84">
        <v>2</v>
      </c>
      <c r="AG103" s="84">
        <v>1</v>
      </c>
      <c r="AH103" s="84">
        <v>2</v>
      </c>
      <c r="AI103" s="84">
        <v>1</v>
      </c>
    </row>
    <row r="104" spans="1:35" ht="36" customHeight="1" x14ac:dyDescent="0.25">
      <c r="A104" s="155" t="s">
        <v>291</v>
      </c>
      <c r="B104" s="155">
        <v>507</v>
      </c>
      <c r="C104" s="155" t="s">
        <v>62</v>
      </c>
      <c r="D104" s="159">
        <v>41781</v>
      </c>
      <c r="E104" s="160" t="s">
        <v>529</v>
      </c>
      <c r="F104" s="160" t="s">
        <v>665</v>
      </c>
      <c r="G104" s="161" t="s">
        <v>585</v>
      </c>
      <c r="H104" s="5">
        <v>87469</v>
      </c>
      <c r="I104" s="6">
        <v>0.42409310727229099</v>
      </c>
      <c r="J104" s="7">
        <v>85349</v>
      </c>
      <c r="K104" s="7">
        <v>1118838</v>
      </c>
      <c r="L104" s="6">
        <v>0.501503802979269</v>
      </c>
      <c r="M104" s="6">
        <v>0.22115743301475399</v>
      </c>
      <c r="N104" s="6">
        <v>0.20297740788858701</v>
      </c>
      <c r="O104" s="6">
        <v>0.112497480951707</v>
      </c>
      <c r="P104" s="8">
        <v>0.22764478632038901</v>
      </c>
      <c r="Q104" s="84">
        <v>3</v>
      </c>
      <c r="R104" s="84">
        <v>3</v>
      </c>
      <c r="S104" s="84">
        <v>2</v>
      </c>
      <c r="T104" s="84">
        <v>3</v>
      </c>
      <c r="U104" s="84">
        <v>2</v>
      </c>
      <c r="V104" s="84">
        <v>3</v>
      </c>
      <c r="W104" s="84">
        <v>2</v>
      </c>
      <c r="X104" s="84">
        <v>3</v>
      </c>
      <c r="Y104" s="84">
        <v>2</v>
      </c>
      <c r="Z104" s="84">
        <v>2</v>
      </c>
      <c r="AA104" s="84">
        <v>3</v>
      </c>
      <c r="AB104" s="84">
        <v>2</v>
      </c>
      <c r="AC104" s="84">
        <v>1</v>
      </c>
      <c r="AD104" s="84">
        <v>0</v>
      </c>
      <c r="AE104" s="84">
        <v>1</v>
      </c>
      <c r="AF104" s="84">
        <v>1</v>
      </c>
      <c r="AG104" s="84">
        <v>1</v>
      </c>
      <c r="AH104" s="84">
        <v>0</v>
      </c>
      <c r="AI104" s="84">
        <v>1</v>
      </c>
    </row>
    <row r="105" spans="1:35" ht="36" customHeight="1" x14ac:dyDescent="0.25">
      <c r="A105" s="155" t="s">
        <v>302</v>
      </c>
      <c r="B105" s="155">
        <v>1603</v>
      </c>
      <c r="C105" s="155" t="s">
        <v>232</v>
      </c>
      <c r="D105" s="159">
        <v>41893</v>
      </c>
      <c r="E105" s="160" t="s">
        <v>567</v>
      </c>
      <c r="F105" s="160" t="s">
        <v>487</v>
      </c>
      <c r="G105" s="161" t="s">
        <v>585</v>
      </c>
      <c r="H105" s="5">
        <v>68674</v>
      </c>
      <c r="I105" s="6">
        <v>0.45994117133121698</v>
      </c>
      <c r="J105" s="7">
        <v>91151</v>
      </c>
      <c r="K105" s="7">
        <v>1352855</v>
      </c>
      <c r="L105" s="6">
        <v>0.45903761778033503</v>
      </c>
      <c r="M105" s="6">
        <v>7.2194890313461102E-2</v>
      </c>
      <c r="N105" s="6">
        <v>6.3062167668836697E-2</v>
      </c>
      <c r="O105" s="6">
        <v>0.120122358605686</v>
      </c>
      <c r="P105" s="8">
        <v>0.252502664170905</v>
      </c>
      <c r="Q105" s="84">
        <v>2</v>
      </c>
      <c r="R105" s="84">
        <v>2</v>
      </c>
      <c r="S105" s="84">
        <v>2</v>
      </c>
      <c r="T105" s="84">
        <v>2</v>
      </c>
      <c r="U105" s="84">
        <v>2</v>
      </c>
      <c r="V105" s="84">
        <v>3</v>
      </c>
      <c r="W105" s="84">
        <v>3</v>
      </c>
      <c r="X105" s="84">
        <v>4</v>
      </c>
      <c r="Y105" s="84">
        <v>2</v>
      </c>
      <c r="Z105" s="84">
        <v>4</v>
      </c>
      <c r="AA105" s="84">
        <v>2</v>
      </c>
      <c r="AB105" s="84">
        <v>2</v>
      </c>
      <c r="AC105" s="84">
        <v>3</v>
      </c>
      <c r="AD105" s="84">
        <v>2</v>
      </c>
      <c r="AE105" s="84">
        <v>3</v>
      </c>
      <c r="AF105" s="84">
        <v>3</v>
      </c>
      <c r="AG105" s="84">
        <v>2</v>
      </c>
      <c r="AH105" s="84">
        <v>3</v>
      </c>
      <c r="AI105" s="84">
        <v>2</v>
      </c>
    </row>
    <row r="106" spans="1:35" ht="36" customHeight="1" x14ac:dyDescent="0.25">
      <c r="A106" s="155" t="s">
        <v>291</v>
      </c>
      <c r="B106" s="155">
        <v>508</v>
      </c>
      <c r="C106" s="155" t="s">
        <v>63</v>
      </c>
      <c r="D106" s="159">
        <v>41900</v>
      </c>
      <c r="E106" s="160" t="s">
        <v>529</v>
      </c>
      <c r="F106" s="160" t="s">
        <v>345</v>
      </c>
      <c r="G106" s="161" t="s">
        <v>585</v>
      </c>
      <c r="H106" s="5">
        <v>119670</v>
      </c>
      <c r="I106" s="6">
        <v>0.28512576251357902</v>
      </c>
      <c r="J106" s="7">
        <v>64221</v>
      </c>
      <c r="K106" s="7">
        <v>695923</v>
      </c>
      <c r="L106" s="6">
        <v>0.30478651574493998</v>
      </c>
      <c r="M106" s="6">
        <v>0.31527275029205798</v>
      </c>
      <c r="N106" s="6">
        <v>8.8164035749020195E-2</v>
      </c>
      <c r="O106" s="6">
        <v>0.23182479987569601</v>
      </c>
      <c r="P106" s="8">
        <v>0.21327697433920101</v>
      </c>
      <c r="Q106" s="84">
        <v>4</v>
      </c>
      <c r="R106" s="84">
        <v>4</v>
      </c>
      <c r="S106" s="84">
        <v>3</v>
      </c>
      <c r="T106" s="84">
        <v>3</v>
      </c>
      <c r="U106" s="84">
        <v>2</v>
      </c>
      <c r="V106" s="84">
        <v>4</v>
      </c>
      <c r="W106" s="84">
        <v>3</v>
      </c>
      <c r="X106" s="84">
        <v>4</v>
      </c>
      <c r="Y106" s="84">
        <v>4</v>
      </c>
      <c r="Z106" s="84">
        <v>2</v>
      </c>
      <c r="AA106" s="84">
        <v>1</v>
      </c>
      <c r="AB106" s="84">
        <v>1</v>
      </c>
      <c r="AC106" s="84">
        <v>0</v>
      </c>
      <c r="AD106" s="84">
        <v>0</v>
      </c>
      <c r="AE106" s="84">
        <v>2</v>
      </c>
      <c r="AF106" s="84">
        <v>0</v>
      </c>
      <c r="AG106" s="84">
        <v>0</v>
      </c>
      <c r="AH106" s="84">
        <v>0</v>
      </c>
      <c r="AI106" s="84">
        <v>1</v>
      </c>
    </row>
    <row r="107" spans="1:35" ht="36" customHeight="1" x14ac:dyDescent="0.25">
      <c r="A107" s="155" t="s">
        <v>291</v>
      </c>
      <c r="B107" s="155">
        <v>504</v>
      </c>
      <c r="C107" s="155" t="s">
        <v>59</v>
      </c>
      <c r="D107" s="159">
        <v>41914</v>
      </c>
      <c r="E107" s="160" t="s">
        <v>530</v>
      </c>
      <c r="F107" s="160" t="s">
        <v>342</v>
      </c>
      <c r="G107" s="161" t="s">
        <v>585</v>
      </c>
      <c r="H107" s="5">
        <v>62754</v>
      </c>
      <c r="I107" s="6">
        <v>0.39347292602862</v>
      </c>
      <c r="J107" s="7">
        <v>78101</v>
      </c>
      <c r="K107" s="7">
        <v>1087999</v>
      </c>
      <c r="L107" s="6">
        <v>0.53511917925444497</v>
      </c>
      <c r="M107" s="6">
        <v>0.42973170169734498</v>
      </c>
      <c r="N107" s="6">
        <v>7.7186963979416795E-2</v>
      </c>
      <c r="O107" s="6">
        <v>4.8635467601955903E-2</v>
      </c>
      <c r="P107" s="8">
        <v>0.215649880955429</v>
      </c>
      <c r="Q107" s="84">
        <v>3</v>
      </c>
      <c r="R107" s="84">
        <v>3</v>
      </c>
      <c r="S107" s="84">
        <v>2</v>
      </c>
      <c r="T107" s="84">
        <v>2</v>
      </c>
      <c r="U107" s="84">
        <v>2</v>
      </c>
      <c r="V107" s="84">
        <v>2</v>
      </c>
      <c r="W107" s="84">
        <v>2</v>
      </c>
      <c r="X107" s="84">
        <v>1</v>
      </c>
      <c r="Y107" s="84">
        <v>2</v>
      </c>
      <c r="Z107" s="84">
        <v>1</v>
      </c>
      <c r="AA107" s="84">
        <v>2</v>
      </c>
      <c r="AB107" s="84">
        <v>3</v>
      </c>
      <c r="AC107" s="84">
        <v>1</v>
      </c>
      <c r="AD107" s="84">
        <v>2</v>
      </c>
      <c r="AE107" s="84">
        <v>1</v>
      </c>
      <c r="AF107" s="84">
        <v>1</v>
      </c>
      <c r="AG107" s="84">
        <v>2</v>
      </c>
      <c r="AH107" s="84">
        <v>1</v>
      </c>
      <c r="AI107" s="84">
        <v>2</v>
      </c>
    </row>
    <row r="108" spans="1:35" ht="36" customHeight="1" x14ac:dyDescent="0.25">
      <c r="A108" s="155" t="s">
        <v>296</v>
      </c>
      <c r="B108" s="155">
        <v>1010</v>
      </c>
      <c r="C108" s="155" t="s">
        <v>163</v>
      </c>
      <c r="D108" s="159">
        <v>41921</v>
      </c>
      <c r="E108" s="160" t="s">
        <v>551</v>
      </c>
      <c r="F108" s="160" t="s">
        <v>434</v>
      </c>
      <c r="G108" s="161" t="s">
        <v>584</v>
      </c>
      <c r="H108" s="5">
        <v>150250</v>
      </c>
      <c r="I108" s="6">
        <v>0.216798668885191</v>
      </c>
      <c r="J108" s="7">
        <v>52906</v>
      </c>
      <c r="K108" s="7">
        <v>326496</v>
      </c>
      <c r="L108" s="6">
        <v>0.36658733104788499</v>
      </c>
      <c r="M108" s="6">
        <v>0.32741478062614698</v>
      </c>
      <c r="N108" s="6">
        <v>4.3104598787744003E-2</v>
      </c>
      <c r="O108" s="6">
        <v>6.9568481343491098E-2</v>
      </c>
      <c r="P108" s="8">
        <v>0.174136684646611</v>
      </c>
      <c r="Q108" s="84">
        <v>2</v>
      </c>
      <c r="R108" s="84">
        <v>2</v>
      </c>
      <c r="S108" s="84">
        <v>3</v>
      </c>
      <c r="T108" s="84">
        <v>1</v>
      </c>
      <c r="U108" s="84">
        <v>1</v>
      </c>
      <c r="V108" s="84">
        <v>2</v>
      </c>
      <c r="W108" s="84">
        <v>3</v>
      </c>
      <c r="X108" s="84">
        <v>2</v>
      </c>
      <c r="Y108" s="84">
        <v>2</v>
      </c>
      <c r="Z108" s="84">
        <v>0</v>
      </c>
      <c r="AA108" s="84">
        <v>0</v>
      </c>
      <c r="AB108" s="84">
        <v>1</v>
      </c>
      <c r="AC108" s="84">
        <v>0</v>
      </c>
      <c r="AD108" s="84">
        <v>0</v>
      </c>
      <c r="AE108" s="84">
        <v>1</v>
      </c>
      <c r="AF108" s="84">
        <v>1</v>
      </c>
      <c r="AG108" s="84">
        <v>1</v>
      </c>
      <c r="AH108" s="84">
        <v>1</v>
      </c>
      <c r="AI108" s="84">
        <v>2</v>
      </c>
    </row>
    <row r="109" spans="1:35" ht="36" customHeight="1" x14ac:dyDescent="0.25">
      <c r="A109" s="155" t="s">
        <v>295</v>
      </c>
      <c r="B109" s="155">
        <v>924</v>
      </c>
      <c r="C109" s="155" t="s">
        <v>139</v>
      </c>
      <c r="D109" s="159">
        <v>41935</v>
      </c>
      <c r="E109" s="160" t="s">
        <v>543</v>
      </c>
      <c r="F109" s="160" t="s">
        <v>415</v>
      </c>
      <c r="G109" s="161" t="s">
        <v>584</v>
      </c>
      <c r="H109" s="5">
        <v>45822</v>
      </c>
      <c r="I109" s="6">
        <v>0.33337698048972098</v>
      </c>
      <c r="J109" s="7">
        <v>69771</v>
      </c>
      <c r="K109" s="7">
        <v>1679664</v>
      </c>
      <c r="L109" s="6">
        <v>0.45521260522339702</v>
      </c>
      <c r="M109" s="6">
        <v>8.0777597679576901E-2</v>
      </c>
      <c r="N109" s="6">
        <v>2.4036000682477399E-2</v>
      </c>
      <c r="O109" s="6">
        <v>1.2817778536086E-2</v>
      </c>
      <c r="P109" s="8">
        <v>0.32572299948814198</v>
      </c>
      <c r="Q109" s="84">
        <v>1</v>
      </c>
      <c r="R109" s="84">
        <v>1</v>
      </c>
      <c r="S109" s="84">
        <v>1</v>
      </c>
      <c r="T109" s="84">
        <v>1</v>
      </c>
      <c r="U109" s="84">
        <v>1</v>
      </c>
      <c r="V109" s="84">
        <v>3</v>
      </c>
      <c r="W109" s="84">
        <v>2</v>
      </c>
      <c r="X109" s="84">
        <v>0</v>
      </c>
      <c r="Y109" s="84">
        <v>1</v>
      </c>
      <c r="Z109" s="84">
        <v>3</v>
      </c>
      <c r="AA109" s="84">
        <v>2</v>
      </c>
      <c r="AB109" s="84">
        <v>2</v>
      </c>
      <c r="AC109" s="84">
        <v>4</v>
      </c>
      <c r="AD109" s="84">
        <v>4</v>
      </c>
      <c r="AE109" s="84">
        <v>2</v>
      </c>
      <c r="AF109" s="84">
        <v>3</v>
      </c>
      <c r="AG109" s="84">
        <v>3</v>
      </c>
      <c r="AH109" s="84">
        <v>4</v>
      </c>
      <c r="AI109" s="84">
        <v>2</v>
      </c>
    </row>
    <row r="110" spans="1:35" ht="36" customHeight="1" x14ac:dyDescent="0.25">
      <c r="A110" s="155" t="s">
        <v>300</v>
      </c>
      <c r="B110" s="155">
        <v>1409</v>
      </c>
      <c r="C110" s="155" t="s">
        <v>221</v>
      </c>
      <c r="D110" s="159">
        <v>41942</v>
      </c>
      <c r="E110" s="160" t="s">
        <v>561</v>
      </c>
      <c r="F110" s="160" t="s">
        <v>479</v>
      </c>
      <c r="G110" s="161" t="s">
        <v>585</v>
      </c>
      <c r="H110" s="5">
        <v>187904</v>
      </c>
      <c r="I110" s="6">
        <v>0.51186244039509499</v>
      </c>
      <c r="J110" s="7">
        <v>102492</v>
      </c>
      <c r="K110" s="7">
        <v>1429877</v>
      </c>
      <c r="L110" s="6">
        <v>0.67530814226771796</v>
      </c>
      <c r="M110" s="6">
        <v>6.6559251607728298E-2</v>
      </c>
      <c r="N110" s="6">
        <v>0.167182756385444</v>
      </c>
      <c r="O110" s="6">
        <v>4.1607401845798003E-2</v>
      </c>
      <c r="P110" s="8">
        <v>0.232303330177725</v>
      </c>
      <c r="Q110" s="84">
        <v>3</v>
      </c>
      <c r="R110" s="84">
        <v>1</v>
      </c>
      <c r="S110" s="84">
        <v>1</v>
      </c>
      <c r="T110" s="84">
        <v>1</v>
      </c>
      <c r="U110" s="84">
        <v>1</v>
      </c>
      <c r="V110" s="84">
        <v>1</v>
      </c>
      <c r="W110" s="84">
        <v>3</v>
      </c>
      <c r="X110" s="84">
        <v>2</v>
      </c>
      <c r="Y110" s="84">
        <v>1</v>
      </c>
      <c r="Z110" s="84">
        <v>0</v>
      </c>
      <c r="AA110" s="84">
        <v>0</v>
      </c>
      <c r="AB110" s="84">
        <v>0</v>
      </c>
      <c r="AC110" s="84">
        <v>0</v>
      </c>
      <c r="AD110" s="84">
        <v>0</v>
      </c>
      <c r="AE110" s="84">
        <v>0</v>
      </c>
      <c r="AF110" s="84">
        <v>0</v>
      </c>
      <c r="AG110" s="84">
        <v>0</v>
      </c>
      <c r="AH110" s="84">
        <v>1</v>
      </c>
      <c r="AI110" s="84">
        <v>2</v>
      </c>
    </row>
    <row r="111" spans="1:35" ht="36" customHeight="1" x14ac:dyDescent="0.25">
      <c r="A111" s="155" t="s">
        <v>302</v>
      </c>
      <c r="B111" s="155">
        <v>1604</v>
      </c>
      <c r="C111" s="155" t="s">
        <v>233</v>
      </c>
      <c r="D111" s="159">
        <v>41949</v>
      </c>
      <c r="E111" s="160" t="s">
        <v>567</v>
      </c>
      <c r="F111" s="160" t="s">
        <v>488</v>
      </c>
      <c r="G111" s="161" t="s">
        <v>584</v>
      </c>
      <c r="H111" s="5">
        <v>65749</v>
      </c>
      <c r="I111" s="6">
        <v>0.409238163318073</v>
      </c>
      <c r="J111" s="7">
        <v>80779</v>
      </c>
      <c r="K111" s="7">
        <v>1142718</v>
      </c>
      <c r="L111" s="6">
        <v>0.43313486437954801</v>
      </c>
      <c r="M111" s="6">
        <v>8.4603228355344895E-2</v>
      </c>
      <c r="N111" s="6">
        <v>0.15259058584490301</v>
      </c>
      <c r="O111" s="6">
        <v>0.119494299582346</v>
      </c>
      <c r="P111" s="8">
        <v>0.22717010949317101</v>
      </c>
      <c r="Q111" s="84">
        <v>2</v>
      </c>
      <c r="R111" s="84">
        <v>1</v>
      </c>
      <c r="S111" s="84">
        <v>1</v>
      </c>
      <c r="T111" s="84">
        <v>1</v>
      </c>
      <c r="U111" s="84">
        <v>1</v>
      </c>
      <c r="V111" s="84">
        <v>3</v>
      </c>
      <c r="W111" s="84">
        <v>3</v>
      </c>
      <c r="X111" s="84">
        <v>3</v>
      </c>
      <c r="Y111" s="84">
        <v>2</v>
      </c>
      <c r="Z111" s="84">
        <v>4</v>
      </c>
      <c r="AA111" s="84">
        <v>2</v>
      </c>
      <c r="AB111" s="84">
        <v>1</v>
      </c>
      <c r="AC111" s="84">
        <v>3</v>
      </c>
      <c r="AD111" s="84">
        <v>1</v>
      </c>
      <c r="AE111" s="84">
        <v>2</v>
      </c>
      <c r="AF111" s="84">
        <v>3</v>
      </c>
      <c r="AG111" s="84">
        <v>1</v>
      </c>
      <c r="AH111" s="84">
        <v>3</v>
      </c>
      <c r="AI111" s="84">
        <v>0</v>
      </c>
    </row>
    <row r="112" spans="1:35" ht="36" customHeight="1" x14ac:dyDescent="0.25">
      <c r="A112" s="155" t="s">
        <v>302</v>
      </c>
      <c r="B112" s="155">
        <v>1601</v>
      </c>
      <c r="C112" s="155" t="s">
        <v>230</v>
      </c>
      <c r="D112" s="159">
        <v>41957</v>
      </c>
      <c r="E112" s="160" t="s">
        <v>567</v>
      </c>
      <c r="F112" s="160" t="s">
        <v>656</v>
      </c>
      <c r="G112" s="161" t="s">
        <v>584</v>
      </c>
      <c r="H112" s="5">
        <v>103796</v>
      </c>
      <c r="I112" s="6">
        <v>0.46243593202050198</v>
      </c>
      <c r="J112" s="7">
        <v>91831</v>
      </c>
      <c r="K112" s="7">
        <v>1754024</v>
      </c>
      <c r="L112" s="6">
        <v>0.56840035584163895</v>
      </c>
      <c r="M112" s="6">
        <v>7.5872167933997897E-2</v>
      </c>
      <c r="N112" s="6">
        <v>6.9200783713805405E-2</v>
      </c>
      <c r="O112" s="6">
        <v>8.6580741746667397E-2</v>
      </c>
      <c r="P112" s="8">
        <v>0.26664676022693301</v>
      </c>
      <c r="Q112" s="84">
        <v>2</v>
      </c>
      <c r="R112" s="84">
        <v>2</v>
      </c>
      <c r="S112" s="84">
        <v>1</v>
      </c>
      <c r="T112" s="84">
        <v>2</v>
      </c>
      <c r="U112" s="84">
        <v>0</v>
      </c>
      <c r="V112" s="84">
        <v>4</v>
      </c>
      <c r="W112" s="84">
        <v>3</v>
      </c>
      <c r="X112" s="84">
        <v>3</v>
      </c>
      <c r="Y112" s="84">
        <v>2</v>
      </c>
      <c r="Z112" s="84">
        <v>4</v>
      </c>
      <c r="AA112" s="84">
        <v>3</v>
      </c>
      <c r="AB112" s="84">
        <v>2</v>
      </c>
      <c r="AC112" s="84">
        <v>4</v>
      </c>
      <c r="AD112" s="84">
        <v>3</v>
      </c>
      <c r="AE112" s="84">
        <v>4</v>
      </c>
      <c r="AF112" s="84">
        <v>4</v>
      </c>
      <c r="AG112" s="84">
        <v>3</v>
      </c>
      <c r="AH112" s="84">
        <v>4</v>
      </c>
      <c r="AI112" s="84">
        <v>2</v>
      </c>
    </row>
    <row r="113" spans="1:35" ht="36" customHeight="1" x14ac:dyDescent="0.25">
      <c r="A113" s="155" t="s">
        <v>301</v>
      </c>
      <c r="B113" s="155">
        <v>1502</v>
      </c>
      <c r="C113" s="155" t="s">
        <v>227</v>
      </c>
      <c r="D113" s="159">
        <v>42089</v>
      </c>
      <c r="E113" s="160" t="s">
        <v>565</v>
      </c>
      <c r="F113" s="160" t="s">
        <v>484</v>
      </c>
      <c r="G113" s="161" t="s">
        <v>584</v>
      </c>
      <c r="H113" s="5">
        <v>52938</v>
      </c>
      <c r="I113" s="6">
        <v>0.355925799992444</v>
      </c>
      <c r="J113" s="7">
        <v>76008</v>
      </c>
      <c r="K113" s="7">
        <v>1031100</v>
      </c>
      <c r="L113" s="6">
        <v>0.37481830431507401</v>
      </c>
      <c r="M113" s="6">
        <v>0.18359216071606799</v>
      </c>
      <c r="N113" s="6">
        <v>0.10159902354395201</v>
      </c>
      <c r="O113" s="6">
        <v>0.165084019744064</v>
      </c>
      <c r="P113" s="8">
        <v>0.26173935071813997</v>
      </c>
      <c r="Q113" s="84">
        <v>0</v>
      </c>
      <c r="R113" s="84">
        <v>0</v>
      </c>
      <c r="S113" s="84">
        <v>0</v>
      </c>
      <c r="T113" s="84">
        <v>0</v>
      </c>
      <c r="U113" s="84">
        <v>0</v>
      </c>
      <c r="V113" s="84">
        <v>1</v>
      </c>
      <c r="W113" s="84">
        <v>1</v>
      </c>
      <c r="X113" s="84">
        <v>2</v>
      </c>
      <c r="Y113" s="84">
        <v>0</v>
      </c>
      <c r="Z113" s="84">
        <v>1</v>
      </c>
      <c r="AA113" s="84">
        <v>1</v>
      </c>
      <c r="AB113" s="84">
        <v>0</v>
      </c>
      <c r="AC113" s="84">
        <v>0</v>
      </c>
      <c r="AD113" s="84">
        <v>0</v>
      </c>
      <c r="AE113" s="84">
        <v>1</v>
      </c>
      <c r="AF113" s="84">
        <v>0</v>
      </c>
      <c r="AG113" s="84">
        <v>0</v>
      </c>
      <c r="AH113" s="84">
        <v>1</v>
      </c>
      <c r="AI113" s="84">
        <v>0</v>
      </c>
    </row>
    <row r="114" spans="1:35" ht="36" customHeight="1" x14ac:dyDescent="0.25">
      <c r="A114" s="155" t="s">
        <v>291</v>
      </c>
      <c r="B114" s="155">
        <v>509</v>
      </c>
      <c r="C114" s="155" t="s">
        <v>64</v>
      </c>
      <c r="D114" s="159">
        <v>42145</v>
      </c>
      <c r="E114" s="160" t="s">
        <v>531</v>
      </c>
      <c r="F114" s="160" t="s">
        <v>346</v>
      </c>
      <c r="G114" s="161" t="s">
        <v>585</v>
      </c>
      <c r="H114" s="5">
        <v>123967</v>
      </c>
      <c r="I114" s="6">
        <v>0.42295126928940802</v>
      </c>
      <c r="J114" s="7">
        <v>83942</v>
      </c>
      <c r="K114" s="7">
        <v>838499</v>
      </c>
      <c r="L114" s="6">
        <v>0.56308548901668298</v>
      </c>
      <c r="M114" s="6">
        <v>0.340572007799466</v>
      </c>
      <c r="N114" s="6">
        <v>5.21008580820915E-2</v>
      </c>
      <c r="O114" s="6">
        <v>4.0088412724111497E-2</v>
      </c>
      <c r="P114" s="8">
        <v>0.206376134195874</v>
      </c>
      <c r="Q114" s="84">
        <v>3</v>
      </c>
      <c r="R114" s="84">
        <v>3</v>
      </c>
      <c r="S114" s="84">
        <v>2</v>
      </c>
      <c r="T114" s="84">
        <v>1</v>
      </c>
      <c r="U114" s="84">
        <v>1</v>
      </c>
      <c r="V114" s="84">
        <v>2</v>
      </c>
      <c r="W114" s="84">
        <v>2</v>
      </c>
      <c r="X114" s="84">
        <v>0</v>
      </c>
      <c r="Y114" s="84">
        <v>0</v>
      </c>
      <c r="Z114" s="84">
        <v>2</v>
      </c>
      <c r="AA114" s="84">
        <v>2</v>
      </c>
      <c r="AB114" s="84">
        <v>2</v>
      </c>
      <c r="AC114" s="84">
        <v>1</v>
      </c>
      <c r="AD114" s="84">
        <v>2</v>
      </c>
      <c r="AE114" s="84">
        <v>3</v>
      </c>
      <c r="AF114" s="84">
        <v>2</v>
      </c>
      <c r="AG114" s="84">
        <v>2</v>
      </c>
      <c r="AH114" s="84">
        <v>2</v>
      </c>
      <c r="AI114" s="84">
        <v>3</v>
      </c>
    </row>
    <row r="115" spans="1:35" ht="36" customHeight="1" x14ac:dyDescent="0.25">
      <c r="A115" s="155" t="s">
        <v>297</v>
      </c>
      <c r="B115" s="155">
        <v>1113</v>
      </c>
      <c r="C115" s="155" t="s">
        <v>179</v>
      </c>
      <c r="D115" s="159">
        <v>42159</v>
      </c>
      <c r="E115" s="160" t="s">
        <v>553</v>
      </c>
      <c r="F115" s="160" t="s">
        <v>667</v>
      </c>
      <c r="G115" s="161" t="s">
        <v>584</v>
      </c>
      <c r="H115" s="5">
        <v>184931</v>
      </c>
      <c r="I115" s="6">
        <v>0.44726411472387001</v>
      </c>
      <c r="J115" s="7">
        <v>88924</v>
      </c>
      <c r="K115" s="7">
        <v>1290551</v>
      </c>
      <c r="L115" s="6">
        <v>0.38840046100339598</v>
      </c>
      <c r="M115" s="6">
        <v>0.31179187264409097</v>
      </c>
      <c r="N115" s="6">
        <v>0.247505242377556</v>
      </c>
      <c r="O115" s="6">
        <v>6.3950684624707196E-2</v>
      </c>
      <c r="P115" s="8">
        <v>0.250581131775581</v>
      </c>
      <c r="Q115" s="84">
        <v>2</v>
      </c>
      <c r="R115" s="84">
        <v>4</v>
      </c>
      <c r="S115" s="84">
        <v>4</v>
      </c>
      <c r="T115" s="84">
        <v>2</v>
      </c>
      <c r="U115" s="84">
        <v>3</v>
      </c>
      <c r="V115" s="84">
        <v>1</v>
      </c>
      <c r="W115" s="84">
        <v>3</v>
      </c>
      <c r="X115" s="84">
        <v>3</v>
      </c>
      <c r="Y115" s="84">
        <v>2</v>
      </c>
      <c r="Z115" s="84">
        <v>0</v>
      </c>
      <c r="AA115" s="84">
        <v>2</v>
      </c>
      <c r="AB115" s="84">
        <v>3</v>
      </c>
      <c r="AC115" s="84">
        <v>1</v>
      </c>
      <c r="AD115" s="84">
        <v>2</v>
      </c>
      <c r="AE115" s="84">
        <v>2</v>
      </c>
      <c r="AF115" s="84">
        <v>0</v>
      </c>
      <c r="AG115" s="84">
        <v>2</v>
      </c>
      <c r="AH115" s="84">
        <v>1</v>
      </c>
      <c r="AI115" s="84">
        <v>3</v>
      </c>
    </row>
    <row r="116" spans="1:35" ht="36" customHeight="1" x14ac:dyDescent="0.25">
      <c r="A116" s="155" t="s">
        <v>295</v>
      </c>
      <c r="B116" s="155">
        <v>925</v>
      </c>
      <c r="C116" s="155" t="s">
        <v>140</v>
      </c>
      <c r="D116" s="159">
        <v>42187</v>
      </c>
      <c r="E116" s="160" t="s">
        <v>547</v>
      </c>
      <c r="F116" s="160" t="s">
        <v>416</v>
      </c>
      <c r="G116" s="161" t="s">
        <v>584</v>
      </c>
      <c r="H116" s="5">
        <v>100968</v>
      </c>
      <c r="I116" s="6">
        <v>0.27492869027810801</v>
      </c>
      <c r="J116" s="7">
        <v>62603</v>
      </c>
      <c r="K116" s="7">
        <v>830749</v>
      </c>
      <c r="L116" s="6">
        <v>0.389050445272067</v>
      </c>
      <c r="M116" s="6">
        <v>0.24209965822972901</v>
      </c>
      <c r="N116" s="6">
        <v>3.8981623656446598E-2</v>
      </c>
      <c r="O116" s="6">
        <v>0.15254594085888401</v>
      </c>
      <c r="P116" s="8">
        <v>0.258948767480641</v>
      </c>
      <c r="Q116" s="84">
        <v>1</v>
      </c>
      <c r="R116" s="84">
        <v>2</v>
      </c>
      <c r="S116" s="84">
        <v>1</v>
      </c>
      <c r="T116" s="84">
        <v>1</v>
      </c>
      <c r="U116" s="84">
        <v>2</v>
      </c>
      <c r="V116" s="84">
        <v>2</v>
      </c>
      <c r="W116" s="84">
        <v>2</v>
      </c>
      <c r="X116" s="84">
        <v>3</v>
      </c>
      <c r="Y116" s="84">
        <v>1</v>
      </c>
      <c r="Z116" s="84">
        <v>1</v>
      </c>
      <c r="AA116" s="84">
        <v>1</v>
      </c>
      <c r="AB116" s="84">
        <v>2</v>
      </c>
      <c r="AC116" s="84">
        <v>1</v>
      </c>
      <c r="AD116" s="84">
        <v>2</v>
      </c>
      <c r="AE116" s="84">
        <v>1</v>
      </c>
      <c r="AF116" s="84">
        <v>1</v>
      </c>
      <c r="AG116" s="84">
        <v>1</v>
      </c>
      <c r="AH116" s="84">
        <v>1</v>
      </c>
      <c r="AI116" s="84">
        <v>1</v>
      </c>
    </row>
    <row r="117" spans="1:35" ht="36" customHeight="1" x14ac:dyDescent="0.25">
      <c r="A117" s="155" t="s">
        <v>301</v>
      </c>
      <c r="B117" s="155">
        <v>1503</v>
      </c>
      <c r="C117" s="155" t="s">
        <v>228</v>
      </c>
      <c r="D117" s="159">
        <v>42243</v>
      </c>
      <c r="E117" s="160" t="s">
        <v>566</v>
      </c>
      <c r="F117" s="160" t="s">
        <v>644</v>
      </c>
      <c r="G117" s="161" t="s">
        <v>585</v>
      </c>
      <c r="H117" s="5">
        <v>43575</v>
      </c>
      <c r="I117" s="6">
        <v>0.46572576018359202</v>
      </c>
      <c r="J117" s="7">
        <v>92042</v>
      </c>
      <c r="K117" s="7">
        <v>1657163</v>
      </c>
      <c r="L117" s="6">
        <v>0.42899755501222497</v>
      </c>
      <c r="M117" s="6">
        <v>9.6892359340078504E-2</v>
      </c>
      <c r="N117" s="6">
        <v>6.0158952434828598E-2</v>
      </c>
      <c r="O117" s="6">
        <v>5.7849783457447297E-2</v>
      </c>
      <c r="P117" s="8">
        <v>0.29658447014309403</v>
      </c>
      <c r="Q117" s="84">
        <v>1</v>
      </c>
      <c r="R117" s="84">
        <v>1</v>
      </c>
      <c r="S117" s="84">
        <v>1</v>
      </c>
      <c r="T117" s="84">
        <v>1</v>
      </c>
      <c r="U117" s="84">
        <v>2</v>
      </c>
      <c r="V117" s="84">
        <v>2</v>
      </c>
      <c r="W117" s="84">
        <v>2</v>
      </c>
      <c r="X117" s="84">
        <v>2</v>
      </c>
      <c r="Y117" s="84">
        <v>1</v>
      </c>
      <c r="Z117" s="84">
        <v>3</v>
      </c>
      <c r="AA117" s="84">
        <v>3</v>
      </c>
      <c r="AB117" s="84">
        <v>1</v>
      </c>
      <c r="AC117" s="84">
        <v>2</v>
      </c>
      <c r="AD117" s="84">
        <v>1</v>
      </c>
      <c r="AE117" s="84">
        <v>3</v>
      </c>
      <c r="AF117" s="84">
        <v>2</v>
      </c>
      <c r="AG117" s="84">
        <v>2</v>
      </c>
      <c r="AH117" s="84">
        <v>3</v>
      </c>
      <c r="AI117" s="84">
        <v>2</v>
      </c>
    </row>
    <row r="118" spans="1:35" ht="36" customHeight="1" x14ac:dyDescent="0.25">
      <c r="A118" s="155" t="s">
        <v>304</v>
      </c>
      <c r="B118" s="155">
        <v>1801</v>
      </c>
      <c r="C118" s="155" t="s">
        <v>247</v>
      </c>
      <c r="D118" s="159">
        <v>42250</v>
      </c>
      <c r="E118" s="160" t="s">
        <v>569</v>
      </c>
      <c r="F118" s="160" t="s">
        <v>499</v>
      </c>
      <c r="G118" s="161" t="s">
        <v>584</v>
      </c>
      <c r="H118" s="5">
        <v>65540</v>
      </c>
      <c r="I118" s="6">
        <v>0.52247482453463501</v>
      </c>
      <c r="J118" s="7">
        <v>103817</v>
      </c>
      <c r="K118" s="7">
        <v>2376480</v>
      </c>
      <c r="L118" s="6">
        <v>0.64230279844615001</v>
      </c>
      <c r="M118" s="6">
        <v>3.06080251042972E-2</v>
      </c>
      <c r="N118" s="6">
        <v>8.2379556539401794E-2</v>
      </c>
      <c r="O118" s="6">
        <v>3.8343651556247499E-2</v>
      </c>
      <c r="P118" s="8">
        <v>0.281650996752496</v>
      </c>
      <c r="Q118" s="84">
        <v>2</v>
      </c>
      <c r="R118" s="84">
        <v>0</v>
      </c>
      <c r="S118" s="84">
        <v>0</v>
      </c>
      <c r="T118" s="84">
        <v>1</v>
      </c>
      <c r="U118" s="84">
        <v>0</v>
      </c>
      <c r="V118" s="84">
        <v>2</v>
      </c>
      <c r="W118" s="84">
        <v>1</v>
      </c>
      <c r="X118" s="84">
        <v>0</v>
      </c>
      <c r="Y118" s="84">
        <v>1</v>
      </c>
      <c r="Z118" s="84">
        <v>3</v>
      </c>
      <c r="AA118" s="84">
        <v>3</v>
      </c>
      <c r="AB118" s="84">
        <v>2</v>
      </c>
      <c r="AC118" s="84">
        <v>3</v>
      </c>
      <c r="AD118" s="84">
        <v>3</v>
      </c>
      <c r="AE118" s="84">
        <v>1</v>
      </c>
      <c r="AF118" s="84">
        <v>3</v>
      </c>
      <c r="AG118" s="84">
        <v>2</v>
      </c>
      <c r="AH118" s="84">
        <v>3</v>
      </c>
      <c r="AI118" s="84">
        <v>1</v>
      </c>
    </row>
    <row r="119" spans="1:35" ht="36" customHeight="1" x14ac:dyDescent="0.25">
      <c r="A119" s="155" t="s">
        <v>291</v>
      </c>
      <c r="B119" s="155">
        <v>510</v>
      </c>
      <c r="C119" s="155" t="s">
        <v>65</v>
      </c>
      <c r="D119" s="159">
        <v>42264</v>
      </c>
      <c r="E119" s="160" t="s">
        <v>531</v>
      </c>
      <c r="F119" s="160" t="s">
        <v>347</v>
      </c>
      <c r="G119" s="161" t="s">
        <v>585</v>
      </c>
      <c r="H119" s="5">
        <v>89768</v>
      </c>
      <c r="I119" s="6">
        <v>0.50526913822297503</v>
      </c>
      <c r="J119" s="7">
        <v>100766</v>
      </c>
      <c r="K119" s="7">
        <v>1102354</v>
      </c>
      <c r="L119" s="6">
        <v>0.57663207811063899</v>
      </c>
      <c r="M119" s="6">
        <v>0.19037782398282499</v>
      </c>
      <c r="N119" s="6">
        <v>0.19220447687818301</v>
      </c>
      <c r="O119" s="6">
        <v>5.7807926320489603E-2</v>
      </c>
      <c r="P119" s="8">
        <v>0.21808882494350901</v>
      </c>
      <c r="Q119" s="84">
        <v>4</v>
      </c>
      <c r="R119" s="84">
        <v>3</v>
      </c>
      <c r="S119" s="84">
        <v>3</v>
      </c>
      <c r="T119" s="84">
        <v>3</v>
      </c>
      <c r="U119" s="84">
        <v>3</v>
      </c>
      <c r="V119" s="84">
        <v>4</v>
      </c>
      <c r="W119" s="84">
        <v>4</v>
      </c>
      <c r="X119" s="84">
        <v>1</v>
      </c>
      <c r="Y119" s="84">
        <v>3</v>
      </c>
      <c r="Z119" s="84">
        <v>3</v>
      </c>
      <c r="AA119" s="84">
        <v>2</v>
      </c>
      <c r="AB119" s="84">
        <v>1</v>
      </c>
      <c r="AC119" s="84">
        <v>1</v>
      </c>
      <c r="AD119" s="84">
        <v>1</v>
      </c>
      <c r="AE119" s="84">
        <v>2</v>
      </c>
      <c r="AF119" s="84">
        <v>2</v>
      </c>
      <c r="AG119" s="84">
        <v>2</v>
      </c>
      <c r="AH119" s="84">
        <v>2</v>
      </c>
      <c r="AI119" s="84">
        <v>2</v>
      </c>
    </row>
    <row r="120" spans="1:35" ht="36" customHeight="1" x14ac:dyDescent="0.25">
      <c r="A120" s="155" t="s">
        <v>298</v>
      </c>
      <c r="B120" s="155">
        <v>1204</v>
      </c>
      <c r="C120" s="155" t="s">
        <v>208</v>
      </c>
      <c r="D120" s="159">
        <v>42278</v>
      </c>
      <c r="E120" s="160" t="s">
        <v>558</v>
      </c>
      <c r="F120" s="160" t="s">
        <v>466</v>
      </c>
      <c r="G120" s="161" t="s">
        <v>585</v>
      </c>
      <c r="H120" s="5">
        <v>130136</v>
      </c>
      <c r="I120" s="6">
        <v>0.35925493330054697</v>
      </c>
      <c r="J120" s="7">
        <v>76784</v>
      </c>
      <c r="K120" s="7">
        <v>884916</v>
      </c>
      <c r="L120" s="6">
        <v>0.29372242766316298</v>
      </c>
      <c r="M120" s="6">
        <v>0.23003506309407401</v>
      </c>
      <c r="N120" s="6">
        <v>7.2824848844366102E-2</v>
      </c>
      <c r="O120" s="6">
        <v>0.15067104467968401</v>
      </c>
      <c r="P120" s="8">
        <v>0.23007126803632699</v>
      </c>
      <c r="Q120" s="84">
        <v>2</v>
      </c>
      <c r="R120" s="84">
        <v>2</v>
      </c>
      <c r="S120" s="84">
        <v>2</v>
      </c>
      <c r="T120" s="84">
        <v>0</v>
      </c>
      <c r="U120" s="84">
        <v>2</v>
      </c>
      <c r="V120" s="84">
        <v>2</v>
      </c>
      <c r="W120" s="84">
        <v>2</v>
      </c>
      <c r="X120" s="84">
        <v>2</v>
      </c>
      <c r="Y120" s="84">
        <v>2</v>
      </c>
      <c r="Z120" s="84">
        <v>1</v>
      </c>
      <c r="AA120" s="84">
        <v>1</v>
      </c>
      <c r="AB120" s="84">
        <v>1</v>
      </c>
      <c r="AC120" s="84">
        <v>1</v>
      </c>
      <c r="AD120" s="84">
        <v>1</v>
      </c>
      <c r="AE120" s="84">
        <v>1</v>
      </c>
      <c r="AF120" s="84">
        <v>1</v>
      </c>
      <c r="AG120" s="84">
        <v>1</v>
      </c>
      <c r="AH120" s="84">
        <v>0</v>
      </c>
      <c r="AI120" s="84">
        <v>2</v>
      </c>
    </row>
    <row r="121" spans="1:35" ht="36" customHeight="1" x14ac:dyDescent="0.25">
      <c r="A121" s="155" t="s">
        <v>297</v>
      </c>
      <c r="B121" s="155">
        <v>1114</v>
      </c>
      <c r="C121" s="155" t="s">
        <v>180</v>
      </c>
      <c r="D121" s="159">
        <v>42285</v>
      </c>
      <c r="E121" s="160" t="s">
        <v>552</v>
      </c>
      <c r="F121" s="160" t="s">
        <v>448</v>
      </c>
      <c r="G121" s="161" t="s">
        <v>584</v>
      </c>
      <c r="H121" s="5">
        <v>94195</v>
      </c>
      <c r="I121" s="6">
        <v>0.38102871702319702</v>
      </c>
      <c r="J121" s="7">
        <v>79707</v>
      </c>
      <c r="K121" s="7">
        <v>916092</v>
      </c>
      <c r="L121" s="6">
        <v>0.29634131277946602</v>
      </c>
      <c r="M121" s="6">
        <v>0.24007619317742299</v>
      </c>
      <c r="N121" s="6">
        <v>0.29716950725833502</v>
      </c>
      <c r="O121" s="6">
        <v>0.14137959930897601</v>
      </c>
      <c r="P121" s="8">
        <v>0.21300569837299799</v>
      </c>
      <c r="Q121" s="84">
        <v>1</v>
      </c>
      <c r="R121" s="84">
        <v>3</v>
      </c>
      <c r="S121" s="84">
        <v>3</v>
      </c>
      <c r="T121" s="84">
        <v>1</v>
      </c>
      <c r="U121" s="84">
        <v>2</v>
      </c>
      <c r="V121" s="84">
        <v>1</v>
      </c>
      <c r="W121" s="84">
        <v>1</v>
      </c>
      <c r="X121" s="84">
        <v>3</v>
      </c>
      <c r="Y121" s="84">
        <v>3</v>
      </c>
      <c r="Z121" s="84">
        <v>0</v>
      </c>
      <c r="AA121" s="84">
        <v>0</v>
      </c>
      <c r="AB121" s="84">
        <v>1</v>
      </c>
      <c r="AC121" s="84">
        <v>1</v>
      </c>
      <c r="AD121" s="84">
        <v>2</v>
      </c>
      <c r="AE121" s="84">
        <v>1</v>
      </c>
      <c r="AF121" s="84">
        <v>0</v>
      </c>
      <c r="AG121" s="84">
        <v>0</v>
      </c>
      <c r="AH121" s="84">
        <v>0</v>
      </c>
      <c r="AI121" s="84">
        <v>1</v>
      </c>
    </row>
    <row r="122" spans="1:35" ht="36" customHeight="1" x14ac:dyDescent="0.25">
      <c r="A122" s="155" t="s">
        <v>295</v>
      </c>
      <c r="B122" s="155">
        <v>926</v>
      </c>
      <c r="C122" s="155" t="s">
        <v>141</v>
      </c>
      <c r="D122" s="159">
        <v>42292</v>
      </c>
      <c r="E122" s="160" t="s">
        <v>545</v>
      </c>
      <c r="F122" s="160" t="s">
        <v>417</v>
      </c>
      <c r="G122" s="161" t="s">
        <v>583</v>
      </c>
      <c r="H122" s="5">
        <v>121139</v>
      </c>
      <c r="I122" s="6">
        <v>0.29763329728658799</v>
      </c>
      <c r="J122" s="7">
        <v>58669</v>
      </c>
      <c r="K122" s="7">
        <v>528459</v>
      </c>
      <c r="L122" s="6">
        <v>0.47486740786279202</v>
      </c>
      <c r="M122" s="6">
        <v>0.65625200256328098</v>
      </c>
      <c r="N122" s="6">
        <v>2.05503043896187E-2</v>
      </c>
      <c r="O122" s="6">
        <v>0.123742390259532</v>
      </c>
      <c r="P122" s="8">
        <v>0.217706664530599</v>
      </c>
      <c r="Q122" s="84">
        <v>0</v>
      </c>
      <c r="R122" s="84">
        <v>3</v>
      </c>
      <c r="S122" s="84">
        <v>4</v>
      </c>
      <c r="T122" s="84">
        <v>2</v>
      </c>
      <c r="U122" s="84">
        <v>3</v>
      </c>
      <c r="V122" s="84">
        <v>2</v>
      </c>
      <c r="W122" s="84">
        <v>1</v>
      </c>
      <c r="X122" s="84">
        <v>1</v>
      </c>
      <c r="Y122" s="84">
        <v>2</v>
      </c>
      <c r="Z122" s="84">
        <v>0</v>
      </c>
      <c r="AA122" s="84">
        <v>0</v>
      </c>
      <c r="AB122" s="84">
        <v>4</v>
      </c>
      <c r="AC122" s="84">
        <v>0</v>
      </c>
      <c r="AD122" s="84">
        <v>3</v>
      </c>
      <c r="AE122" s="84">
        <v>4</v>
      </c>
      <c r="AF122" s="84">
        <v>0</v>
      </c>
      <c r="AG122" s="84">
        <v>3</v>
      </c>
      <c r="AH122" s="84">
        <v>3</v>
      </c>
      <c r="AI122" s="84">
        <v>4</v>
      </c>
    </row>
    <row r="123" spans="1:35" ht="36" customHeight="1" x14ac:dyDescent="0.25">
      <c r="A123" s="155" t="s">
        <v>304</v>
      </c>
      <c r="B123" s="155">
        <v>1802</v>
      </c>
      <c r="C123" s="155" t="s">
        <v>248</v>
      </c>
      <c r="D123" s="159">
        <v>42292</v>
      </c>
      <c r="E123" s="160" t="s">
        <v>569</v>
      </c>
      <c r="F123" s="160" t="s">
        <v>500</v>
      </c>
      <c r="G123" s="161" t="s">
        <v>583</v>
      </c>
      <c r="H123" s="5">
        <v>140765</v>
      </c>
      <c r="I123" s="6">
        <v>0.34011295421447102</v>
      </c>
      <c r="J123" s="7">
        <v>67711</v>
      </c>
      <c r="K123" s="7">
        <v>1073544</v>
      </c>
      <c r="L123" s="6">
        <v>0.575151504122004</v>
      </c>
      <c r="M123" s="6">
        <v>3.5133385133385098E-2</v>
      </c>
      <c r="N123" s="6">
        <v>5.2852240352240301E-2</v>
      </c>
      <c r="O123" s="6">
        <v>0.219363506863507</v>
      </c>
      <c r="P123" s="8">
        <v>0.24747798497798501</v>
      </c>
      <c r="Q123" s="84">
        <v>3</v>
      </c>
      <c r="R123" s="84">
        <v>2</v>
      </c>
      <c r="S123" s="84">
        <v>1</v>
      </c>
      <c r="T123" s="84">
        <v>1</v>
      </c>
      <c r="U123" s="84">
        <v>0</v>
      </c>
      <c r="V123" s="84">
        <v>2</v>
      </c>
      <c r="W123" s="84">
        <v>2</v>
      </c>
      <c r="X123" s="84">
        <v>2</v>
      </c>
      <c r="Y123" s="84">
        <v>2</v>
      </c>
      <c r="Z123" s="84">
        <v>2</v>
      </c>
      <c r="AA123" s="84">
        <v>2</v>
      </c>
      <c r="AB123" s="84">
        <v>2</v>
      </c>
      <c r="AC123" s="84">
        <v>3</v>
      </c>
      <c r="AD123" s="84">
        <v>3</v>
      </c>
      <c r="AE123" s="84">
        <v>3</v>
      </c>
      <c r="AF123" s="84">
        <v>3</v>
      </c>
      <c r="AG123" s="84">
        <v>3</v>
      </c>
      <c r="AH123" s="84">
        <v>3</v>
      </c>
      <c r="AI123" s="84">
        <v>2</v>
      </c>
    </row>
    <row r="124" spans="1:35" ht="36" customHeight="1" x14ac:dyDescent="0.25">
      <c r="A124" s="155" t="s">
        <v>294</v>
      </c>
      <c r="B124" s="155">
        <v>804</v>
      </c>
      <c r="C124" s="155" t="s">
        <v>115</v>
      </c>
      <c r="D124" s="159">
        <v>42306</v>
      </c>
      <c r="E124" s="160" t="s">
        <v>542</v>
      </c>
      <c r="F124" s="160" t="s">
        <v>392</v>
      </c>
      <c r="G124" s="161" t="s">
        <v>584</v>
      </c>
      <c r="H124" s="5">
        <v>148069</v>
      </c>
      <c r="I124" s="6">
        <v>0.46816011454119399</v>
      </c>
      <c r="J124" s="7">
        <v>91850</v>
      </c>
      <c r="K124" s="7">
        <v>1278623</v>
      </c>
      <c r="L124" s="6">
        <v>0.70745610002758097</v>
      </c>
      <c r="M124" s="6">
        <v>0.16438539821905199</v>
      </c>
      <c r="N124" s="6">
        <v>0.10198984809558299</v>
      </c>
      <c r="O124" s="6">
        <v>0.13271370132947499</v>
      </c>
      <c r="P124" s="8">
        <v>0.201064453368586</v>
      </c>
      <c r="Q124" s="84" t="s">
        <v>772</v>
      </c>
      <c r="R124" s="84" t="s">
        <v>772</v>
      </c>
      <c r="S124" s="84" t="s">
        <v>772</v>
      </c>
      <c r="T124" s="84" t="s">
        <v>772</v>
      </c>
      <c r="U124" s="84" t="s">
        <v>772</v>
      </c>
      <c r="V124" s="84" t="s">
        <v>772</v>
      </c>
      <c r="W124" s="84">
        <v>0</v>
      </c>
      <c r="X124" s="84" t="s">
        <v>772</v>
      </c>
      <c r="Y124" s="84" t="s">
        <v>772</v>
      </c>
      <c r="Z124" s="84">
        <v>1</v>
      </c>
      <c r="AA124" s="84">
        <v>2</v>
      </c>
      <c r="AB124" s="84">
        <v>3</v>
      </c>
      <c r="AC124" s="84">
        <v>2</v>
      </c>
      <c r="AD124" s="84">
        <v>3</v>
      </c>
      <c r="AE124" s="84">
        <v>1</v>
      </c>
      <c r="AF124" s="84">
        <v>2</v>
      </c>
      <c r="AG124" s="84">
        <v>3</v>
      </c>
      <c r="AH124" s="84">
        <v>2</v>
      </c>
      <c r="AI124" s="84">
        <v>3</v>
      </c>
    </row>
    <row r="125" spans="1:35" ht="36" customHeight="1" x14ac:dyDescent="0.25">
      <c r="A125" s="155" t="s">
        <v>302</v>
      </c>
      <c r="B125" s="155">
        <v>1605</v>
      </c>
      <c r="C125" s="155" t="s">
        <v>234</v>
      </c>
      <c r="D125" s="159">
        <v>42313</v>
      </c>
      <c r="E125" s="160" t="s">
        <v>567</v>
      </c>
      <c r="F125" s="160" t="s">
        <v>489</v>
      </c>
      <c r="G125" s="161" t="s">
        <v>585</v>
      </c>
      <c r="H125" s="5">
        <v>70183</v>
      </c>
      <c r="I125" s="6">
        <v>0.46873174415456698</v>
      </c>
      <c r="J125" s="7">
        <v>93071</v>
      </c>
      <c r="K125" s="7">
        <v>1444413</v>
      </c>
      <c r="L125" s="6">
        <v>0.48083484317278102</v>
      </c>
      <c r="M125" s="6">
        <v>5.0932506813445202E-2</v>
      </c>
      <c r="N125" s="6">
        <v>0.10540800513012299</v>
      </c>
      <c r="O125" s="6">
        <v>0.14920109015123201</v>
      </c>
      <c r="P125" s="8">
        <v>0.23819804414043699</v>
      </c>
      <c r="Q125" s="84">
        <v>2</v>
      </c>
      <c r="R125" s="84">
        <v>2</v>
      </c>
      <c r="S125" s="84">
        <v>1</v>
      </c>
      <c r="T125" s="84">
        <v>2</v>
      </c>
      <c r="U125" s="84">
        <v>2</v>
      </c>
      <c r="V125" s="84">
        <v>3</v>
      </c>
      <c r="W125" s="84">
        <v>3</v>
      </c>
      <c r="X125" s="84">
        <v>4</v>
      </c>
      <c r="Y125" s="84">
        <v>2</v>
      </c>
      <c r="Z125" s="84">
        <v>4</v>
      </c>
      <c r="AA125" s="84">
        <v>3</v>
      </c>
      <c r="AB125" s="84">
        <v>1</v>
      </c>
      <c r="AC125" s="84">
        <v>3</v>
      </c>
      <c r="AD125" s="84">
        <v>0</v>
      </c>
      <c r="AE125" s="84">
        <v>3</v>
      </c>
      <c r="AF125" s="84">
        <v>3</v>
      </c>
      <c r="AG125" s="84">
        <v>1</v>
      </c>
      <c r="AH125" s="84">
        <v>3</v>
      </c>
      <c r="AI125" s="84">
        <v>0</v>
      </c>
    </row>
    <row r="126" spans="1:35" ht="36" customHeight="1" x14ac:dyDescent="0.25">
      <c r="A126" s="155" t="s">
        <v>291</v>
      </c>
      <c r="B126" s="155">
        <v>511</v>
      </c>
      <c r="C126" s="155" t="s">
        <v>66</v>
      </c>
      <c r="D126" s="159">
        <v>42320</v>
      </c>
      <c r="E126" s="160" t="s">
        <v>529</v>
      </c>
      <c r="F126" s="160" t="s">
        <v>348</v>
      </c>
      <c r="G126" s="161" t="s">
        <v>584</v>
      </c>
      <c r="H126" s="5">
        <v>61227</v>
      </c>
      <c r="I126" s="6">
        <v>0.30710307544057402</v>
      </c>
      <c r="J126" s="7">
        <v>64838</v>
      </c>
      <c r="K126" s="7">
        <v>790611</v>
      </c>
      <c r="L126" s="6">
        <v>0.40709234087375201</v>
      </c>
      <c r="M126" s="6">
        <v>0.234778314442986</v>
      </c>
      <c r="N126" s="6">
        <v>5.7309420281126899E-2</v>
      </c>
      <c r="O126" s="6">
        <v>0.128115100634764</v>
      </c>
      <c r="P126" s="8">
        <v>0.18074509473278499</v>
      </c>
      <c r="Q126" s="84">
        <v>3</v>
      </c>
      <c r="R126" s="84">
        <v>3</v>
      </c>
      <c r="S126" s="84">
        <v>1</v>
      </c>
      <c r="T126" s="84">
        <v>2</v>
      </c>
      <c r="U126" s="84">
        <v>1</v>
      </c>
      <c r="V126" s="84">
        <v>3</v>
      </c>
      <c r="W126" s="84">
        <v>3</v>
      </c>
      <c r="X126" s="84">
        <v>1</v>
      </c>
      <c r="Y126" s="84">
        <v>1</v>
      </c>
      <c r="Z126" s="84">
        <v>2</v>
      </c>
      <c r="AA126" s="84">
        <v>2</v>
      </c>
      <c r="AB126" s="84">
        <v>0</v>
      </c>
      <c r="AC126" s="84">
        <v>0</v>
      </c>
      <c r="AD126" s="84">
        <v>0</v>
      </c>
      <c r="AE126" s="84">
        <v>0</v>
      </c>
      <c r="AF126" s="84">
        <v>0</v>
      </c>
      <c r="AG126" s="84">
        <v>0</v>
      </c>
      <c r="AH126" s="84">
        <v>0</v>
      </c>
      <c r="AI126" s="84">
        <v>0</v>
      </c>
    </row>
    <row r="127" spans="1:35" ht="36" customHeight="1" x14ac:dyDescent="0.25">
      <c r="A127" s="155" t="s">
        <v>303</v>
      </c>
      <c r="B127" s="155">
        <v>1701</v>
      </c>
      <c r="C127" s="155" t="s">
        <v>239</v>
      </c>
      <c r="D127" s="159">
        <v>42320</v>
      </c>
      <c r="E127" s="160" t="s">
        <v>568</v>
      </c>
      <c r="F127" s="160" t="s">
        <v>493</v>
      </c>
      <c r="G127" s="161" t="s">
        <v>585</v>
      </c>
      <c r="H127" s="5">
        <v>56102</v>
      </c>
      <c r="I127" s="6">
        <v>0.56065737406866101</v>
      </c>
      <c r="J127" s="7">
        <v>113727</v>
      </c>
      <c r="K127" s="7">
        <v>2295006</v>
      </c>
      <c r="L127" s="6">
        <v>0.62705165986846001</v>
      </c>
      <c r="M127" s="6">
        <v>0.108081097467536</v>
      </c>
      <c r="N127" s="6">
        <v>0.112924825605799</v>
      </c>
      <c r="O127" s="6">
        <v>4.6418506106295498E-2</v>
      </c>
      <c r="P127" s="8">
        <v>0.261874462825886</v>
      </c>
      <c r="Q127" s="84">
        <v>4</v>
      </c>
      <c r="R127" s="84">
        <v>2</v>
      </c>
      <c r="S127" s="84">
        <v>3</v>
      </c>
      <c r="T127" s="84">
        <v>3</v>
      </c>
      <c r="U127" s="84">
        <v>3</v>
      </c>
      <c r="V127" s="84">
        <v>4</v>
      </c>
      <c r="W127" s="84">
        <v>4</v>
      </c>
      <c r="X127" s="84">
        <v>2</v>
      </c>
      <c r="Y127" s="84">
        <v>3</v>
      </c>
      <c r="Z127" s="84">
        <v>4</v>
      </c>
      <c r="AA127" s="84">
        <v>4</v>
      </c>
      <c r="AB127" s="84">
        <v>4</v>
      </c>
      <c r="AC127" s="84">
        <v>4</v>
      </c>
      <c r="AD127" s="84">
        <v>4</v>
      </c>
      <c r="AE127" s="84">
        <v>4</v>
      </c>
      <c r="AF127" s="84">
        <v>4</v>
      </c>
      <c r="AG127" s="84">
        <v>4</v>
      </c>
      <c r="AH127" s="84">
        <v>4</v>
      </c>
      <c r="AI127" s="84">
        <v>4</v>
      </c>
    </row>
    <row r="128" spans="1:35" ht="36" customHeight="1" x14ac:dyDescent="0.25">
      <c r="A128" s="155" t="s">
        <v>295</v>
      </c>
      <c r="B128" s="155">
        <v>927</v>
      </c>
      <c r="C128" s="155" t="s">
        <v>142</v>
      </c>
      <c r="D128" s="159">
        <v>42327</v>
      </c>
      <c r="E128" s="160" t="s">
        <v>545</v>
      </c>
      <c r="F128" s="160" t="s">
        <v>418</v>
      </c>
      <c r="G128" s="161" t="s">
        <v>584</v>
      </c>
      <c r="H128" s="5">
        <v>131996</v>
      </c>
      <c r="I128" s="6">
        <v>0.30216824752265198</v>
      </c>
      <c r="J128" s="7">
        <v>62860</v>
      </c>
      <c r="K128" s="7">
        <v>897605</v>
      </c>
      <c r="L128" s="6">
        <v>0.33576547742936202</v>
      </c>
      <c r="M128" s="6">
        <v>0.29847151040946801</v>
      </c>
      <c r="N128" s="6">
        <v>4.9188650985944903E-2</v>
      </c>
      <c r="O128" s="6">
        <v>0.27134850634496599</v>
      </c>
      <c r="P128" s="8">
        <v>0.259575272259564</v>
      </c>
      <c r="Q128" s="84">
        <v>1</v>
      </c>
      <c r="R128" s="84">
        <v>2</v>
      </c>
      <c r="S128" s="84">
        <v>2</v>
      </c>
      <c r="T128" s="84">
        <v>3</v>
      </c>
      <c r="U128" s="84">
        <v>3</v>
      </c>
      <c r="V128" s="84">
        <v>2</v>
      </c>
      <c r="W128" s="84">
        <v>2</v>
      </c>
      <c r="X128" s="84">
        <v>3</v>
      </c>
      <c r="Y128" s="84">
        <v>2</v>
      </c>
      <c r="Z128" s="84">
        <v>2</v>
      </c>
      <c r="AA128" s="84">
        <v>2</v>
      </c>
      <c r="AB128" s="84">
        <v>2</v>
      </c>
      <c r="AC128" s="84">
        <v>1</v>
      </c>
      <c r="AD128" s="84">
        <v>0</v>
      </c>
      <c r="AE128" s="84">
        <v>2</v>
      </c>
      <c r="AF128" s="84">
        <v>2</v>
      </c>
      <c r="AG128" s="84">
        <v>1</v>
      </c>
      <c r="AH128" s="84">
        <v>1</v>
      </c>
      <c r="AI128" s="84">
        <v>3</v>
      </c>
    </row>
    <row r="129" spans="1:35" ht="36" customHeight="1" x14ac:dyDescent="0.25">
      <c r="A129" s="155" t="s">
        <v>304</v>
      </c>
      <c r="B129" s="155">
        <v>1803</v>
      </c>
      <c r="C129" s="155" t="s">
        <v>249</v>
      </c>
      <c r="D129" s="159">
        <v>42327</v>
      </c>
      <c r="E129" s="160" t="s">
        <v>569</v>
      </c>
      <c r="F129" s="160" t="s">
        <v>501</v>
      </c>
      <c r="G129" s="161" t="s">
        <v>585</v>
      </c>
      <c r="H129" s="5">
        <v>47303</v>
      </c>
      <c r="I129" s="6">
        <v>0.56670824260617703</v>
      </c>
      <c r="J129" s="7">
        <v>112649</v>
      </c>
      <c r="K129" s="7">
        <v>2597742</v>
      </c>
      <c r="L129" s="6">
        <v>0.65559395297004597</v>
      </c>
      <c r="M129" s="6">
        <v>3.4329676079598401E-2</v>
      </c>
      <c r="N129" s="6">
        <v>9.5900714554343694E-2</v>
      </c>
      <c r="O129" s="6">
        <v>3.2596432133688701E-2</v>
      </c>
      <c r="P129" s="8">
        <v>0.299434243013882</v>
      </c>
      <c r="Q129" s="84">
        <v>2</v>
      </c>
      <c r="R129" s="84">
        <v>2</v>
      </c>
      <c r="S129" s="84">
        <v>2</v>
      </c>
      <c r="T129" s="84">
        <v>2</v>
      </c>
      <c r="U129" s="84">
        <v>2</v>
      </c>
      <c r="V129" s="84">
        <v>2</v>
      </c>
      <c r="W129" s="84">
        <v>2</v>
      </c>
      <c r="X129" s="84">
        <v>2</v>
      </c>
      <c r="Y129" s="84">
        <v>2</v>
      </c>
      <c r="Z129" s="84">
        <v>3</v>
      </c>
      <c r="AA129" s="84">
        <v>4</v>
      </c>
      <c r="AB129" s="84">
        <v>3</v>
      </c>
      <c r="AC129" s="84">
        <v>3</v>
      </c>
      <c r="AD129" s="84">
        <v>3</v>
      </c>
      <c r="AE129" s="84">
        <v>2</v>
      </c>
      <c r="AF129" s="84">
        <v>3</v>
      </c>
      <c r="AG129" s="84">
        <v>2</v>
      </c>
      <c r="AH129" s="84">
        <v>2</v>
      </c>
      <c r="AI129" s="84">
        <v>2</v>
      </c>
    </row>
    <row r="130" spans="1:35" ht="36" customHeight="1" x14ac:dyDescent="0.25">
      <c r="A130" s="155" t="s">
        <v>297</v>
      </c>
      <c r="B130" s="155">
        <v>1115</v>
      </c>
      <c r="C130" s="155" t="s">
        <v>181</v>
      </c>
      <c r="D130" s="159">
        <v>42411</v>
      </c>
      <c r="E130" s="160" t="s">
        <v>555</v>
      </c>
      <c r="F130" s="160" t="s">
        <v>449</v>
      </c>
      <c r="G130" s="161" t="s">
        <v>584</v>
      </c>
      <c r="H130" s="5">
        <v>75469</v>
      </c>
      <c r="I130" s="6">
        <v>0.66440525248777604</v>
      </c>
      <c r="J130" s="7">
        <v>137450</v>
      </c>
      <c r="K130" s="7">
        <v>1906279</v>
      </c>
      <c r="L130" s="6">
        <v>0.54534035580815499</v>
      </c>
      <c r="M130" s="6">
        <v>0.179222555860514</v>
      </c>
      <c r="N130" s="6">
        <v>0.53973689418121396</v>
      </c>
      <c r="O130" s="6">
        <v>2.5673896770974002E-2</v>
      </c>
      <c r="P130" s="8">
        <v>0.24240925086253601</v>
      </c>
      <c r="Q130" s="84">
        <v>1</v>
      </c>
      <c r="R130" s="84">
        <v>2</v>
      </c>
      <c r="S130" s="84">
        <v>3</v>
      </c>
      <c r="T130" s="84">
        <v>2</v>
      </c>
      <c r="U130" s="84">
        <v>3</v>
      </c>
      <c r="V130" s="84">
        <v>0</v>
      </c>
      <c r="W130" s="84">
        <v>1</v>
      </c>
      <c r="X130" s="84">
        <v>3</v>
      </c>
      <c r="Y130" s="84">
        <v>3</v>
      </c>
      <c r="Z130" s="84">
        <v>0</v>
      </c>
      <c r="AA130" s="84">
        <v>2</v>
      </c>
      <c r="AB130" s="84">
        <v>2</v>
      </c>
      <c r="AC130" s="84">
        <v>0</v>
      </c>
      <c r="AD130" s="84">
        <v>1</v>
      </c>
      <c r="AE130" s="84">
        <v>0</v>
      </c>
      <c r="AF130" s="84">
        <v>0</v>
      </c>
      <c r="AG130" s="84">
        <v>1</v>
      </c>
      <c r="AH130" s="84">
        <v>0</v>
      </c>
      <c r="AI130" s="84">
        <v>1</v>
      </c>
    </row>
    <row r="131" spans="1:35" ht="36" customHeight="1" x14ac:dyDescent="0.25">
      <c r="A131" s="155" t="s">
        <v>300</v>
      </c>
      <c r="B131" s="155">
        <v>1412</v>
      </c>
      <c r="C131" s="155" t="s">
        <v>224</v>
      </c>
      <c r="D131" s="159">
        <v>42439</v>
      </c>
      <c r="E131" s="160" t="s">
        <v>561</v>
      </c>
      <c r="F131" s="160" t="s">
        <v>482</v>
      </c>
      <c r="G131" s="161" t="s">
        <v>584</v>
      </c>
      <c r="H131" s="5">
        <v>25582</v>
      </c>
      <c r="I131" s="6">
        <v>0.37499022750371402</v>
      </c>
      <c r="J131" s="7">
        <v>80542</v>
      </c>
      <c r="K131" s="7">
        <v>933080</v>
      </c>
      <c r="L131" s="6">
        <v>0.32575463979675301</v>
      </c>
      <c r="M131" s="6">
        <v>9.1166578155425698E-2</v>
      </c>
      <c r="N131" s="6">
        <v>9.3320351684663905E-2</v>
      </c>
      <c r="O131" s="6">
        <v>4.1747801970850297E-2</v>
      </c>
      <c r="P131" s="8">
        <v>0.24719714403729301</v>
      </c>
      <c r="Q131" s="84">
        <v>1</v>
      </c>
      <c r="R131" s="84">
        <v>0</v>
      </c>
      <c r="S131" s="84">
        <v>0</v>
      </c>
      <c r="T131" s="84">
        <v>0</v>
      </c>
      <c r="U131" s="84">
        <v>0</v>
      </c>
      <c r="V131" s="84">
        <v>1</v>
      </c>
      <c r="W131" s="84">
        <v>2</v>
      </c>
      <c r="X131" s="84">
        <v>0</v>
      </c>
      <c r="Y131" s="84">
        <v>0</v>
      </c>
      <c r="Z131" s="84">
        <v>1</v>
      </c>
      <c r="AA131" s="84">
        <v>0</v>
      </c>
      <c r="AB131" s="84">
        <v>0</v>
      </c>
      <c r="AC131" s="84">
        <v>2</v>
      </c>
      <c r="AD131" s="84">
        <v>1</v>
      </c>
      <c r="AE131" s="84">
        <v>0</v>
      </c>
      <c r="AF131" s="84">
        <v>0</v>
      </c>
      <c r="AG131" s="84">
        <v>0</v>
      </c>
      <c r="AH131" s="84">
        <v>1</v>
      </c>
      <c r="AI131" s="84">
        <v>0</v>
      </c>
    </row>
    <row r="132" spans="1:35" ht="36" customHeight="1" x14ac:dyDescent="0.25">
      <c r="A132" s="155" t="s">
        <v>288</v>
      </c>
      <c r="B132" s="155">
        <v>215</v>
      </c>
      <c r="C132" s="155" t="s">
        <v>41</v>
      </c>
      <c r="D132" s="159">
        <v>42502</v>
      </c>
      <c r="E132" s="160" t="s">
        <v>521</v>
      </c>
      <c r="F132" s="160" t="s">
        <v>328</v>
      </c>
      <c r="G132" s="161" t="s">
        <v>585</v>
      </c>
      <c r="H132" s="5">
        <v>35526</v>
      </c>
      <c r="I132" s="6">
        <v>0.64378201880313002</v>
      </c>
      <c r="J132" s="7">
        <v>123099</v>
      </c>
      <c r="K132" s="7">
        <v>1921243</v>
      </c>
      <c r="L132" s="6">
        <v>0.53506431833736001</v>
      </c>
      <c r="M132" s="6">
        <v>0.19543825058254199</v>
      </c>
      <c r="N132" s="6">
        <v>0.13950528768596501</v>
      </c>
      <c r="O132" s="6">
        <v>0.12570353109876301</v>
      </c>
      <c r="P132" s="8">
        <v>0.19761606022584699</v>
      </c>
      <c r="Q132" s="84" t="s">
        <v>772</v>
      </c>
      <c r="R132" s="84" t="s">
        <v>772</v>
      </c>
      <c r="S132" s="84" t="s">
        <v>772</v>
      </c>
      <c r="T132" s="84" t="s">
        <v>772</v>
      </c>
      <c r="U132" s="84" t="s">
        <v>772</v>
      </c>
      <c r="V132" s="84" t="s">
        <v>772</v>
      </c>
      <c r="W132" s="84">
        <v>0</v>
      </c>
      <c r="X132" s="84" t="s">
        <v>772</v>
      </c>
      <c r="Y132" s="84" t="s">
        <v>772</v>
      </c>
      <c r="Z132" s="84">
        <v>2</v>
      </c>
      <c r="AA132" s="84">
        <v>1</v>
      </c>
      <c r="AB132" s="84">
        <v>1</v>
      </c>
      <c r="AC132" s="84">
        <v>1</v>
      </c>
      <c r="AD132" s="84">
        <v>0</v>
      </c>
      <c r="AE132" s="84">
        <v>0</v>
      </c>
      <c r="AF132" s="84">
        <v>1</v>
      </c>
      <c r="AG132" s="84">
        <v>1</v>
      </c>
      <c r="AH132" s="84">
        <v>1</v>
      </c>
      <c r="AI132" s="84">
        <v>1</v>
      </c>
    </row>
    <row r="133" spans="1:35" ht="36" customHeight="1" x14ac:dyDescent="0.25">
      <c r="A133" s="155" t="s">
        <v>303</v>
      </c>
      <c r="B133" s="155">
        <v>1702</v>
      </c>
      <c r="C133" s="155" t="s">
        <v>240</v>
      </c>
      <c r="D133" s="159">
        <v>42502</v>
      </c>
      <c r="E133" s="160" t="s">
        <v>568</v>
      </c>
      <c r="F133" s="160" t="s">
        <v>494</v>
      </c>
      <c r="G133" s="161" t="s">
        <v>584</v>
      </c>
      <c r="H133" s="5">
        <v>363647</v>
      </c>
      <c r="I133" s="6">
        <v>0.46079577172367697</v>
      </c>
      <c r="J133" s="7">
        <v>89166</v>
      </c>
      <c r="K133" s="7">
        <v>704587</v>
      </c>
      <c r="L133" s="6">
        <v>0.57750438620851896</v>
      </c>
      <c r="M133" s="6">
        <v>0.184550055301229</v>
      </c>
      <c r="N133" s="6">
        <v>0.13841595864766601</v>
      </c>
      <c r="O133" s="6">
        <v>9.3579248199435194E-2</v>
      </c>
      <c r="P133" s="8">
        <v>0.192311591388272</v>
      </c>
      <c r="Q133" s="84">
        <v>1</v>
      </c>
      <c r="R133" s="84">
        <v>2</v>
      </c>
      <c r="S133" s="84">
        <v>1</v>
      </c>
      <c r="T133" s="84">
        <v>2</v>
      </c>
      <c r="U133" s="84">
        <v>3</v>
      </c>
      <c r="V133" s="84">
        <v>2</v>
      </c>
      <c r="W133" s="84">
        <v>3</v>
      </c>
      <c r="X133" s="84">
        <v>3</v>
      </c>
      <c r="Y133" s="84">
        <v>2</v>
      </c>
      <c r="Z133" s="84">
        <v>3</v>
      </c>
      <c r="AA133" s="84">
        <v>2</v>
      </c>
      <c r="AB133" s="84">
        <v>2</v>
      </c>
      <c r="AC133" s="84">
        <v>1</v>
      </c>
      <c r="AD133" s="84">
        <v>1</v>
      </c>
      <c r="AE133" s="84">
        <v>4</v>
      </c>
      <c r="AF133" s="84">
        <v>3</v>
      </c>
      <c r="AG133" s="84">
        <v>3</v>
      </c>
      <c r="AH133" s="84">
        <v>3</v>
      </c>
      <c r="AI133" s="84">
        <v>3</v>
      </c>
    </row>
    <row r="134" spans="1:35" ht="36" customHeight="1" x14ac:dyDescent="0.25">
      <c r="A134" s="155" t="s">
        <v>302</v>
      </c>
      <c r="B134" s="155">
        <v>1606</v>
      </c>
      <c r="C134" s="155" t="s">
        <v>235</v>
      </c>
      <c r="D134" s="159">
        <v>42509</v>
      </c>
      <c r="E134" s="160" t="s">
        <v>567</v>
      </c>
      <c r="F134" s="160" t="s">
        <v>490</v>
      </c>
      <c r="G134" s="161" t="s">
        <v>583</v>
      </c>
      <c r="H134" s="5">
        <v>47856</v>
      </c>
      <c r="I134" s="6">
        <v>0.53575309261116699</v>
      </c>
      <c r="J134" s="7">
        <v>106882</v>
      </c>
      <c r="K134" s="7">
        <v>2103706</v>
      </c>
      <c r="L134" s="6">
        <v>0.60033547342240701</v>
      </c>
      <c r="M134" s="6">
        <v>5.1386179771688002E-2</v>
      </c>
      <c r="N134" s="6">
        <v>7.0923800083138797E-2</v>
      </c>
      <c r="O134" s="6">
        <v>5.5335273238896199E-2</v>
      </c>
      <c r="P134" s="8">
        <v>0.28208038883381797</v>
      </c>
      <c r="Q134" s="84">
        <v>2</v>
      </c>
      <c r="R134" s="84">
        <v>1</v>
      </c>
      <c r="S134" s="84">
        <v>0</v>
      </c>
      <c r="T134" s="84">
        <v>1</v>
      </c>
      <c r="U134" s="84">
        <v>0</v>
      </c>
      <c r="V134" s="84">
        <v>4</v>
      </c>
      <c r="W134" s="84">
        <v>2</v>
      </c>
      <c r="X134" s="84">
        <v>2</v>
      </c>
      <c r="Y134" s="84">
        <v>1</v>
      </c>
      <c r="Z134" s="84">
        <v>4</v>
      </c>
      <c r="AA134" s="84">
        <v>4</v>
      </c>
      <c r="AB134" s="84">
        <v>2</v>
      </c>
      <c r="AC134" s="84">
        <v>4</v>
      </c>
      <c r="AD134" s="84">
        <v>2</v>
      </c>
      <c r="AE134" s="84">
        <v>3</v>
      </c>
      <c r="AF134" s="84">
        <v>4</v>
      </c>
      <c r="AG134" s="84">
        <v>3</v>
      </c>
      <c r="AH134" s="84">
        <v>4</v>
      </c>
      <c r="AI134" s="84">
        <v>1</v>
      </c>
    </row>
    <row r="135" spans="1:35" ht="36" customHeight="1" x14ac:dyDescent="0.25">
      <c r="A135" s="155" t="s">
        <v>301</v>
      </c>
      <c r="B135" s="155">
        <v>1504</v>
      </c>
      <c r="C135" s="155" t="s">
        <v>229</v>
      </c>
      <c r="D135" s="159">
        <v>42543</v>
      </c>
      <c r="E135" s="160" t="s">
        <v>565</v>
      </c>
      <c r="F135" s="160" t="s">
        <v>485</v>
      </c>
      <c r="G135" s="161" t="s">
        <v>583</v>
      </c>
      <c r="H135" s="5">
        <v>105723</v>
      </c>
      <c r="I135" s="6">
        <v>0.28662637269090002</v>
      </c>
      <c r="J135" s="7">
        <v>57304</v>
      </c>
      <c r="K135" s="7">
        <v>858847</v>
      </c>
      <c r="L135" s="6">
        <v>0.35277226376614501</v>
      </c>
      <c r="M135" s="6">
        <v>0.36310656473313202</v>
      </c>
      <c r="N135" s="6">
        <v>6.2969900313173802E-2</v>
      </c>
      <c r="O135" s="6">
        <v>0.14585854673960399</v>
      </c>
      <c r="P135" s="8">
        <v>0.23525644128829501</v>
      </c>
      <c r="Q135" s="84">
        <v>1</v>
      </c>
      <c r="R135" s="84">
        <v>1</v>
      </c>
      <c r="S135" s="84">
        <v>0</v>
      </c>
      <c r="T135" s="84">
        <v>0</v>
      </c>
      <c r="U135" s="84">
        <v>1</v>
      </c>
      <c r="V135" s="84">
        <v>1</v>
      </c>
      <c r="W135" s="84">
        <v>2</v>
      </c>
      <c r="X135" s="84">
        <v>2</v>
      </c>
      <c r="Y135" s="84">
        <v>1</v>
      </c>
      <c r="Z135" s="84">
        <v>1</v>
      </c>
      <c r="AA135" s="84">
        <v>2</v>
      </c>
      <c r="AB135" s="84">
        <v>1</v>
      </c>
      <c r="AC135" s="84">
        <v>1</v>
      </c>
      <c r="AD135" s="84">
        <v>1</v>
      </c>
      <c r="AE135" s="84">
        <v>2</v>
      </c>
      <c r="AF135" s="84">
        <v>1</v>
      </c>
      <c r="AG135" s="84">
        <v>1</v>
      </c>
      <c r="AH135" s="84">
        <v>2</v>
      </c>
      <c r="AI135" s="84">
        <v>1</v>
      </c>
    </row>
    <row r="136" spans="1:35" ht="36" customHeight="1" x14ac:dyDescent="0.25">
      <c r="A136" s="155" t="s">
        <v>288</v>
      </c>
      <c r="B136" s="155">
        <v>217</v>
      </c>
      <c r="C136" s="155" t="s">
        <v>43</v>
      </c>
      <c r="D136" s="159">
        <v>42565</v>
      </c>
      <c r="E136" s="160" t="s">
        <v>523</v>
      </c>
      <c r="F136" s="160" t="s">
        <v>330</v>
      </c>
      <c r="G136" s="161" t="s">
        <v>584</v>
      </c>
      <c r="H136" s="5">
        <v>58061</v>
      </c>
      <c r="I136" s="6">
        <v>0.27291986014708702</v>
      </c>
      <c r="J136" s="7">
        <v>63063</v>
      </c>
      <c r="K136" s="7">
        <v>732110</v>
      </c>
      <c r="L136" s="6">
        <v>0.35218382186091002</v>
      </c>
      <c r="M136" s="6">
        <v>0.11159094948750201</v>
      </c>
      <c r="N136" s="6">
        <v>5.0486165513518498E-2</v>
      </c>
      <c r="O136" s="6">
        <v>0.29694607743099199</v>
      </c>
      <c r="P136" s="8">
        <v>0.22218784355806001</v>
      </c>
      <c r="Q136" s="84" t="s">
        <v>772</v>
      </c>
      <c r="R136" s="84" t="s">
        <v>772</v>
      </c>
      <c r="S136" s="84" t="s">
        <v>772</v>
      </c>
      <c r="T136" s="84" t="s">
        <v>772</v>
      </c>
      <c r="U136" s="84" t="s">
        <v>772</v>
      </c>
      <c r="V136" s="84" t="s">
        <v>772</v>
      </c>
      <c r="W136" s="84">
        <v>2</v>
      </c>
      <c r="X136" s="84" t="s">
        <v>772</v>
      </c>
      <c r="Y136" s="84" t="s">
        <v>772</v>
      </c>
      <c r="Z136" s="84">
        <v>2</v>
      </c>
      <c r="AA136" s="84">
        <v>0</v>
      </c>
      <c r="AB136" s="84">
        <v>0</v>
      </c>
      <c r="AC136" s="84">
        <v>2</v>
      </c>
      <c r="AD136" s="84">
        <v>0</v>
      </c>
      <c r="AE136" s="84">
        <v>2</v>
      </c>
      <c r="AF136" s="84">
        <v>2</v>
      </c>
      <c r="AG136" s="84">
        <v>0</v>
      </c>
      <c r="AH136" s="84">
        <v>1</v>
      </c>
      <c r="AI136" s="84">
        <v>0</v>
      </c>
    </row>
    <row r="137" spans="1:35" ht="36" customHeight="1" x14ac:dyDescent="0.25">
      <c r="A137" s="155" t="s">
        <v>295</v>
      </c>
      <c r="B137" s="155">
        <v>928</v>
      </c>
      <c r="C137" s="155" t="s">
        <v>143</v>
      </c>
      <c r="D137" s="159">
        <v>42581</v>
      </c>
      <c r="E137" s="160" t="s">
        <v>543</v>
      </c>
      <c r="F137" s="160" t="s">
        <v>419</v>
      </c>
      <c r="G137" s="161" t="s">
        <v>584</v>
      </c>
      <c r="H137" s="5">
        <v>81740</v>
      </c>
      <c r="I137" s="6">
        <v>0.24110594568142901</v>
      </c>
      <c r="J137" s="7">
        <v>59842</v>
      </c>
      <c r="K137" s="7">
        <v>537330</v>
      </c>
      <c r="L137" s="6">
        <v>0.30442595232569702</v>
      </c>
      <c r="M137" s="6">
        <v>0.27982730112070497</v>
      </c>
      <c r="N137" s="6">
        <v>4.02994672055852E-2</v>
      </c>
      <c r="O137" s="6">
        <v>0.19626584604078601</v>
      </c>
      <c r="P137" s="8">
        <v>0.23500826749954101</v>
      </c>
      <c r="Q137" s="84">
        <v>1</v>
      </c>
      <c r="R137" s="84">
        <v>2</v>
      </c>
      <c r="S137" s="84">
        <v>2</v>
      </c>
      <c r="T137" s="84">
        <v>2</v>
      </c>
      <c r="U137" s="84">
        <v>2</v>
      </c>
      <c r="V137" s="84">
        <v>2</v>
      </c>
      <c r="W137" s="84">
        <v>3</v>
      </c>
      <c r="X137" s="84">
        <v>3</v>
      </c>
      <c r="Y137" s="84">
        <v>2</v>
      </c>
      <c r="Z137" s="84">
        <v>2</v>
      </c>
      <c r="AA137" s="84">
        <v>1</v>
      </c>
      <c r="AB137" s="84">
        <v>1</v>
      </c>
      <c r="AC137" s="84">
        <v>1</v>
      </c>
      <c r="AD137" s="84">
        <v>0</v>
      </c>
      <c r="AE137" s="84">
        <v>2</v>
      </c>
      <c r="AF137" s="84">
        <v>1</v>
      </c>
      <c r="AG137" s="84">
        <v>0</v>
      </c>
      <c r="AH137" s="84">
        <v>1</v>
      </c>
      <c r="AI137" s="84">
        <v>1</v>
      </c>
    </row>
    <row r="138" spans="1:35" ht="36" customHeight="1" x14ac:dyDescent="0.25">
      <c r="A138" s="155" t="s">
        <v>288</v>
      </c>
      <c r="B138" s="155">
        <v>218</v>
      </c>
      <c r="C138" s="155" t="s">
        <v>44</v>
      </c>
      <c r="D138" s="159">
        <v>42593</v>
      </c>
      <c r="E138" s="160" t="s">
        <v>521</v>
      </c>
      <c r="F138" s="160" t="s">
        <v>331</v>
      </c>
      <c r="G138" s="161" t="s">
        <v>584</v>
      </c>
      <c r="H138" s="5">
        <v>32062</v>
      </c>
      <c r="I138" s="6">
        <v>0.66181149023766495</v>
      </c>
      <c r="J138" s="7">
        <v>148736</v>
      </c>
      <c r="K138" s="7">
        <v>2109334</v>
      </c>
      <c r="L138" s="6">
        <v>0.61953017804301502</v>
      </c>
      <c r="M138" s="6">
        <v>0.161576147078965</v>
      </c>
      <c r="N138" s="6">
        <v>0.14078912711373301</v>
      </c>
      <c r="O138" s="6">
        <v>9.4157930780171706E-2</v>
      </c>
      <c r="P138" s="8">
        <v>0.21231628299004399</v>
      </c>
      <c r="Q138" s="84" t="s">
        <v>772</v>
      </c>
      <c r="R138" s="84" t="s">
        <v>772</v>
      </c>
      <c r="S138" s="84" t="s">
        <v>772</v>
      </c>
      <c r="T138" s="84" t="s">
        <v>772</v>
      </c>
      <c r="U138" s="84" t="s">
        <v>772</v>
      </c>
      <c r="V138" s="84" t="s">
        <v>772</v>
      </c>
      <c r="W138" s="84">
        <v>0</v>
      </c>
      <c r="X138" s="84" t="s">
        <v>772</v>
      </c>
      <c r="Y138" s="84" t="s">
        <v>772</v>
      </c>
      <c r="Z138" s="84">
        <v>3</v>
      </c>
      <c r="AA138" s="84">
        <v>3</v>
      </c>
      <c r="AB138" s="84">
        <v>2</v>
      </c>
      <c r="AC138" s="84">
        <v>2</v>
      </c>
      <c r="AD138" s="84">
        <v>1</v>
      </c>
      <c r="AE138" s="84">
        <v>1</v>
      </c>
      <c r="AF138" s="84">
        <v>2</v>
      </c>
      <c r="AG138" s="84">
        <v>2</v>
      </c>
      <c r="AH138" s="84">
        <v>2</v>
      </c>
      <c r="AI138" s="84">
        <v>1</v>
      </c>
    </row>
    <row r="139" spans="1:35" ht="36" customHeight="1" x14ac:dyDescent="0.25">
      <c r="A139" s="155" t="s">
        <v>297</v>
      </c>
      <c r="B139" s="155">
        <v>1116</v>
      </c>
      <c r="C139" s="155" t="s">
        <v>182</v>
      </c>
      <c r="D139" s="159">
        <v>42641</v>
      </c>
      <c r="E139" s="160" t="s">
        <v>553</v>
      </c>
      <c r="F139" s="160" t="s">
        <v>450</v>
      </c>
      <c r="G139" s="161" t="s">
        <v>584</v>
      </c>
      <c r="H139" s="5">
        <v>136560</v>
      </c>
      <c r="I139" s="6">
        <v>0.439916520210896</v>
      </c>
      <c r="J139" s="7">
        <v>86390</v>
      </c>
      <c r="K139" s="7">
        <v>1286108</v>
      </c>
      <c r="L139" s="6">
        <v>0.40472230983169399</v>
      </c>
      <c r="M139" s="6">
        <v>0.34271367537698399</v>
      </c>
      <c r="N139" s="6">
        <v>0.13790274710017</v>
      </c>
      <c r="O139" s="6">
        <v>4.0542847170738999E-2</v>
      </c>
      <c r="P139" s="8">
        <v>0.249972613069807</v>
      </c>
      <c r="Q139" s="84">
        <v>1</v>
      </c>
      <c r="R139" s="84">
        <v>2</v>
      </c>
      <c r="S139" s="84">
        <v>4</v>
      </c>
      <c r="T139" s="84">
        <v>0</v>
      </c>
      <c r="U139" s="84">
        <v>2</v>
      </c>
      <c r="V139" s="84">
        <v>0</v>
      </c>
      <c r="W139" s="84">
        <v>1</v>
      </c>
      <c r="X139" s="84">
        <v>1</v>
      </c>
      <c r="Y139" s="84">
        <v>2</v>
      </c>
      <c r="Z139" s="84">
        <v>0</v>
      </c>
      <c r="AA139" s="84">
        <v>1</v>
      </c>
      <c r="AB139" s="84">
        <v>2</v>
      </c>
      <c r="AC139" s="84">
        <v>0</v>
      </c>
      <c r="AD139" s="84">
        <v>2</v>
      </c>
      <c r="AE139" s="84">
        <v>0</v>
      </c>
      <c r="AF139" s="84">
        <v>0</v>
      </c>
      <c r="AG139" s="84">
        <v>1</v>
      </c>
      <c r="AH139" s="84">
        <v>0</v>
      </c>
      <c r="AI139" s="84">
        <v>3</v>
      </c>
    </row>
    <row r="140" spans="1:35" ht="36" customHeight="1" x14ac:dyDescent="0.25">
      <c r="A140" s="155" t="s">
        <v>307</v>
      </c>
      <c r="B140" s="155">
        <v>2101</v>
      </c>
      <c r="C140" s="155" t="s">
        <v>257</v>
      </c>
      <c r="D140" s="159">
        <v>42649</v>
      </c>
      <c r="E140" s="160" t="s">
        <v>574</v>
      </c>
      <c r="F140" s="160" t="s">
        <v>507</v>
      </c>
      <c r="G140" s="161" t="s">
        <v>585</v>
      </c>
      <c r="H140" s="5">
        <v>52455</v>
      </c>
      <c r="I140" s="6">
        <v>0.43620245925078599</v>
      </c>
      <c r="J140" s="7">
        <v>86768</v>
      </c>
      <c r="K140" s="7">
        <v>1696098</v>
      </c>
      <c r="L140" s="6">
        <v>0.59222893958783795</v>
      </c>
      <c r="M140" s="6">
        <v>5.4111648684698602E-2</v>
      </c>
      <c r="N140" s="6">
        <v>6.5303351986172195E-2</v>
      </c>
      <c r="O140" s="6">
        <v>9.7828746418733903E-2</v>
      </c>
      <c r="P140" s="8">
        <v>0.26414156162934799</v>
      </c>
      <c r="Q140" s="84">
        <v>3</v>
      </c>
      <c r="R140" s="84">
        <v>0</v>
      </c>
      <c r="S140" s="84">
        <v>0</v>
      </c>
      <c r="T140" s="84">
        <v>0</v>
      </c>
      <c r="U140" s="84">
        <v>0</v>
      </c>
      <c r="V140" s="84">
        <v>1</v>
      </c>
      <c r="W140" s="84">
        <v>2</v>
      </c>
      <c r="X140" s="84">
        <v>0</v>
      </c>
      <c r="Y140" s="84">
        <v>0</v>
      </c>
      <c r="Z140" s="84">
        <v>3</v>
      </c>
      <c r="AA140" s="84">
        <v>2</v>
      </c>
      <c r="AB140" s="84">
        <v>2</v>
      </c>
      <c r="AC140" s="84">
        <v>3</v>
      </c>
      <c r="AD140" s="84">
        <v>3</v>
      </c>
      <c r="AE140" s="84">
        <v>2</v>
      </c>
      <c r="AF140" s="84">
        <v>3</v>
      </c>
      <c r="AG140" s="84">
        <v>3</v>
      </c>
      <c r="AH140" s="84">
        <v>3</v>
      </c>
      <c r="AI140" s="84">
        <v>1</v>
      </c>
    </row>
    <row r="141" spans="1:35" ht="36" customHeight="1" x14ac:dyDescent="0.25">
      <c r="A141" s="155" t="s">
        <v>300</v>
      </c>
      <c r="B141" s="155">
        <v>1411</v>
      </c>
      <c r="C141" s="155" t="s">
        <v>223</v>
      </c>
      <c r="D141" s="159">
        <v>42656</v>
      </c>
      <c r="E141" s="160" t="s">
        <v>561</v>
      </c>
      <c r="F141" s="160" t="s">
        <v>481</v>
      </c>
      <c r="G141" s="161" t="s">
        <v>585</v>
      </c>
      <c r="H141" s="5">
        <v>240985</v>
      </c>
      <c r="I141" s="6">
        <v>0.52573811648027902</v>
      </c>
      <c r="J141" s="7">
        <v>105629</v>
      </c>
      <c r="K141" s="7">
        <v>1070031</v>
      </c>
      <c r="L141" s="6">
        <v>0.72614000707503501</v>
      </c>
      <c r="M141" s="6">
        <v>6.8898107489252305E-2</v>
      </c>
      <c r="N141" s="6">
        <v>0.15305225439430001</v>
      </c>
      <c r="O141" s="6">
        <v>6.4781132659938304E-2</v>
      </c>
      <c r="P141" s="8">
        <v>0.21493455119323199</v>
      </c>
      <c r="Q141" s="84">
        <v>3</v>
      </c>
      <c r="R141" s="84">
        <v>1</v>
      </c>
      <c r="S141" s="84">
        <v>2</v>
      </c>
      <c r="T141" s="84">
        <v>0</v>
      </c>
      <c r="U141" s="84">
        <v>1</v>
      </c>
      <c r="V141" s="84">
        <v>2</v>
      </c>
      <c r="W141" s="84">
        <v>3</v>
      </c>
      <c r="X141" s="84">
        <v>1</v>
      </c>
      <c r="Y141" s="84">
        <v>1</v>
      </c>
      <c r="Z141" s="84">
        <v>0</v>
      </c>
      <c r="AA141" s="84">
        <v>1</v>
      </c>
      <c r="AB141" s="84">
        <v>1</v>
      </c>
      <c r="AC141" s="84">
        <v>1</v>
      </c>
      <c r="AD141" s="84">
        <v>2</v>
      </c>
      <c r="AE141" s="84">
        <v>3</v>
      </c>
      <c r="AF141" s="84">
        <v>1</v>
      </c>
      <c r="AG141" s="84">
        <v>2</v>
      </c>
      <c r="AH141" s="84">
        <v>2</v>
      </c>
      <c r="AI141" s="84">
        <v>3</v>
      </c>
    </row>
    <row r="142" spans="1:35" ht="36" customHeight="1" x14ac:dyDescent="0.25">
      <c r="A142" s="155" t="s">
        <v>288</v>
      </c>
      <c r="B142" s="155">
        <v>216</v>
      </c>
      <c r="C142" s="155" t="s">
        <v>42</v>
      </c>
      <c r="D142" s="159">
        <v>42664</v>
      </c>
      <c r="E142" s="160" t="s">
        <v>521</v>
      </c>
      <c r="F142" s="160" t="s">
        <v>329</v>
      </c>
      <c r="G142" s="161" t="s">
        <v>583</v>
      </c>
      <c r="H142" s="5">
        <v>278444</v>
      </c>
      <c r="I142" s="6">
        <v>0.56119004180373799</v>
      </c>
      <c r="J142" s="7">
        <v>112914</v>
      </c>
      <c r="K142" s="7">
        <v>1460771</v>
      </c>
      <c r="L142" s="6">
        <v>0.72380014180292895</v>
      </c>
      <c r="M142" s="6">
        <v>0.17795394879530699</v>
      </c>
      <c r="N142" s="6">
        <v>0.11122890614631099</v>
      </c>
      <c r="O142" s="6">
        <v>0.104278819229761</v>
      </c>
      <c r="P142" s="8">
        <v>0.21131242372546699</v>
      </c>
      <c r="Q142" s="84" t="s">
        <v>772</v>
      </c>
      <c r="R142" s="84" t="s">
        <v>772</v>
      </c>
      <c r="S142" s="84" t="s">
        <v>772</v>
      </c>
      <c r="T142" s="84" t="s">
        <v>772</v>
      </c>
      <c r="U142" s="84" t="s">
        <v>772</v>
      </c>
      <c r="V142" s="84" t="s">
        <v>772</v>
      </c>
      <c r="W142" s="84">
        <v>0</v>
      </c>
      <c r="X142" s="84" t="s">
        <v>772</v>
      </c>
      <c r="Y142" s="84" t="s">
        <v>772</v>
      </c>
      <c r="Z142" s="84">
        <v>2</v>
      </c>
      <c r="AA142" s="84">
        <v>1</v>
      </c>
      <c r="AB142" s="84">
        <v>1</v>
      </c>
      <c r="AC142" s="84">
        <v>1</v>
      </c>
      <c r="AD142" s="84">
        <v>1</v>
      </c>
      <c r="AE142" s="84">
        <v>2</v>
      </c>
      <c r="AF142" s="84">
        <v>2</v>
      </c>
      <c r="AG142" s="84">
        <v>2</v>
      </c>
      <c r="AH142" s="84">
        <v>3</v>
      </c>
      <c r="AI142" s="84">
        <v>3</v>
      </c>
    </row>
    <row r="143" spans="1:35" ht="36" customHeight="1" x14ac:dyDescent="0.25">
      <c r="A143" s="155" t="s">
        <v>291</v>
      </c>
      <c r="B143" s="155">
        <v>512</v>
      </c>
      <c r="C143" s="155" t="s">
        <v>67</v>
      </c>
      <c r="D143" s="159">
        <v>42670</v>
      </c>
      <c r="E143" s="160" t="s">
        <v>532</v>
      </c>
      <c r="F143" s="160" t="s">
        <v>349</v>
      </c>
      <c r="G143" s="161" t="s">
        <v>584</v>
      </c>
      <c r="H143" s="5">
        <v>106276</v>
      </c>
      <c r="I143" s="6">
        <v>0.31435131167902403</v>
      </c>
      <c r="J143" s="7">
        <v>68377</v>
      </c>
      <c r="K143" s="7">
        <v>960399</v>
      </c>
      <c r="L143" s="6">
        <v>0.33734910112746602</v>
      </c>
      <c r="M143" s="6">
        <v>0.34739159276702097</v>
      </c>
      <c r="N143" s="6">
        <v>0.121969894488797</v>
      </c>
      <c r="O143" s="6">
        <v>0.17626014435595899</v>
      </c>
      <c r="P143" s="8">
        <v>0.23267249943069501</v>
      </c>
      <c r="Q143" s="84">
        <v>2</v>
      </c>
      <c r="R143" s="84">
        <v>4</v>
      </c>
      <c r="S143" s="84">
        <v>2</v>
      </c>
      <c r="T143" s="84">
        <v>3</v>
      </c>
      <c r="U143" s="84">
        <v>2</v>
      </c>
      <c r="V143" s="84">
        <v>3</v>
      </c>
      <c r="W143" s="84">
        <v>2</v>
      </c>
      <c r="X143" s="84">
        <v>4</v>
      </c>
      <c r="Y143" s="84">
        <v>4</v>
      </c>
      <c r="Z143" s="84">
        <v>2</v>
      </c>
      <c r="AA143" s="84">
        <v>1</v>
      </c>
      <c r="AB143" s="84">
        <v>1</v>
      </c>
      <c r="AC143" s="84">
        <v>0</v>
      </c>
      <c r="AD143" s="84">
        <v>1</v>
      </c>
      <c r="AE143" s="84">
        <v>1</v>
      </c>
      <c r="AF143" s="84">
        <v>0</v>
      </c>
      <c r="AG143" s="84">
        <v>0</v>
      </c>
      <c r="AH143" s="84">
        <v>0</v>
      </c>
      <c r="AI143" s="84">
        <v>1</v>
      </c>
    </row>
    <row r="144" spans="1:35" ht="36" customHeight="1" x14ac:dyDescent="0.25">
      <c r="A144" s="155" t="s">
        <v>298</v>
      </c>
      <c r="B144" s="155">
        <v>1205</v>
      </c>
      <c r="C144" s="155" t="s">
        <v>209</v>
      </c>
      <c r="D144" s="159">
        <v>42670</v>
      </c>
      <c r="E144" s="160" t="s">
        <v>558</v>
      </c>
      <c r="F144" s="160" t="s">
        <v>467</v>
      </c>
      <c r="G144" s="161" t="s">
        <v>584</v>
      </c>
      <c r="H144" s="5">
        <v>144212</v>
      </c>
      <c r="I144" s="6">
        <v>0.24442487449033401</v>
      </c>
      <c r="J144" s="7">
        <v>57086</v>
      </c>
      <c r="K144" s="7">
        <v>483096</v>
      </c>
      <c r="L144" s="6">
        <v>0.26729619286536999</v>
      </c>
      <c r="M144" s="6">
        <v>0.29301472144984397</v>
      </c>
      <c r="N144" s="6">
        <v>0.148860252085421</v>
      </c>
      <c r="O144" s="6">
        <v>0.121684145153778</v>
      </c>
      <c r="P144" s="8">
        <v>0.23224039859419299</v>
      </c>
      <c r="Q144" s="84">
        <v>3</v>
      </c>
      <c r="R144" s="84">
        <v>3</v>
      </c>
      <c r="S144" s="84">
        <v>4</v>
      </c>
      <c r="T144" s="84">
        <v>1</v>
      </c>
      <c r="U144" s="84">
        <v>3</v>
      </c>
      <c r="V144" s="84">
        <v>2</v>
      </c>
      <c r="W144" s="84">
        <v>3</v>
      </c>
      <c r="X144" s="84">
        <v>3</v>
      </c>
      <c r="Y144" s="84">
        <v>4</v>
      </c>
      <c r="Z144" s="84">
        <v>0</v>
      </c>
      <c r="AA144" s="84">
        <v>1</v>
      </c>
      <c r="AB144" s="84">
        <v>3</v>
      </c>
      <c r="AC144" s="84">
        <v>0</v>
      </c>
      <c r="AD144" s="84">
        <v>2</v>
      </c>
      <c r="AE144" s="84">
        <v>3</v>
      </c>
      <c r="AF144" s="84">
        <v>1</v>
      </c>
      <c r="AG144" s="84">
        <v>2</v>
      </c>
      <c r="AH144" s="84">
        <v>1</v>
      </c>
      <c r="AI144" s="84">
        <v>4</v>
      </c>
    </row>
    <row r="145" spans="1:35" ht="36" customHeight="1" x14ac:dyDescent="0.25">
      <c r="A145" s="155" t="s">
        <v>297</v>
      </c>
      <c r="B145" s="155">
        <v>1118</v>
      </c>
      <c r="C145" s="155" t="s">
        <v>184</v>
      </c>
      <c r="D145" s="159">
        <v>42670</v>
      </c>
      <c r="E145" s="160" t="s">
        <v>555</v>
      </c>
      <c r="F145" s="160" t="s">
        <v>452</v>
      </c>
      <c r="G145" s="161" t="s">
        <v>583</v>
      </c>
      <c r="H145" s="5">
        <v>109664</v>
      </c>
      <c r="I145" s="6">
        <v>0.55273380507732695</v>
      </c>
      <c r="J145" s="7">
        <v>110951</v>
      </c>
      <c r="K145" s="7">
        <v>2014020</v>
      </c>
      <c r="L145" s="6">
        <v>0.54536895493981496</v>
      </c>
      <c r="M145" s="6">
        <v>0.21189231853002</v>
      </c>
      <c r="N145" s="6">
        <v>0.15537761910206399</v>
      </c>
      <c r="O145" s="6">
        <v>2.7211737413003999E-2</v>
      </c>
      <c r="P145" s="8">
        <v>0.26735218508997399</v>
      </c>
      <c r="Q145" s="84">
        <v>4</v>
      </c>
      <c r="R145" s="84">
        <v>3</v>
      </c>
      <c r="S145" s="84">
        <v>4</v>
      </c>
      <c r="T145" s="84">
        <v>2</v>
      </c>
      <c r="U145" s="84">
        <v>2</v>
      </c>
      <c r="V145" s="84">
        <v>2</v>
      </c>
      <c r="W145" s="84">
        <v>3</v>
      </c>
      <c r="X145" s="84">
        <v>3</v>
      </c>
      <c r="Y145" s="84">
        <v>2</v>
      </c>
      <c r="Z145" s="84">
        <v>0</v>
      </c>
      <c r="AA145" s="84">
        <v>3</v>
      </c>
      <c r="AB145" s="84">
        <v>3</v>
      </c>
      <c r="AC145" s="84">
        <v>4</v>
      </c>
      <c r="AD145" s="84">
        <v>4</v>
      </c>
      <c r="AE145" s="84">
        <v>4</v>
      </c>
      <c r="AF145" s="84">
        <v>3</v>
      </c>
      <c r="AG145" s="84">
        <v>4</v>
      </c>
      <c r="AH145" s="84">
        <v>3</v>
      </c>
      <c r="AI145" s="84">
        <v>3</v>
      </c>
    </row>
    <row r="146" spans="1:35" ht="36" customHeight="1" x14ac:dyDescent="0.25">
      <c r="A146" s="155" t="s">
        <v>302</v>
      </c>
      <c r="B146" s="155">
        <v>1607</v>
      </c>
      <c r="C146" s="155" t="s">
        <v>236</v>
      </c>
      <c r="D146" s="159">
        <v>42677</v>
      </c>
      <c r="E146" s="160" t="s">
        <v>567</v>
      </c>
      <c r="F146" s="160" t="s">
        <v>491</v>
      </c>
      <c r="G146" s="161" t="s">
        <v>585</v>
      </c>
      <c r="H146" s="5">
        <v>52640</v>
      </c>
      <c r="I146" s="6">
        <v>0.43704407294832798</v>
      </c>
      <c r="J146" s="7">
        <v>86430</v>
      </c>
      <c r="K146" s="7">
        <v>1499453</v>
      </c>
      <c r="L146" s="6">
        <v>0.501276688216439</v>
      </c>
      <c r="M146" s="6">
        <v>8.81093708114732E-2</v>
      </c>
      <c r="N146" s="6">
        <v>7.9186612032321094E-2</v>
      </c>
      <c r="O146" s="6">
        <v>0.11878374755868699</v>
      </c>
      <c r="P146" s="8">
        <v>0.26419025006701602</v>
      </c>
      <c r="Q146" s="84">
        <v>2</v>
      </c>
      <c r="R146" s="84">
        <v>1</v>
      </c>
      <c r="S146" s="84">
        <v>0</v>
      </c>
      <c r="T146" s="84">
        <v>1</v>
      </c>
      <c r="U146" s="84">
        <v>1</v>
      </c>
      <c r="V146" s="84">
        <v>3</v>
      </c>
      <c r="W146" s="84">
        <v>3</v>
      </c>
      <c r="X146" s="84">
        <v>3</v>
      </c>
      <c r="Y146" s="84">
        <v>1</v>
      </c>
      <c r="Z146" s="84">
        <v>4</v>
      </c>
      <c r="AA146" s="84">
        <v>2</v>
      </c>
      <c r="AB146" s="84">
        <v>0</v>
      </c>
      <c r="AC146" s="84">
        <v>3</v>
      </c>
      <c r="AD146" s="84">
        <v>0</v>
      </c>
      <c r="AE146" s="84">
        <v>2</v>
      </c>
      <c r="AF146" s="84">
        <v>3</v>
      </c>
      <c r="AG146" s="84">
        <v>1</v>
      </c>
      <c r="AH146" s="84">
        <v>3</v>
      </c>
      <c r="AI146" s="84">
        <v>0</v>
      </c>
    </row>
    <row r="147" spans="1:35" ht="36" customHeight="1" x14ac:dyDescent="0.25">
      <c r="A147" s="155" t="s">
        <v>305</v>
      </c>
      <c r="B147" s="155">
        <v>1901</v>
      </c>
      <c r="C147" s="155" t="s">
        <v>251</v>
      </c>
      <c r="D147" s="159">
        <v>42684</v>
      </c>
      <c r="E147" s="160" t="s">
        <v>570</v>
      </c>
      <c r="F147" s="160" t="s">
        <v>502</v>
      </c>
      <c r="G147" s="161" t="s">
        <v>585</v>
      </c>
      <c r="H147" s="5">
        <v>52365</v>
      </c>
      <c r="I147" s="6">
        <v>0.420796333428817</v>
      </c>
      <c r="J147" s="7">
        <v>84283</v>
      </c>
      <c r="K147" s="7">
        <v>1524897</v>
      </c>
      <c r="L147" s="6">
        <v>0.51836950069256604</v>
      </c>
      <c r="M147" s="6">
        <v>5.4695031289315903E-2</v>
      </c>
      <c r="N147" s="6">
        <v>7.2872244824600099E-2</v>
      </c>
      <c r="O147" s="6">
        <v>2.3217816120124801E-2</v>
      </c>
      <c r="P147" s="8">
        <v>0.28463474012711798</v>
      </c>
      <c r="Q147" s="84">
        <v>2</v>
      </c>
      <c r="R147" s="84">
        <v>0</v>
      </c>
      <c r="S147" s="84">
        <v>0</v>
      </c>
      <c r="T147" s="84">
        <v>0</v>
      </c>
      <c r="U147" s="84">
        <v>0</v>
      </c>
      <c r="V147" s="84">
        <v>2</v>
      </c>
      <c r="W147" s="84">
        <v>2</v>
      </c>
      <c r="X147" s="84">
        <v>2</v>
      </c>
      <c r="Y147" s="84">
        <v>2</v>
      </c>
      <c r="Z147" s="84">
        <v>3</v>
      </c>
      <c r="AA147" s="84">
        <v>3</v>
      </c>
      <c r="AB147" s="84">
        <v>2</v>
      </c>
      <c r="AC147" s="84">
        <v>2</v>
      </c>
      <c r="AD147" s="84">
        <v>1</v>
      </c>
      <c r="AE147" s="84">
        <v>1</v>
      </c>
      <c r="AF147" s="84">
        <v>2</v>
      </c>
      <c r="AG147" s="84">
        <v>2</v>
      </c>
      <c r="AH147" s="84">
        <v>3</v>
      </c>
      <c r="AI147" s="84">
        <v>1</v>
      </c>
    </row>
    <row r="148" spans="1:35" ht="36" customHeight="1" x14ac:dyDescent="0.25">
      <c r="A148" s="155" t="s">
        <v>295</v>
      </c>
      <c r="B148" s="155">
        <v>929</v>
      </c>
      <c r="C148" s="155" t="s">
        <v>144</v>
      </c>
      <c r="D148" s="159">
        <v>42691</v>
      </c>
      <c r="E148" s="160" t="s">
        <v>550</v>
      </c>
      <c r="F148" s="160" t="s">
        <v>420</v>
      </c>
      <c r="G148" s="161" t="s">
        <v>583</v>
      </c>
      <c r="H148" s="5">
        <v>62956</v>
      </c>
      <c r="I148" s="6">
        <v>0.22410890145498399</v>
      </c>
      <c r="J148" s="7">
        <v>44231</v>
      </c>
      <c r="K148" s="7">
        <v>664420</v>
      </c>
      <c r="L148" s="6">
        <v>0.55085860475219295</v>
      </c>
      <c r="M148" s="6">
        <v>0.135671797306744</v>
      </c>
      <c r="N148" s="6">
        <v>8.5803030902544195E-2</v>
      </c>
      <c r="O148" s="6">
        <v>0.16221527585433701</v>
      </c>
      <c r="P148" s="8">
        <v>0.158957517245018</v>
      </c>
      <c r="Q148" s="84">
        <v>1</v>
      </c>
      <c r="R148" s="84">
        <v>1</v>
      </c>
      <c r="S148" s="84">
        <v>0</v>
      </c>
      <c r="T148" s="84">
        <v>1</v>
      </c>
      <c r="U148" s="84">
        <v>0</v>
      </c>
      <c r="V148" s="84">
        <v>2</v>
      </c>
      <c r="W148" s="84">
        <v>2</v>
      </c>
      <c r="X148" s="84">
        <v>2</v>
      </c>
      <c r="Y148" s="84">
        <v>1</v>
      </c>
      <c r="Z148" s="84">
        <v>1</v>
      </c>
      <c r="AA148" s="84">
        <v>0</v>
      </c>
      <c r="AB148" s="84">
        <v>0</v>
      </c>
      <c r="AC148" s="84">
        <v>0</v>
      </c>
      <c r="AD148" s="84">
        <v>1</v>
      </c>
      <c r="AE148" s="84">
        <v>0</v>
      </c>
      <c r="AF148" s="84">
        <v>0</v>
      </c>
      <c r="AG148" s="84">
        <v>0</v>
      </c>
      <c r="AH148" s="84">
        <v>1</v>
      </c>
      <c r="AI148" s="84">
        <v>0</v>
      </c>
    </row>
    <row r="149" spans="1:35" ht="36" customHeight="1" x14ac:dyDescent="0.25">
      <c r="A149" s="155" t="s">
        <v>291</v>
      </c>
      <c r="B149" s="155">
        <v>515</v>
      </c>
      <c r="C149" s="155" t="s">
        <v>70</v>
      </c>
      <c r="D149" s="159">
        <v>42761</v>
      </c>
      <c r="E149" s="160" t="s">
        <v>532</v>
      </c>
      <c r="F149" s="160" t="s">
        <v>352</v>
      </c>
      <c r="G149" s="161" t="s">
        <v>584</v>
      </c>
      <c r="H149" s="5">
        <v>76885</v>
      </c>
      <c r="I149" s="6">
        <v>0.42707940430513103</v>
      </c>
      <c r="J149" s="7">
        <v>83880</v>
      </c>
      <c r="K149" s="7">
        <v>1300206</v>
      </c>
      <c r="L149" s="6">
        <v>0.46532141130981203</v>
      </c>
      <c r="M149" s="6">
        <v>0.23455180965212899</v>
      </c>
      <c r="N149" s="6">
        <v>0.107607666246839</v>
      </c>
      <c r="O149" s="6">
        <v>8.11682922781016E-2</v>
      </c>
      <c r="P149" s="8">
        <v>0.243172920144889</v>
      </c>
      <c r="Q149" s="84">
        <v>4</v>
      </c>
      <c r="R149" s="84">
        <v>4</v>
      </c>
      <c r="S149" s="84">
        <v>3</v>
      </c>
      <c r="T149" s="84">
        <v>3</v>
      </c>
      <c r="U149" s="84">
        <v>2</v>
      </c>
      <c r="V149" s="84">
        <v>4</v>
      </c>
      <c r="W149" s="84">
        <v>3</v>
      </c>
      <c r="X149" s="84">
        <v>4</v>
      </c>
      <c r="Y149" s="84">
        <v>3</v>
      </c>
      <c r="Z149" s="84">
        <v>2</v>
      </c>
      <c r="AA149" s="84">
        <v>3</v>
      </c>
      <c r="AB149" s="84">
        <v>2</v>
      </c>
      <c r="AC149" s="84">
        <v>1</v>
      </c>
      <c r="AD149" s="84">
        <v>2</v>
      </c>
      <c r="AE149" s="84">
        <v>2</v>
      </c>
      <c r="AF149" s="84">
        <v>1</v>
      </c>
      <c r="AG149" s="84">
        <v>1</v>
      </c>
      <c r="AH149" s="84">
        <v>1</v>
      </c>
      <c r="AI149" s="84">
        <v>2</v>
      </c>
    </row>
    <row r="150" spans="1:35" ht="36" customHeight="1" x14ac:dyDescent="0.25">
      <c r="A150" s="155" t="s">
        <v>291</v>
      </c>
      <c r="B150" s="155">
        <v>516</v>
      </c>
      <c r="C150" s="155" t="s">
        <v>71</v>
      </c>
      <c r="D150" s="159">
        <v>42789</v>
      </c>
      <c r="E150" s="160" t="s">
        <v>532</v>
      </c>
      <c r="F150" s="160" t="s">
        <v>353</v>
      </c>
      <c r="G150" s="161" t="s">
        <v>585</v>
      </c>
      <c r="H150" s="5">
        <v>239770</v>
      </c>
      <c r="I150" s="6">
        <v>0.40355757601034298</v>
      </c>
      <c r="J150" s="7">
        <v>76352</v>
      </c>
      <c r="K150" s="7">
        <v>1163541</v>
      </c>
      <c r="L150" s="6">
        <v>0.60960539882894604</v>
      </c>
      <c r="M150" s="6">
        <v>0.380610311484117</v>
      </c>
      <c r="N150" s="6">
        <v>9.9579615099201005E-2</v>
      </c>
      <c r="O150" s="6">
        <v>8.1089836554651906E-2</v>
      </c>
      <c r="P150" s="8">
        <v>0.21187059980186199</v>
      </c>
      <c r="Q150" s="84">
        <v>2</v>
      </c>
      <c r="R150" s="84">
        <v>3</v>
      </c>
      <c r="S150" s="84">
        <v>4</v>
      </c>
      <c r="T150" s="84">
        <v>2</v>
      </c>
      <c r="U150" s="84">
        <v>3</v>
      </c>
      <c r="V150" s="84">
        <v>3</v>
      </c>
      <c r="W150" s="84">
        <v>2</v>
      </c>
      <c r="X150" s="84">
        <v>2</v>
      </c>
      <c r="Y150" s="84">
        <v>3</v>
      </c>
      <c r="Z150" s="84">
        <v>0</v>
      </c>
      <c r="AA150" s="84">
        <v>4</v>
      </c>
      <c r="AB150" s="84">
        <v>4</v>
      </c>
      <c r="AC150" s="84">
        <v>2</v>
      </c>
      <c r="AD150" s="84">
        <v>4</v>
      </c>
      <c r="AE150" s="84">
        <v>4</v>
      </c>
      <c r="AF150" s="84">
        <v>2</v>
      </c>
      <c r="AG150" s="84">
        <v>4</v>
      </c>
      <c r="AH150" s="84">
        <v>3</v>
      </c>
      <c r="AI150" s="84">
        <v>4</v>
      </c>
    </row>
    <row r="151" spans="1:35" ht="36" customHeight="1" x14ac:dyDescent="0.25">
      <c r="A151" s="155" t="s">
        <v>303</v>
      </c>
      <c r="B151" s="155">
        <v>1703</v>
      </c>
      <c r="C151" s="155" t="s">
        <v>241</v>
      </c>
      <c r="D151" s="159">
        <v>42789</v>
      </c>
      <c r="E151" s="160" t="s">
        <v>568</v>
      </c>
      <c r="F151" s="160" t="s">
        <v>495</v>
      </c>
      <c r="G151" s="161" t="s">
        <v>584</v>
      </c>
      <c r="H151" s="5">
        <v>86737</v>
      </c>
      <c r="I151" s="6">
        <v>0.31675063698306399</v>
      </c>
      <c r="J151" s="7">
        <v>61435</v>
      </c>
      <c r="K151" s="7">
        <v>861694</v>
      </c>
      <c r="L151" s="6">
        <v>0.38317477062129202</v>
      </c>
      <c r="M151" s="6">
        <v>0.216818620430028</v>
      </c>
      <c r="N151" s="6">
        <v>9.8177852973375307E-2</v>
      </c>
      <c r="O151" s="6">
        <v>0.120042751870394</v>
      </c>
      <c r="P151" s="8">
        <v>0.22954465796340101</v>
      </c>
      <c r="Q151" s="84">
        <v>1</v>
      </c>
      <c r="R151" s="84">
        <v>1</v>
      </c>
      <c r="S151" s="84">
        <v>0</v>
      </c>
      <c r="T151" s="84">
        <v>2</v>
      </c>
      <c r="U151" s="84">
        <v>2</v>
      </c>
      <c r="V151" s="84">
        <v>3</v>
      </c>
      <c r="W151" s="84">
        <v>3</v>
      </c>
      <c r="X151" s="84">
        <v>2</v>
      </c>
      <c r="Y151" s="84">
        <v>1</v>
      </c>
      <c r="Z151" s="84">
        <v>4</v>
      </c>
      <c r="AA151" s="84">
        <v>4</v>
      </c>
      <c r="AB151" s="84">
        <v>2</v>
      </c>
      <c r="AC151" s="84">
        <v>3</v>
      </c>
      <c r="AD151" s="84">
        <v>2</v>
      </c>
      <c r="AE151" s="84">
        <v>3</v>
      </c>
      <c r="AF151" s="84">
        <v>3</v>
      </c>
      <c r="AG151" s="84">
        <v>2</v>
      </c>
      <c r="AH151" s="84">
        <v>4</v>
      </c>
      <c r="AI151" s="84">
        <v>1</v>
      </c>
    </row>
    <row r="152" spans="1:35" ht="36" customHeight="1" x14ac:dyDescent="0.25">
      <c r="A152" s="155" t="s">
        <v>291</v>
      </c>
      <c r="B152" s="155">
        <v>517</v>
      </c>
      <c r="C152" s="155" t="s">
        <v>72</v>
      </c>
      <c r="D152" s="159">
        <v>42796</v>
      </c>
      <c r="E152" s="160" t="s">
        <v>532</v>
      </c>
      <c r="F152" s="160" t="s">
        <v>354</v>
      </c>
      <c r="G152" s="161" t="s">
        <v>584</v>
      </c>
      <c r="H152" s="5">
        <v>186096</v>
      </c>
      <c r="I152" s="6">
        <v>0.28356332215630597</v>
      </c>
      <c r="J152" s="7">
        <v>56721</v>
      </c>
      <c r="K152" s="7">
        <v>916533</v>
      </c>
      <c r="L152" s="6">
        <v>0.45934785061491601</v>
      </c>
      <c r="M152" s="6">
        <v>0.42016845119332302</v>
      </c>
      <c r="N152" s="6">
        <v>0.11636230714166</v>
      </c>
      <c r="O152" s="6">
        <v>0.13851640234204199</v>
      </c>
      <c r="P152" s="8">
        <v>0.20750045148053001</v>
      </c>
      <c r="Q152" s="84">
        <v>2</v>
      </c>
      <c r="R152" s="84">
        <v>3</v>
      </c>
      <c r="S152" s="84">
        <v>2</v>
      </c>
      <c r="T152" s="84">
        <v>3</v>
      </c>
      <c r="U152" s="84">
        <v>2</v>
      </c>
      <c r="V152" s="84">
        <v>2</v>
      </c>
      <c r="W152" s="84">
        <v>2</v>
      </c>
      <c r="X152" s="84">
        <v>2</v>
      </c>
      <c r="Y152" s="84">
        <v>2</v>
      </c>
      <c r="Z152" s="84">
        <v>1</v>
      </c>
      <c r="AA152" s="84">
        <v>3</v>
      </c>
      <c r="AB152" s="84">
        <v>4</v>
      </c>
      <c r="AC152" s="84">
        <v>2</v>
      </c>
      <c r="AD152" s="84">
        <v>3</v>
      </c>
      <c r="AE152" s="84">
        <v>2</v>
      </c>
      <c r="AF152" s="84">
        <v>2</v>
      </c>
      <c r="AG152" s="84">
        <v>4</v>
      </c>
      <c r="AH152" s="84">
        <v>3</v>
      </c>
      <c r="AI152" s="84">
        <v>3</v>
      </c>
    </row>
    <row r="153" spans="1:35" ht="36" customHeight="1" x14ac:dyDescent="0.25">
      <c r="A153" s="155" t="s">
        <v>291</v>
      </c>
      <c r="B153" s="155">
        <v>518</v>
      </c>
      <c r="C153" s="155" t="s">
        <v>73</v>
      </c>
      <c r="D153" s="159">
        <v>42802</v>
      </c>
      <c r="E153" s="160" t="s">
        <v>532</v>
      </c>
      <c r="F153" s="160" t="s">
        <v>355</v>
      </c>
      <c r="G153" s="161" t="s">
        <v>584</v>
      </c>
      <c r="H153" s="5">
        <v>221166</v>
      </c>
      <c r="I153" s="6">
        <v>0.37873814239078302</v>
      </c>
      <c r="J153" s="7">
        <v>71798</v>
      </c>
      <c r="K153" s="7">
        <v>963270</v>
      </c>
      <c r="L153" s="6">
        <v>0.60396229816840497</v>
      </c>
      <c r="M153" s="6">
        <v>0.281139160625064</v>
      </c>
      <c r="N153" s="6">
        <v>0.110735759971508</v>
      </c>
      <c r="O153" s="6">
        <v>0.22258993674801</v>
      </c>
      <c r="P153" s="8">
        <v>0.20724450840687</v>
      </c>
      <c r="Q153" s="84">
        <v>1</v>
      </c>
      <c r="R153" s="84">
        <v>3</v>
      </c>
      <c r="S153" s="84">
        <v>2</v>
      </c>
      <c r="T153" s="84">
        <v>1</v>
      </c>
      <c r="U153" s="84">
        <v>1</v>
      </c>
      <c r="V153" s="84">
        <v>2</v>
      </c>
      <c r="W153" s="84">
        <v>1</v>
      </c>
      <c r="X153" s="84">
        <v>3</v>
      </c>
      <c r="Y153" s="84">
        <v>2</v>
      </c>
      <c r="Z153" s="84">
        <v>0</v>
      </c>
      <c r="AA153" s="84">
        <v>1</v>
      </c>
      <c r="AB153" s="84">
        <v>2</v>
      </c>
      <c r="AC153" s="84">
        <v>1</v>
      </c>
      <c r="AD153" s="84">
        <v>3</v>
      </c>
      <c r="AE153" s="84">
        <v>2</v>
      </c>
      <c r="AF153" s="84">
        <v>1</v>
      </c>
      <c r="AG153" s="84">
        <v>3</v>
      </c>
      <c r="AH153" s="84">
        <v>2</v>
      </c>
      <c r="AI153" s="84">
        <v>3</v>
      </c>
    </row>
    <row r="154" spans="1:35" ht="36" customHeight="1" x14ac:dyDescent="0.25">
      <c r="A154" s="155" t="s">
        <v>291</v>
      </c>
      <c r="B154" s="155">
        <v>519</v>
      </c>
      <c r="C154" s="155" t="s">
        <v>74</v>
      </c>
      <c r="D154" s="159">
        <v>42824</v>
      </c>
      <c r="E154" s="160" t="s">
        <v>532</v>
      </c>
      <c r="F154" s="160" t="s">
        <v>356</v>
      </c>
      <c r="G154" s="161" t="s">
        <v>585</v>
      </c>
      <c r="H154" s="5">
        <v>70748</v>
      </c>
      <c r="I154" s="6">
        <v>0.63621586475942804</v>
      </c>
      <c r="J154" s="7">
        <v>123797</v>
      </c>
      <c r="K154" s="7">
        <v>1717510</v>
      </c>
      <c r="L154" s="6">
        <v>0.58602566419663804</v>
      </c>
      <c r="M154" s="6">
        <v>0.22012185244514801</v>
      </c>
      <c r="N154" s="6">
        <v>0.19855018988822701</v>
      </c>
      <c r="O154" s="6">
        <v>0.13154034449864099</v>
      </c>
      <c r="P154" s="8">
        <v>0.20790960960420499</v>
      </c>
      <c r="Q154" s="84">
        <v>3</v>
      </c>
      <c r="R154" s="84">
        <v>3</v>
      </c>
      <c r="S154" s="84">
        <v>2</v>
      </c>
      <c r="T154" s="84">
        <v>4</v>
      </c>
      <c r="U154" s="84">
        <v>3</v>
      </c>
      <c r="V154" s="84">
        <v>2</v>
      </c>
      <c r="W154" s="84">
        <v>2</v>
      </c>
      <c r="X154" s="84">
        <v>4</v>
      </c>
      <c r="Y154" s="84">
        <v>3</v>
      </c>
      <c r="Z154" s="84">
        <v>2</v>
      </c>
      <c r="AA154" s="84">
        <v>3</v>
      </c>
      <c r="AB154" s="84">
        <v>2</v>
      </c>
      <c r="AC154" s="84">
        <v>1</v>
      </c>
      <c r="AD154" s="84">
        <v>2</v>
      </c>
      <c r="AE154" s="84">
        <v>2</v>
      </c>
      <c r="AF154" s="84">
        <v>1</v>
      </c>
      <c r="AG154" s="84">
        <v>2</v>
      </c>
      <c r="AH154" s="84">
        <v>1</v>
      </c>
      <c r="AI154" s="84">
        <v>3</v>
      </c>
    </row>
    <row r="155" spans="1:35" ht="36" customHeight="1" x14ac:dyDescent="0.25">
      <c r="A155" s="155" t="s">
        <v>297</v>
      </c>
      <c r="B155" s="155">
        <v>1119</v>
      </c>
      <c r="C155" s="155" t="s">
        <v>185</v>
      </c>
      <c r="D155" s="159">
        <v>42824</v>
      </c>
      <c r="E155" s="160" t="s">
        <v>556</v>
      </c>
      <c r="F155" s="160" t="s">
        <v>453</v>
      </c>
      <c r="G155" s="161" t="s">
        <v>584</v>
      </c>
      <c r="H155" s="5">
        <v>95422</v>
      </c>
      <c r="I155" s="6">
        <v>0.32409716836788199</v>
      </c>
      <c r="J155" s="7">
        <v>67022</v>
      </c>
      <c r="K155" s="7">
        <v>920392</v>
      </c>
      <c r="L155" s="6">
        <v>0.36382903981264603</v>
      </c>
      <c r="M155" s="6">
        <v>0.36693011451756902</v>
      </c>
      <c r="N155" s="6">
        <v>0.10984130465433201</v>
      </c>
      <c r="O155" s="6">
        <v>6.24128585527862E-2</v>
      </c>
      <c r="P155" s="8">
        <v>0.21685100183290801</v>
      </c>
      <c r="Q155" s="84">
        <v>3</v>
      </c>
      <c r="R155" s="84">
        <v>2</v>
      </c>
      <c r="S155" s="84">
        <v>3</v>
      </c>
      <c r="T155" s="84">
        <v>1</v>
      </c>
      <c r="U155" s="84">
        <v>2</v>
      </c>
      <c r="V155" s="84">
        <v>1</v>
      </c>
      <c r="W155" s="84">
        <v>2</v>
      </c>
      <c r="X155" s="84">
        <v>1</v>
      </c>
      <c r="Y155" s="84">
        <v>2</v>
      </c>
      <c r="Z155" s="84">
        <v>0</v>
      </c>
      <c r="AA155" s="84">
        <v>3</v>
      </c>
      <c r="AB155" s="84">
        <v>3</v>
      </c>
      <c r="AC155" s="84">
        <v>1</v>
      </c>
      <c r="AD155" s="84">
        <v>3</v>
      </c>
      <c r="AE155" s="84">
        <v>1</v>
      </c>
      <c r="AF155" s="84">
        <v>0</v>
      </c>
      <c r="AG155" s="84">
        <v>2</v>
      </c>
      <c r="AH155" s="84">
        <v>0</v>
      </c>
      <c r="AI155" s="84">
        <v>2</v>
      </c>
    </row>
    <row r="156" spans="1:35" ht="36" customHeight="1" x14ac:dyDescent="0.25">
      <c r="A156" s="155" t="s">
        <v>297</v>
      </c>
      <c r="B156" s="155">
        <v>1117</v>
      </c>
      <c r="C156" s="155" t="s">
        <v>183</v>
      </c>
      <c r="D156" s="159">
        <v>42838</v>
      </c>
      <c r="E156" s="160" t="s">
        <v>555</v>
      </c>
      <c r="F156" s="160" t="s">
        <v>451</v>
      </c>
      <c r="G156" s="161" t="s">
        <v>583</v>
      </c>
      <c r="H156" s="5">
        <v>113869</v>
      </c>
      <c r="I156" s="6">
        <v>0.66365736065127501</v>
      </c>
      <c r="J156" s="7">
        <v>160965</v>
      </c>
      <c r="K156" s="7">
        <v>2129200</v>
      </c>
      <c r="L156" s="6">
        <v>0.71382260331327196</v>
      </c>
      <c r="M156" s="6">
        <v>0.18765408876856601</v>
      </c>
      <c r="N156" s="6">
        <v>0.33335908477149501</v>
      </c>
      <c r="O156" s="6">
        <v>3.3017822234463499E-2</v>
      </c>
      <c r="P156" s="8">
        <v>0.22676156631443201</v>
      </c>
      <c r="Q156" s="84">
        <v>1</v>
      </c>
      <c r="R156" s="84">
        <v>1</v>
      </c>
      <c r="S156" s="84">
        <v>1</v>
      </c>
      <c r="T156" s="84">
        <v>0</v>
      </c>
      <c r="U156" s="84">
        <v>2</v>
      </c>
      <c r="V156" s="84">
        <v>0</v>
      </c>
      <c r="W156" s="84">
        <v>1</v>
      </c>
      <c r="X156" s="84">
        <v>2</v>
      </c>
      <c r="Y156" s="84">
        <v>2</v>
      </c>
      <c r="Z156" s="84">
        <v>0</v>
      </c>
      <c r="AA156" s="84">
        <v>0</v>
      </c>
      <c r="AB156" s="84">
        <v>2</v>
      </c>
      <c r="AC156" s="84">
        <v>1</v>
      </c>
      <c r="AD156" s="84">
        <v>3</v>
      </c>
      <c r="AE156" s="84">
        <v>0</v>
      </c>
      <c r="AF156" s="84">
        <v>0</v>
      </c>
      <c r="AG156" s="84">
        <v>3</v>
      </c>
      <c r="AH156" s="84">
        <v>1</v>
      </c>
      <c r="AI156" s="84">
        <v>2</v>
      </c>
    </row>
    <row r="157" spans="1:35" ht="36" customHeight="1" x14ac:dyDescent="0.25">
      <c r="A157" s="155" t="s">
        <v>303</v>
      </c>
      <c r="B157" s="155">
        <v>1704</v>
      </c>
      <c r="C157" s="155" t="s">
        <v>242</v>
      </c>
      <c r="D157" s="159">
        <v>42852</v>
      </c>
      <c r="E157" s="160" t="s">
        <v>568</v>
      </c>
      <c r="F157" s="160" t="s">
        <v>496</v>
      </c>
      <c r="G157" s="161" t="s">
        <v>585</v>
      </c>
      <c r="H157" s="5">
        <v>80567</v>
      </c>
      <c r="I157" s="6">
        <v>0.409472861096975</v>
      </c>
      <c r="J157" s="7">
        <v>82938</v>
      </c>
      <c r="K157" s="7">
        <v>1242551</v>
      </c>
      <c r="L157" s="6">
        <v>0.43615326225954498</v>
      </c>
      <c r="M157" s="6">
        <v>0.14624601362159301</v>
      </c>
      <c r="N157" s="6">
        <v>2.98085532338709E-2</v>
      </c>
      <c r="O157" s="6">
        <v>4.7363708614601499E-2</v>
      </c>
      <c r="P157" s="8">
        <v>0.272291023229143</v>
      </c>
      <c r="Q157" s="84">
        <v>2</v>
      </c>
      <c r="R157" s="84">
        <v>2</v>
      </c>
      <c r="S157" s="84">
        <v>1</v>
      </c>
      <c r="T157" s="84">
        <v>2</v>
      </c>
      <c r="U157" s="84">
        <v>2</v>
      </c>
      <c r="V157" s="84">
        <v>3</v>
      </c>
      <c r="W157" s="84">
        <v>3</v>
      </c>
      <c r="X157" s="84">
        <v>1</v>
      </c>
      <c r="Y157" s="84">
        <v>1</v>
      </c>
      <c r="Z157" s="84">
        <v>4</v>
      </c>
      <c r="AA157" s="84">
        <v>4</v>
      </c>
      <c r="AB157" s="84">
        <v>3</v>
      </c>
      <c r="AC157" s="84">
        <v>4</v>
      </c>
      <c r="AD157" s="84">
        <v>3</v>
      </c>
      <c r="AE157" s="84">
        <v>4</v>
      </c>
      <c r="AF157" s="84">
        <v>4</v>
      </c>
      <c r="AG157" s="84">
        <v>4</v>
      </c>
      <c r="AH157" s="84">
        <v>4</v>
      </c>
      <c r="AI157" s="84">
        <v>3</v>
      </c>
    </row>
    <row r="158" spans="1:35" ht="36" customHeight="1" x14ac:dyDescent="0.25">
      <c r="A158" s="155" t="s">
        <v>291</v>
      </c>
      <c r="B158" s="155">
        <v>521</v>
      </c>
      <c r="C158" s="155" t="s">
        <v>76</v>
      </c>
      <c r="D158" s="159">
        <v>42873</v>
      </c>
      <c r="E158" s="160" t="s">
        <v>529</v>
      </c>
      <c r="F158" s="160" t="s">
        <v>358</v>
      </c>
      <c r="G158" s="161" t="s">
        <v>584</v>
      </c>
      <c r="H158" s="5">
        <v>90864</v>
      </c>
      <c r="I158" s="6">
        <v>0.49639020954393398</v>
      </c>
      <c r="J158" s="7">
        <v>99087</v>
      </c>
      <c r="K158" s="7">
        <v>1249467</v>
      </c>
      <c r="L158" s="6">
        <v>0.55921013288043198</v>
      </c>
      <c r="M158" s="6">
        <v>0.121750670334915</v>
      </c>
      <c r="N158" s="6">
        <v>0.18841552615955301</v>
      </c>
      <c r="O158" s="6">
        <v>0.11255806012254201</v>
      </c>
      <c r="P158" s="8">
        <v>0.21623005971898299</v>
      </c>
      <c r="Q158" s="84">
        <v>4</v>
      </c>
      <c r="R158" s="84">
        <v>3</v>
      </c>
      <c r="S158" s="84">
        <v>2</v>
      </c>
      <c r="T158" s="84">
        <v>3</v>
      </c>
      <c r="U158" s="84">
        <v>2</v>
      </c>
      <c r="V158" s="84">
        <v>4</v>
      </c>
      <c r="W158" s="84">
        <v>2</v>
      </c>
      <c r="X158" s="84">
        <v>3</v>
      </c>
      <c r="Y158" s="84">
        <v>2</v>
      </c>
      <c r="Z158" s="84">
        <v>3</v>
      </c>
      <c r="AA158" s="84">
        <v>4</v>
      </c>
      <c r="AB158" s="84">
        <v>3</v>
      </c>
      <c r="AC158" s="84">
        <v>2</v>
      </c>
      <c r="AD158" s="84">
        <v>1</v>
      </c>
      <c r="AE158" s="84">
        <v>2</v>
      </c>
      <c r="AF158" s="84">
        <v>2</v>
      </c>
      <c r="AG158" s="84">
        <v>2</v>
      </c>
      <c r="AH158" s="84">
        <v>2</v>
      </c>
      <c r="AI158" s="84">
        <v>2</v>
      </c>
    </row>
    <row r="159" spans="1:35" ht="36" customHeight="1" x14ac:dyDescent="0.25">
      <c r="A159" s="155" t="s">
        <v>291</v>
      </c>
      <c r="B159" s="155">
        <v>525</v>
      </c>
      <c r="C159" s="155" t="s">
        <v>80</v>
      </c>
      <c r="D159" s="159">
        <v>42879</v>
      </c>
      <c r="E159" s="160" t="s">
        <v>532</v>
      </c>
      <c r="F159" s="160" t="s">
        <v>362</v>
      </c>
      <c r="G159" s="161" t="s">
        <v>584</v>
      </c>
      <c r="H159" s="5">
        <v>108482</v>
      </c>
      <c r="I159" s="6">
        <v>0.36810715141682498</v>
      </c>
      <c r="J159" s="7">
        <v>76729</v>
      </c>
      <c r="K159" s="7">
        <v>927696</v>
      </c>
      <c r="L159" s="6">
        <v>0.354581209709325</v>
      </c>
      <c r="M159" s="6">
        <v>0.40534821027852702</v>
      </c>
      <c r="N159" s="6">
        <v>0.11392811391919699</v>
      </c>
      <c r="O159" s="6">
        <v>0.164842219771793</v>
      </c>
      <c r="P159" s="8">
        <v>0.20834955669358499</v>
      </c>
      <c r="Q159" s="84">
        <v>1</v>
      </c>
      <c r="R159" s="84">
        <v>3</v>
      </c>
      <c r="S159" s="84">
        <v>2</v>
      </c>
      <c r="T159" s="84">
        <v>3</v>
      </c>
      <c r="U159" s="84">
        <v>2</v>
      </c>
      <c r="V159" s="84">
        <v>2</v>
      </c>
      <c r="W159" s="84">
        <v>2</v>
      </c>
      <c r="X159" s="84">
        <v>4</v>
      </c>
      <c r="Y159" s="84">
        <v>3</v>
      </c>
      <c r="Z159" s="84">
        <v>2</v>
      </c>
      <c r="AA159" s="84">
        <v>2</v>
      </c>
      <c r="AB159" s="84">
        <v>0</v>
      </c>
      <c r="AC159" s="84">
        <v>0</v>
      </c>
      <c r="AD159" s="84">
        <v>0</v>
      </c>
      <c r="AE159" s="84">
        <v>1</v>
      </c>
      <c r="AF159" s="84">
        <v>0</v>
      </c>
      <c r="AG159" s="84">
        <v>0</v>
      </c>
      <c r="AH159" s="84">
        <v>0</v>
      </c>
      <c r="AI159" s="84">
        <v>0</v>
      </c>
    </row>
    <row r="160" spans="1:35" ht="36" customHeight="1" x14ac:dyDescent="0.25">
      <c r="A160" s="155" t="s">
        <v>291</v>
      </c>
      <c r="B160" s="155">
        <v>526</v>
      </c>
      <c r="C160" s="155" t="s">
        <v>81</v>
      </c>
      <c r="D160" s="159">
        <v>42894</v>
      </c>
      <c r="E160" s="160" t="s">
        <v>532</v>
      </c>
      <c r="F160" s="160" t="s">
        <v>363</v>
      </c>
      <c r="G160" s="161" t="s">
        <v>585</v>
      </c>
      <c r="H160" s="5">
        <v>43879</v>
      </c>
      <c r="I160" s="6">
        <v>0.30198956220515499</v>
      </c>
      <c r="J160" s="7">
        <v>67052</v>
      </c>
      <c r="K160" s="7">
        <v>650152</v>
      </c>
      <c r="L160" s="6">
        <v>0.25992507570226597</v>
      </c>
      <c r="M160" s="6">
        <v>0.37371682092863201</v>
      </c>
      <c r="N160" s="6">
        <v>3.4177312017134601E-2</v>
      </c>
      <c r="O160" s="6">
        <v>0.26895892297100898</v>
      </c>
      <c r="P160" s="8">
        <v>0.194492465386675</v>
      </c>
      <c r="Q160" s="84">
        <v>1</v>
      </c>
      <c r="R160" s="84">
        <v>4</v>
      </c>
      <c r="S160" s="84">
        <v>2</v>
      </c>
      <c r="T160" s="84">
        <v>3</v>
      </c>
      <c r="U160" s="84">
        <v>2</v>
      </c>
      <c r="V160" s="84">
        <v>2</v>
      </c>
      <c r="W160" s="84">
        <v>2</v>
      </c>
      <c r="X160" s="84">
        <v>4</v>
      </c>
      <c r="Y160" s="84">
        <v>3</v>
      </c>
      <c r="Z160" s="84">
        <v>1</v>
      </c>
      <c r="AA160" s="84">
        <v>0</v>
      </c>
      <c r="AB160" s="84">
        <v>0</v>
      </c>
      <c r="AC160" s="84">
        <v>0</v>
      </c>
      <c r="AD160" s="84">
        <v>0</v>
      </c>
      <c r="AE160" s="84">
        <v>2</v>
      </c>
      <c r="AF160" s="84">
        <v>0</v>
      </c>
      <c r="AG160" s="84">
        <v>0</v>
      </c>
      <c r="AH160" s="84">
        <v>0</v>
      </c>
      <c r="AI160" s="84">
        <v>0</v>
      </c>
    </row>
    <row r="161" spans="1:35" ht="36" customHeight="1" x14ac:dyDescent="0.25">
      <c r="A161" s="155" t="s">
        <v>291</v>
      </c>
      <c r="B161" s="155">
        <v>513</v>
      </c>
      <c r="C161" s="155" t="s">
        <v>68</v>
      </c>
      <c r="D161" s="159">
        <v>42915</v>
      </c>
      <c r="E161" s="160" t="s">
        <v>529</v>
      </c>
      <c r="F161" s="160" t="s">
        <v>350</v>
      </c>
      <c r="G161" s="161" t="s">
        <v>585</v>
      </c>
      <c r="H161" s="5">
        <v>155581</v>
      </c>
      <c r="I161" s="6">
        <v>0.40623212345980603</v>
      </c>
      <c r="J161" s="7">
        <v>81206</v>
      </c>
      <c r="K161" s="7">
        <v>1108685</v>
      </c>
      <c r="L161" s="6">
        <v>0.57072853034529603</v>
      </c>
      <c r="M161" s="6">
        <v>0.163941428214156</v>
      </c>
      <c r="N161" s="6">
        <v>0.20779720741504601</v>
      </c>
      <c r="O161" s="6">
        <v>0.129516032494921</v>
      </c>
      <c r="P161" s="8">
        <v>0.24504104015219</v>
      </c>
      <c r="Q161" s="84">
        <v>3</v>
      </c>
      <c r="R161" s="84">
        <v>3</v>
      </c>
      <c r="S161" s="84">
        <v>2</v>
      </c>
      <c r="T161" s="84">
        <v>3</v>
      </c>
      <c r="U161" s="84">
        <v>2</v>
      </c>
      <c r="V161" s="84">
        <v>3</v>
      </c>
      <c r="W161" s="84">
        <v>2</v>
      </c>
      <c r="X161" s="84">
        <v>3</v>
      </c>
      <c r="Y161" s="84">
        <v>2</v>
      </c>
      <c r="Z161" s="84">
        <v>2</v>
      </c>
      <c r="AA161" s="84">
        <v>4</v>
      </c>
      <c r="AB161" s="84">
        <v>3</v>
      </c>
      <c r="AC161" s="84">
        <v>2</v>
      </c>
      <c r="AD161" s="84">
        <v>3</v>
      </c>
      <c r="AE161" s="84">
        <v>2</v>
      </c>
      <c r="AF161" s="84">
        <v>2</v>
      </c>
      <c r="AG161" s="84">
        <v>3</v>
      </c>
      <c r="AH161" s="84">
        <v>2</v>
      </c>
      <c r="AI161" s="84">
        <v>2</v>
      </c>
    </row>
    <row r="162" spans="1:35" ht="36" customHeight="1" x14ac:dyDescent="0.25">
      <c r="A162" s="155" t="s">
        <v>291</v>
      </c>
      <c r="B162" s="155">
        <v>522</v>
      </c>
      <c r="C162" s="155" t="s">
        <v>77</v>
      </c>
      <c r="D162" s="159">
        <v>42929</v>
      </c>
      <c r="E162" s="160" t="s">
        <v>531</v>
      </c>
      <c r="F162" s="160" t="s">
        <v>359</v>
      </c>
      <c r="G162" s="161" t="s">
        <v>584</v>
      </c>
      <c r="H162" s="5">
        <v>133257</v>
      </c>
      <c r="I162" s="6">
        <v>0.38229886610084302</v>
      </c>
      <c r="J162" s="7">
        <v>75120</v>
      </c>
      <c r="K162" s="7">
        <v>843409</v>
      </c>
      <c r="L162" s="6">
        <v>0.54357157822419899</v>
      </c>
      <c r="M162" s="6">
        <v>0.31492948864170001</v>
      </c>
      <c r="N162" s="6">
        <v>0.109158425805413</v>
      </c>
      <c r="O162" s="6">
        <v>7.10212406242033E-2</v>
      </c>
      <c r="P162" s="8">
        <v>0.20171213117393699</v>
      </c>
      <c r="Q162" s="84">
        <v>3</v>
      </c>
      <c r="R162" s="84">
        <v>3</v>
      </c>
      <c r="S162" s="84">
        <v>2</v>
      </c>
      <c r="T162" s="84">
        <v>2</v>
      </c>
      <c r="U162" s="84">
        <v>1</v>
      </c>
      <c r="V162" s="84">
        <v>2</v>
      </c>
      <c r="W162" s="84">
        <v>2</v>
      </c>
      <c r="X162" s="84">
        <v>1</v>
      </c>
      <c r="Y162" s="84">
        <v>2</v>
      </c>
      <c r="Z162" s="84">
        <v>0</v>
      </c>
      <c r="AA162" s="84">
        <v>1</v>
      </c>
      <c r="AB162" s="84">
        <v>2</v>
      </c>
      <c r="AC162" s="84">
        <v>1</v>
      </c>
      <c r="AD162" s="84">
        <v>1</v>
      </c>
      <c r="AE162" s="84">
        <v>1</v>
      </c>
      <c r="AF162" s="84">
        <v>1</v>
      </c>
      <c r="AG162" s="84">
        <v>2</v>
      </c>
      <c r="AH162" s="84">
        <v>2</v>
      </c>
      <c r="AI162" s="84">
        <v>2</v>
      </c>
    </row>
    <row r="163" spans="1:35" ht="36" customHeight="1" x14ac:dyDescent="0.25">
      <c r="A163" s="155" t="s">
        <v>291</v>
      </c>
      <c r="B163" s="155">
        <v>520</v>
      </c>
      <c r="C163" s="155" t="s">
        <v>75</v>
      </c>
      <c r="D163" s="159">
        <v>42978</v>
      </c>
      <c r="E163" s="160" t="s">
        <v>530</v>
      </c>
      <c r="F163" s="160" t="s">
        <v>357</v>
      </c>
      <c r="G163" s="161" t="s">
        <v>585</v>
      </c>
      <c r="H163" s="5">
        <v>71205</v>
      </c>
      <c r="I163" s="6">
        <v>0.30749245137279702</v>
      </c>
      <c r="J163" s="7">
        <v>69179</v>
      </c>
      <c r="K163" s="7">
        <v>636013</v>
      </c>
      <c r="L163" s="6">
        <v>0.30549179536320997</v>
      </c>
      <c r="M163" s="6">
        <v>0.40764649220574201</v>
      </c>
      <c r="N163" s="6">
        <v>3.6628725029880897E-2</v>
      </c>
      <c r="O163" s="6">
        <v>0.14028655433790399</v>
      </c>
      <c r="P163" s="8">
        <v>0.23174489502589701</v>
      </c>
      <c r="Q163" s="84">
        <v>3</v>
      </c>
      <c r="R163" s="84">
        <v>2</v>
      </c>
      <c r="S163" s="84">
        <v>1</v>
      </c>
      <c r="T163" s="84">
        <v>2</v>
      </c>
      <c r="U163" s="84">
        <v>0</v>
      </c>
      <c r="V163" s="84">
        <v>2</v>
      </c>
      <c r="W163" s="84">
        <v>2</v>
      </c>
      <c r="X163" s="84">
        <v>2</v>
      </c>
      <c r="Y163" s="84">
        <v>2</v>
      </c>
      <c r="Z163" s="84">
        <v>1</v>
      </c>
      <c r="AA163" s="84">
        <v>1</v>
      </c>
      <c r="AB163" s="84">
        <v>0</v>
      </c>
      <c r="AC163" s="84">
        <v>0</v>
      </c>
      <c r="AD163" s="84">
        <v>0</v>
      </c>
      <c r="AE163" s="84">
        <v>0</v>
      </c>
      <c r="AF163" s="84">
        <v>0</v>
      </c>
      <c r="AG163" s="84">
        <v>0</v>
      </c>
      <c r="AH163" s="84">
        <v>0</v>
      </c>
      <c r="AI163" s="84">
        <v>0</v>
      </c>
    </row>
    <row r="164" spans="1:35" ht="36" customHeight="1" x14ac:dyDescent="0.25">
      <c r="A164" s="155" t="s">
        <v>297</v>
      </c>
      <c r="B164" s="155">
        <v>1124</v>
      </c>
      <c r="C164" s="155" t="s">
        <v>190</v>
      </c>
      <c r="D164" s="159">
        <v>42978</v>
      </c>
      <c r="E164" s="160" t="s">
        <v>555</v>
      </c>
      <c r="F164" s="160" t="s">
        <v>458</v>
      </c>
      <c r="G164" s="161" t="s">
        <v>583</v>
      </c>
      <c r="H164" s="5">
        <v>54828</v>
      </c>
      <c r="I164" s="6">
        <v>0.77305391405850998</v>
      </c>
      <c r="J164" s="7">
        <v>182711</v>
      </c>
      <c r="K164" s="7">
        <v>3037929</v>
      </c>
      <c r="L164" s="6">
        <v>0.70696335761256301</v>
      </c>
      <c r="M164" s="6">
        <v>9.1259441960844803E-2</v>
      </c>
      <c r="N164" s="6">
        <v>0.32913262422280498</v>
      </c>
      <c r="O164" s="6">
        <v>2.2146857818200499E-2</v>
      </c>
      <c r="P164" s="8">
        <v>0.26722676121473699</v>
      </c>
      <c r="Q164" s="84">
        <v>2</v>
      </c>
      <c r="R164" s="84">
        <v>0</v>
      </c>
      <c r="S164" s="84">
        <v>2</v>
      </c>
      <c r="T164" s="84">
        <v>0</v>
      </c>
      <c r="U164" s="84">
        <v>2</v>
      </c>
      <c r="V164" s="84">
        <v>0</v>
      </c>
      <c r="W164" s="84">
        <v>1</v>
      </c>
      <c r="X164" s="84">
        <v>1</v>
      </c>
      <c r="Y164" s="84">
        <v>1</v>
      </c>
      <c r="Z164" s="84">
        <v>0</v>
      </c>
      <c r="AA164" s="84">
        <v>1</v>
      </c>
      <c r="AB164" s="84">
        <v>2</v>
      </c>
      <c r="AC164" s="84">
        <v>2</v>
      </c>
      <c r="AD164" s="84">
        <v>4</v>
      </c>
      <c r="AE164" s="84">
        <v>0</v>
      </c>
      <c r="AF164" s="84">
        <v>1</v>
      </c>
      <c r="AG164" s="84">
        <v>3</v>
      </c>
      <c r="AH164" s="84">
        <v>1</v>
      </c>
      <c r="AI164" s="84">
        <v>2</v>
      </c>
    </row>
    <row r="165" spans="1:35" ht="36" customHeight="1" x14ac:dyDescent="0.25">
      <c r="A165" s="155" t="s">
        <v>291</v>
      </c>
      <c r="B165" s="155">
        <v>514</v>
      </c>
      <c r="C165" s="155" t="s">
        <v>69</v>
      </c>
      <c r="D165" s="159">
        <v>42985</v>
      </c>
      <c r="E165" s="160" t="s">
        <v>531</v>
      </c>
      <c r="F165" s="160" t="s">
        <v>351</v>
      </c>
      <c r="G165" s="161" t="s">
        <v>585</v>
      </c>
      <c r="H165" s="5">
        <v>155078</v>
      </c>
      <c r="I165" s="6">
        <v>0.35428623015514799</v>
      </c>
      <c r="J165" s="7">
        <v>64147</v>
      </c>
      <c r="K165" s="7">
        <v>619907</v>
      </c>
      <c r="L165" s="6">
        <v>0.53638487421328795</v>
      </c>
      <c r="M165" s="6">
        <v>0.38567361542833201</v>
      </c>
      <c r="N165" s="6">
        <v>6.57940025240734E-2</v>
      </c>
      <c r="O165" s="6">
        <v>0.106200522424498</v>
      </c>
      <c r="P165" s="8">
        <v>0.164726474221633</v>
      </c>
      <c r="Q165" s="84">
        <v>2</v>
      </c>
      <c r="R165" s="84">
        <v>3</v>
      </c>
      <c r="S165" s="84">
        <v>2</v>
      </c>
      <c r="T165" s="84">
        <v>2</v>
      </c>
      <c r="U165" s="84">
        <v>1</v>
      </c>
      <c r="V165" s="84">
        <v>2</v>
      </c>
      <c r="W165" s="84">
        <v>2</v>
      </c>
      <c r="X165" s="84">
        <v>3</v>
      </c>
      <c r="Y165" s="84">
        <v>1</v>
      </c>
      <c r="Z165" s="84">
        <v>0</v>
      </c>
      <c r="AA165" s="84">
        <v>0</v>
      </c>
      <c r="AB165" s="84">
        <v>0</v>
      </c>
      <c r="AC165" s="84">
        <v>0</v>
      </c>
      <c r="AD165" s="84">
        <v>0</v>
      </c>
      <c r="AE165" s="84">
        <v>2</v>
      </c>
      <c r="AF165" s="84">
        <v>1</v>
      </c>
      <c r="AG165" s="84">
        <v>1</v>
      </c>
      <c r="AH165" s="84">
        <v>1</v>
      </c>
      <c r="AI165" s="84">
        <v>2</v>
      </c>
    </row>
    <row r="166" spans="1:35" ht="36" customHeight="1" x14ac:dyDescent="0.25">
      <c r="A166" s="155" t="s">
        <v>295</v>
      </c>
      <c r="B166" s="155">
        <v>930</v>
      </c>
      <c r="C166" s="155" t="s">
        <v>145</v>
      </c>
      <c r="D166" s="159">
        <v>42992</v>
      </c>
      <c r="E166" s="160" t="s">
        <v>544</v>
      </c>
      <c r="F166" s="160" t="s">
        <v>421</v>
      </c>
      <c r="G166" s="161" t="s">
        <v>584</v>
      </c>
      <c r="H166" s="5">
        <v>37403</v>
      </c>
      <c r="I166" s="6">
        <v>0.37296473544902797</v>
      </c>
      <c r="J166" s="7">
        <v>78320</v>
      </c>
      <c r="K166" s="7">
        <v>2046003</v>
      </c>
      <c r="L166" s="6">
        <v>0.40625323685651299</v>
      </c>
      <c r="M166" s="6">
        <v>0.19574074074074099</v>
      </c>
      <c r="N166" s="6">
        <v>1.7650462962963E-2</v>
      </c>
      <c r="O166" s="6">
        <v>1.5856481481481499E-2</v>
      </c>
      <c r="P166" s="8">
        <v>0.29069444444444398</v>
      </c>
      <c r="Q166" s="84">
        <v>1</v>
      </c>
      <c r="R166" s="84">
        <v>0</v>
      </c>
      <c r="S166" s="84">
        <v>1</v>
      </c>
      <c r="T166" s="84">
        <v>1</v>
      </c>
      <c r="U166" s="84">
        <v>0</v>
      </c>
      <c r="V166" s="84">
        <v>3</v>
      </c>
      <c r="W166" s="84">
        <v>2</v>
      </c>
      <c r="X166" s="84">
        <v>0</v>
      </c>
      <c r="Y166" s="84">
        <v>0</v>
      </c>
      <c r="Z166" s="84">
        <v>3</v>
      </c>
      <c r="AA166" s="84">
        <v>3</v>
      </c>
      <c r="AB166" s="84">
        <v>3</v>
      </c>
      <c r="AC166" s="84">
        <v>4</v>
      </c>
      <c r="AD166" s="84">
        <v>4</v>
      </c>
      <c r="AE166" s="84">
        <v>1</v>
      </c>
      <c r="AF166" s="84">
        <v>3</v>
      </c>
      <c r="AG166" s="84">
        <v>3</v>
      </c>
      <c r="AH166" s="84">
        <v>3</v>
      </c>
      <c r="AI166" s="84">
        <v>2</v>
      </c>
    </row>
    <row r="167" spans="1:35" ht="36" customHeight="1" x14ac:dyDescent="0.25">
      <c r="A167" s="155" t="s">
        <v>297</v>
      </c>
      <c r="B167" s="155">
        <v>1120</v>
      </c>
      <c r="C167" s="155" t="s">
        <v>186</v>
      </c>
      <c r="D167" s="159">
        <v>43020</v>
      </c>
      <c r="E167" s="160" t="s">
        <v>555</v>
      </c>
      <c r="F167" s="160" t="s">
        <v>454</v>
      </c>
      <c r="G167" s="161" t="s">
        <v>585</v>
      </c>
      <c r="H167" s="5">
        <v>168631</v>
      </c>
      <c r="I167" s="6">
        <v>0.56505624707200897</v>
      </c>
      <c r="J167" s="7">
        <v>116849</v>
      </c>
      <c r="K167" s="7">
        <v>1755512</v>
      </c>
      <c r="L167" s="6">
        <v>0.476059163439149</v>
      </c>
      <c r="M167" s="6">
        <v>0.28604804795127498</v>
      </c>
      <c r="N167" s="6">
        <v>0.29032998727099901</v>
      </c>
      <c r="O167" s="6">
        <v>3.2467009329230002E-2</v>
      </c>
      <c r="P167" s="8">
        <v>0.23773020962570299</v>
      </c>
      <c r="Q167" s="84">
        <v>3</v>
      </c>
      <c r="R167" s="84">
        <v>3</v>
      </c>
      <c r="S167" s="84">
        <v>4</v>
      </c>
      <c r="T167" s="84">
        <v>2</v>
      </c>
      <c r="U167" s="84">
        <v>3</v>
      </c>
      <c r="V167" s="84">
        <v>3</v>
      </c>
      <c r="W167" s="84">
        <v>3</v>
      </c>
      <c r="X167" s="84">
        <v>3</v>
      </c>
      <c r="Y167" s="84">
        <v>3</v>
      </c>
      <c r="Z167" s="84">
        <v>0</v>
      </c>
      <c r="AA167" s="84">
        <v>3</v>
      </c>
      <c r="AB167" s="84">
        <v>3</v>
      </c>
      <c r="AC167" s="84">
        <v>3</v>
      </c>
      <c r="AD167" s="84">
        <v>4</v>
      </c>
      <c r="AE167" s="84">
        <v>3</v>
      </c>
      <c r="AF167" s="84">
        <v>2</v>
      </c>
      <c r="AG167" s="84">
        <v>4</v>
      </c>
      <c r="AH167" s="84">
        <v>2</v>
      </c>
      <c r="AI167" s="84">
        <v>3</v>
      </c>
    </row>
    <row r="168" spans="1:35" ht="36" customHeight="1" x14ac:dyDescent="0.25">
      <c r="A168" s="155" t="s">
        <v>297</v>
      </c>
      <c r="B168" s="155">
        <v>1121</v>
      </c>
      <c r="C168" s="155" t="s">
        <v>187</v>
      </c>
      <c r="D168" s="159">
        <v>43034</v>
      </c>
      <c r="E168" s="160" t="s">
        <v>555</v>
      </c>
      <c r="F168" s="160" t="s">
        <v>455</v>
      </c>
      <c r="G168" s="161" t="s">
        <v>585</v>
      </c>
      <c r="H168" s="5">
        <v>65961</v>
      </c>
      <c r="I168" s="6">
        <v>0.74209002289231496</v>
      </c>
      <c r="J168" s="7">
        <v>165740</v>
      </c>
      <c r="K168" s="7">
        <v>2343649</v>
      </c>
      <c r="L168" s="6">
        <v>0.63911789575406197</v>
      </c>
      <c r="M168" s="6">
        <v>0.12558560504378899</v>
      </c>
      <c r="N168" s="6">
        <v>0.34943457936716099</v>
      </c>
      <c r="O168" s="6">
        <v>3.4053801097414897E-2</v>
      </c>
      <c r="P168" s="8">
        <v>0.24264490350051701</v>
      </c>
      <c r="Q168" s="84">
        <v>2</v>
      </c>
      <c r="R168" s="84">
        <v>2</v>
      </c>
      <c r="S168" s="84">
        <v>2</v>
      </c>
      <c r="T168" s="84">
        <v>2</v>
      </c>
      <c r="U168" s="84">
        <v>3</v>
      </c>
      <c r="V168" s="84">
        <v>0</v>
      </c>
      <c r="W168" s="84">
        <v>1</v>
      </c>
      <c r="X168" s="84">
        <v>2</v>
      </c>
      <c r="Y168" s="84">
        <v>2</v>
      </c>
      <c r="Z168" s="84">
        <v>0</v>
      </c>
      <c r="AA168" s="84">
        <v>3</v>
      </c>
      <c r="AB168" s="84">
        <v>3</v>
      </c>
      <c r="AC168" s="84">
        <v>2</v>
      </c>
      <c r="AD168" s="84">
        <v>3</v>
      </c>
      <c r="AE168" s="84">
        <v>1</v>
      </c>
      <c r="AF168" s="84">
        <v>1</v>
      </c>
      <c r="AG168" s="84">
        <v>2</v>
      </c>
      <c r="AH168" s="84">
        <v>1</v>
      </c>
      <c r="AI168" s="84">
        <v>2</v>
      </c>
    </row>
    <row r="169" spans="1:35" ht="36" customHeight="1" x14ac:dyDescent="0.25">
      <c r="A169" s="155" t="s">
        <v>308</v>
      </c>
      <c r="B169" s="155">
        <v>2201</v>
      </c>
      <c r="C169" s="155" t="s">
        <v>261</v>
      </c>
      <c r="D169" s="159">
        <v>43042</v>
      </c>
      <c r="E169" s="160" t="s">
        <v>575</v>
      </c>
      <c r="F169" s="160" t="s">
        <v>510</v>
      </c>
      <c r="G169" s="161" t="s">
        <v>585</v>
      </c>
      <c r="H169" s="5">
        <v>145881</v>
      </c>
      <c r="I169" s="6">
        <v>0.56208142252932203</v>
      </c>
      <c r="J169" s="7">
        <v>113250</v>
      </c>
      <c r="K169" s="7">
        <v>2286117</v>
      </c>
      <c r="L169" s="6">
        <v>0.43867464166067499</v>
      </c>
      <c r="M169" s="6">
        <v>0.224203560363161</v>
      </c>
      <c r="N169" s="6">
        <v>0.14256998197147799</v>
      </c>
      <c r="O169" s="6">
        <v>0.17035117833122801</v>
      </c>
      <c r="P169" s="8">
        <v>0.25839513769688299</v>
      </c>
      <c r="Q169" s="84">
        <v>3</v>
      </c>
      <c r="R169" s="84">
        <v>4</v>
      </c>
      <c r="S169" s="84">
        <v>4</v>
      </c>
      <c r="T169" s="84">
        <v>4</v>
      </c>
      <c r="U169" s="84">
        <v>4</v>
      </c>
      <c r="V169" s="84">
        <v>4</v>
      </c>
      <c r="W169" s="84">
        <v>4</v>
      </c>
      <c r="X169" s="84">
        <v>4</v>
      </c>
      <c r="Y169" s="84">
        <v>4</v>
      </c>
      <c r="Z169" s="84">
        <v>4</v>
      </c>
      <c r="AA169" s="84">
        <v>4</v>
      </c>
      <c r="AB169" s="84">
        <v>4</v>
      </c>
      <c r="AC169" s="84">
        <v>4</v>
      </c>
      <c r="AD169" s="84">
        <v>4</v>
      </c>
      <c r="AE169" s="84">
        <v>4</v>
      </c>
      <c r="AF169" s="84">
        <v>4</v>
      </c>
      <c r="AG169" s="84">
        <v>4</v>
      </c>
      <c r="AH169" s="84">
        <v>4</v>
      </c>
      <c r="AI169" s="84">
        <v>4</v>
      </c>
    </row>
    <row r="170" spans="1:35" ht="36" customHeight="1" x14ac:dyDescent="0.25">
      <c r="A170" s="155" t="s">
        <v>291</v>
      </c>
      <c r="B170" s="155">
        <v>523</v>
      </c>
      <c r="C170" s="155" t="s">
        <v>78</v>
      </c>
      <c r="D170" s="159">
        <v>43055</v>
      </c>
      <c r="E170" s="160" t="s">
        <v>529</v>
      </c>
      <c r="F170" s="160" t="s">
        <v>360</v>
      </c>
      <c r="G170" s="161" t="s">
        <v>585</v>
      </c>
      <c r="H170" s="5">
        <v>87784</v>
      </c>
      <c r="I170" s="6">
        <v>0.44625444272304698</v>
      </c>
      <c r="J170" s="7">
        <v>90801</v>
      </c>
      <c r="K170" s="7">
        <v>857716</v>
      </c>
      <c r="L170" s="6">
        <v>0.40009400931656403</v>
      </c>
      <c r="M170" s="6">
        <v>0.24133823053647199</v>
      </c>
      <c r="N170" s="6">
        <v>7.7496336612937006E-2</v>
      </c>
      <c r="O170" s="6">
        <v>0.105239119264658</v>
      </c>
      <c r="P170" s="8">
        <v>0.191649380554551</v>
      </c>
      <c r="Q170" s="84">
        <v>4</v>
      </c>
      <c r="R170" s="84">
        <v>3</v>
      </c>
      <c r="S170" s="84">
        <v>2</v>
      </c>
      <c r="T170" s="84">
        <v>2</v>
      </c>
      <c r="U170" s="84">
        <v>2</v>
      </c>
      <c r="V170" s="84">
        <v>3</v>
      </c>
      <c r="W170" s="84">
        <v>3</v>
      </c>
      <c r="X170" s="84">
        <v>3</v>
      </c>
      <c r="Y170" s="84">
        <v>3</v>
      </c>
      <c r="Z170" s="84">
        <v>2</v>
      </c>
      <c r="AA170" s="84">
        <v>2</v>
      </c>
      <c r="AB170" s="84">
        <v>1</v>
      </c>
      <c r="AC170" s="84">
        <v>0</v>
      </c>
      <c r="AD170" s="84">
        <v>0</v>
      </c>
      <c r="AE170" s="84">
        <v>1</v>
      </c>
      <c r="AF170" s="84">
        <v>0</v>
      </c>
      <c r="AG170" s="84">
        <v>0</v>
      </c>
      <c r="AH170" s="84">
        <v>0</v>
      </c>
      <c r="AI170" s="84">
        <v>0</v>
      </c>
    </row>
    <row r="171" spans="1:35" ht="36" customHeight="1" x14ac:dyDescent="0.25">
      <c r="A171" s="155" t="s">
        <v>302</v>
      </c>
      <c r="B171" s="155">
        <v>1608</v>
      </c>
      <c r="C171" s="155" t="s">
        <v>237</v>
      </c>
      <c r="D171" s="159">
        <v>43055</v>
      </c>
      <c r="E171" s="160" t="s">
        <v>567</v>
      </c>
      <c r="F171" s="160" t="s">
        <v>492</v>
      </c>
      <c r="G171" s="161" t="s">
        <v>584</v>
      </c>
      <c r="H171" s="5">
        <v>81913</v>
      </c>
      <c r="I171" s="6">
        <v>0.45117380635552401</v>
      </c>
      <c r="J171" s="7">
        <v>89585</v>
      </c>
      <c r="K171" s="7">
        <v>1633013</v>
      </c>
      <c r="L171" s="6">
        <v>0.57829751094270598</v>
      </c>
      <c r="M171" s="6">
        <v>4.3537842997152597E-2</v>
      </c>
      <c r="N171" s="6">
        <v>6.0366432403033E-2</v>
      </c>
      <c r="O171" s="6">
        <v>9.5388667896639606E-2</v>
      </c>
      <c r="P171" s="8">
        <v>0.26529556676513599</v>
      </c>
      <c r="Q171" s="84">
        <v>3</v>
      </c>
      <c r="R171" s="84">
        <v>1</v>
      </c>
      <c r="S171" s="84">
        <v>2</v>
      </c>
      <c r="T171" s="84">
        <v>1</v>
      </c>
      <c r="U171" s="84">
        <v>1</v>
      </c>
      <c r="V171" s="84">
        <v>4</v>
      </c>
      <c r="W171" s="84">
        <v>3</v>
      </c>
      <c r="X171" s="84">
        <v>3</v>
      </c>
      <c r="Y171" s="84">
        <v>1</v>
      </c>
      <c r="Z171" s="84">
        <v>4</v>
      </c>
      <c r="AA171" s="84">
        <v>4</v>
      </c>
      <c r="AB171" s="84">
        <v>3</v>
      </c>
      <c r="AC171" s="84">
        <v>4</v>
      </c>
      <c r="AD171" s="84">
        <v>4</v>
      </c>
      <c r="AE171" s="84">
        <v>4</v>
      </c>
      <c r="AF171" s="84">
        <v>4</v>
      </c>
      <c r="AG171" s="84">
        <v>4</v>
      </c>
      <c r="AH171" s="84">
        <v>4</v>
      </c>
      <c r="AI171" s="84">
        <v>3</v>
      </c>
    </row>
    <row r="172" spans="1:35" ht="36" customHeight="1" x14ac:dyDescent="0.25">
      <c r="A172" s="155" t="s">
        <v>297</v>
      </c>
      <c r="B172" s="155">
        <v>1123</v>
      </c>
      <c r="C172" s="155" t="s">
        <v>189</v>
      </c>
      <c r="D172" s="159">
        <v>43055</v>
      </c>
      <c r="E172" s="160" t="s">
        <v>553</v>
      </c>
      <c r="F172" s="160" t="s">
        <v>457</v>
      </c>
      <c r="G172" s="161" t="s">
        <v>584</v>
      </c>
      <c r="H172" s="5">
        <v>59778</v>
      </c>
      <c r="I172" s="6">
        <v>0.46415069088962502</v>
      </c>
      <c r="J172" s="7">
        <v>93124</v>
      </c>
      <c r="K172" s="7">
        <v>1163387</v>
      </c>
      <c r="L172" s="6">
        <v>0.33267132504336799</v>
      </c>
      <c r="M172" s="6">
        <v>0.32219586868509997</v>
      </c>
      <c r="N172" s="6">
        <v>0.112255455978096</v>
      </c>
      <c r="O172" s="6">
        <v>5.5851811761459799E-2</v>
      </c>
      <c r="P172" s="8">
        <v>0.215389758201875</v>
      </c>
      <c r="Q172" s="84">
        <v>2</v>
      </c>
      <c r="R172" s="84">
        <v>2</v>
      </c>
      <c r="S172" s="84">
        <v>3</v>
      </c>
      <c r="T172" s="84">
        <v>0</v>
      </c>
      <c r="U172" s="84">
        <v>1</v>
      </c>
      <c r="V172" s="84">
        <v>0</v>
      </c>
      <c r="W172" s="84">
        <v>2</v>
      </c>
      <c r="X172" s="84">
        <v>1</v>
      </c>
      <c r="Y172" s="84">
        <v>1</v>
      </c>
      <c r="Z172" s="84">
        <v>1</v>
      </c>
      <c r="AA172" s="84">
        <v>2</v>
      </c>
      <c r="AB172" s="84">
        <v>1</v>
      </c>
      <c r="AC172" s="84">
        <v>0</v>
      </c>
      <c r="AD172" s="84">
        <v>1</v>
      </c>
      <c r="AE172" s="84">
        <v>1</v>
      </c>
      <c r="AF172" s="84">
        <v>0</v>
      </c>
      <c r="AG172" s="84">
        <v>0</v>
      </c>
      <c r="AH172" s="84">
        <v>0</v>
      </c>
      <c r="AI172" s="84">
        <v>1</v>
      </c>
    </row>
    <row r="173" spans="1:35" ht="36" customHeight="1" x14ac:dyDescent="0.25">
      <c r="A173" s="155" t="s">
        <v>305</v>
      </c>
      <c r="B173" s="155">
        <v>1903</v>
      </c>
      <c r="C173" s="155" t="s">
        <v>253</v>
      </c>
      <c r="D173" s="159">
        <v>43160</v>
      </c>
      <c r="E173" s="160" t="s">
        <v>570</v>
      </c>
      <c r="F173" s="160" t="s">
        <v>504</v>
      </c>
      <c r="G173" s="161" t="s">
        <v>584</v>
      </c>
      <c r="H173" s="5">
        <v>115070</v>
      </c>
      <c r="I173" s="6">
        <v>0.27658816372642703</v>
      </c>
      <c r="J173" s="7">
        <v>61994</v>
      </c>
      <c r="K173" s="7">
        <v>628142</v>
      </c>
      <c r="L173" s="6">
        <v>0.32047936002965099</v>
      </c>
      <c r="M173" s="6">
        <v>0.175347293213238</v>
      </c>
      <c r="N173" s="6">
        <v>4.7585768505886403E-2</v>
      </c>
      <c r="O173" s="6">
        <v>3.4203316617659602E-2</v>
      </c>
      <c r="P173" s="8">
        <v>0.26102844142761</v>
      </c>
      <c r="Q173" s="84">
        <v>1</v>
      </c>
      <c r="R173" s="84">
        <v>0</v>
      </c>
      <c r="S173" s="84">
        <v>0</v>
      </c>
      <c r="T173" s="84">
        <v>0</v>
      </c>
      <c r="U173" s="84">
        <v>0</v>
      </c>
      <c r="V173" s="84">
        <v>1</v>
      </c>
      <c r="W173" s="84">
        <v>2</v>
      </c>
      <c r="X173" s="84">
        <v>2</v>
      </c>
      <c r="Y173" s="84">
        <v>2</v>
      </c>
      <c r="Z173" s="84">
        <v>1</v>
      </c>
      <c r="AA173" s="84">
        <v>0</v>
      </c>
      <c r="AB173" s="84">
        <v>0</v>
      </c>
      <c r="AC173" s="84">
        <v>0</v>
      </c>
      <c r="AD173" s="84">
        <v>0</v>
      </c>
      <c r="AE173" s="84">
        <v>0</v>
      </c>
      <c r="AF173" s="84">
        <v>0</v>
      </c>
      <c r="AG173" s="84">
        <v>0</v>
      </c>
      <c r="AH173" s="84">
        <v>1</v>
      </c>
      <c r="AI173" s="84">
        <v>0</v>
      </c>
    </row>
    <row r="174" spans="1:35" ht="36" customHeight="1" x14ac:dyDescent="0.25">
      <c r="A174" s="155" t="s">
        <v>288</v>
      </c>
      <c r="B174" s="155">
        <v>219</v>
      </c>
      <c r="C174" s="155" t="s">
        <v>45</v>
      </c>
      <c r="D174" s="159">
        <v>43174</v>
      </c>
      <c r="E174" s="160" t="s">
        <v>521</v>
      </c>
      <c r="F174" s="160" t="s">
        <v>332</v>
      </c>
      <c r="G174" s="161" t="s">
        <v>584</v>
      </c>
      <c r="H174" s="5">
        <v>82573</v>
      </c>
      <c r="I174" s="6">
        <v>0.670424957310501</v>
      </c>
      <c r="J174" s="7">
        <v>144001</v>
      </c>
      <c r="K174" s="7">
        <v>2629620</v>
      </c>
      <c r="L174" s="6">
        <v>0.68580439218796996</v>
      </c>
      <c r="M174" s="6">
        <v>0.16170733101970999</v>
      </c>
      <c r="N174" s="6">
        <v>0.20246845158764701</v>
      </c>
      <c r="O174" s="6">
        <v>8.1627805708404305E-2</v>
      </c>
      <c r="P174" s="8">
        <v>0.25980321004271001</v>
      </c>
      <c r="Q174" s="84" t="s">
        <v>772</v>
      </c>
      <c r="R174" s="84" t="s">
        <v>772</v>
      </c>
      <c r="S174" s="84" t="s">
        <v>772</v>
      </c>
      <c r="T174" s="84" t="s">
        <v>772</v>
      </c>
      <c r="U174" s="84" t="s">
        <v>772</v>
      </c>
      <c r="V174" s="84" t="s">
        <v>772</v>
      </c>
      <c r="W174" s="84">
        <v>0</v>
      </c>
      <c r="X174" s="84" t="s">
        <v>772</v>
      </c>
      <c r="Y174" s="84" t="s">
        <v>772</v>
      </c>
      <c r="Z174" s="84">
        <v>2</v>
      </c>
      <c r="AA174" s="84">
        <v>2</v>
      </c>
      <c r="AB174" s="84">
        <v>2</v>
      </c>
      <c r="AC174" s="84">
        <v>2</v>
      </c>
      <c r="AD174" s="84">
        <v>2</v>
      </c>
      <c r="AE174" s="84">
        <v>2</v>
      </c>
      <c r="AF174" s="84">
        <v>2</v>
      </c>
      <c r="AG174" s="84">
        <v>2</v>
      </c>
      <c r="AH174" s="84">
        <v>3</v>
      </c>
      <c r="AI174" s="84">
        <v>3</v>
      </c>
    </row>
    <row r="175" spans="1:35" ht="36" customHeight="1" x14ac:dyDescent="0.25">
      <c r="A175" s="155" t="s">
        <v>297</v>
      </c>
      <c r="B175" s="155">
        <v>1128</v>
      </c>
      <c r="C175" s="155" t="s">
        <v>194</v>
      </c>
      <c r="D175" s="159">
        <v>43181</v>
      </c>
      <c r="E175" s="160" t="s">
        <v>555</v>
      </c>
      <c r="F175" s="160" t="s">
        <v>462</v>
      </c>
      <c r="G175" s="161" t="s">
        <v>585</v>
      </c>
      <c r="H175" s="5">
        <v>91054</v>
      </c>
      <c r="I175" s="6">
        <v>0.68023370747029199</v>
      </c>
      <c r="J175" s="7">
        <v>155687</v>
      </c>
      <c r="K175" s="7">
        <v>2320557</v>
      </c>
      <c r="L175" s="6">
        <v>0.64710459041902901</v>
      </c>
      <c r="M175" s="6">
        <v>0.162908191458569</v>
      </c>
      <c r="N175" s="6">
        <v>0.30181389188572799</v>
      </c>
      <c r="O175" s="6">
        <v>1.53365085212571E-2</v>
      </c>
      <c r="P175" s="8">
        <v>0.261220605390802</v>
      </c>
      <c r="Q175" s="84">
        <v>3</v>
      </c>
      <c r="R175" s="84">
        <v>2</v>
      </c>
      <c r="S175" s="84">
        <v>2</v>
      </c>
      <c r="T175" s="84">
        <v>1</v>
      </c>
      <c r="U175" s="84">
        <v>2</v>
      </c>
      <c r="V175" s="84">
        <v>1</v>
      </c>
      <c r="W175" s="84">
        <v>2</v>
      </c>
      <c r="X175" s="84">
        <v>2</v>
      </c>
      <c r="Y175" s="84">
        <v>2</v>
      </c>
      <c r="Z175" s="84">
        <v>0</v>
      </c>
      <c r="AA175" s="84">
        <v>2</v>
      </c>
      <c r="AB175" s="84">
        <v>3</v>
      </c>
      <c r="AC175" s="84">
        <v>3</v>
      </c>
      <c r="AD175" s="84">
        <v>4</v>
      </c>
      <c r="AE175" s="84">
        <v>2</v>
      </c>
      <c r="AF175" s="84">
        <v>2</v>
      </c>
      <c r="AG175" s="84">
        <v>4</v>
      </c>
      <c r="AH175" s="84">
        <v>3</v>
      </c>
      <c r="AI175" s="84">
        <v>3</v>
      </c>
    </row>
    <row r="176" spans="1:35" ht="36" customHeight="1" x14ac:dyDescent="0.25">
      <c r="A176" s="155" t="s">
        <v>305</v>
      </c>
      <c r="B176" s="155">
        <v>1902</v>
      </c>
      <c r="C176" s="155" t="s">
        <v>252</v>
      </c>
      <c r="D176" s="159">
        <v>43202</v>
      </c>
      <c r="E176" s="160" t="s">
        <v>571</v>
      </c>
      <c r="F176" s="160" t="s">
        <v>503</v>
      </c>
      <c r="G176" s="161" t="s">
        <v>584</v>
      </c>
      <c r="H176" s="5">
        <v>73174</v>
      </c>
      <c r="I176" s="6">
        <v>0.42601197146527497</v>
      </c>
      <c r="J176" s="7">
        <v>84430</v>
      </c>
      <c r="K176" s="7">
        <v>1197483</v>
      </c>
      <c r="L176" s="6">
        <v>0.67847617706343699</v>
      </c>
      <c r="M176" s="6">
        <v>7.8141771757185396E-2</v>
      </c>
      <c r="N176" s="6">
        <v>0.10766306270650799</v>
      </c>
      <c r="O176" s="6">
        <v>5.9960062604565802E-2</v>
      </c>
      <c r="P176" s="8">
        <v>0.22904635976037599</v>
      </c>
      <c r="Q176" s="84">
        <v>2</v>
      </c>
      <c r="R176" s="84">
        <v>0</v>
      </c>
      <c r="S176" s="84">
        <v>0</v>
      </c>
      <c r="T176" s="84">
        <v>0</v>
      </c>
      <c r="U176" s="84">
        <v>1</v>
      </c>
      <c r="V176" s="84">
        <v>0</v>
      </c>
      <c r="W176" s="84">
        <v>2</v>
      </c>
      <c r="X176" s="84">
        <v>2</v>
      </c>
      <c r="Y176" s="84">
        <v>2</v>
      </c>
      <c r="Z176" s="84">
        <v>2</v>
      </c>
      <c r="AA176" s="84">
        <v>2</v>
      </c>
      <c r="AB176" s="84">
        <v>1</v>
      </c>
      <c r="AC176" s="84">
        <v>2</v>
      </c>
      <c r="AD176" s="84">
        <v>1</v>
      </c>
      <c r="AE176" s="84">
        <v>1</v>
      </c>
      <c r="AF176" s="84">
        <v>2</v>
      </c>
      <c r="AG176" s="84">
        <v>1</v>
      </c>
      <c r="AH176" s="84">
        <v>3</v>
      </c>
      <c r="AI176" s="84">
        <v>1</v>
      </c>
    </row>
    <row r="177" spans="1:35" ht="36" customHeight="1" x14ac:dyDescent="0.25">
      <c r="A177" s="155" t="s">
        <v>307</v>
      </c>
      <c r="B177" s="155">
        <v>2102</v>
      </c>
      <c r="C177" s="155" t="s">
        <v>258</v>
      </c>
      <c r="D177" s="159">
        <v>43209</v>
      </c>
      <c r="E177" s="160" t="s">
        <v>574</v>
      </c>
      <c r="F177" s="160" t="s">
        <v>508</v>
      </c>
      <c r="G177" s="161" t="s">
        <v>584</v>
      </c>
      <c r="H177" s="5">
        <v>97501</v>
      </c>
      <c r="I177" s="6">
        <v>0.25826401780494601</v>
      </c>
      <c r="J177" s="7">
        <v>56431</v>
      </c>
      <c r="K177" s="7">
        <v>737339</v>
      </c>
      <c r="L177" s="6">
        <v>0.48137046111530202</v>
      </c>
      <c r="M177" s="6">
        <v>7.0186542890799397E-2</v>
      </c>
      <c r="N177" s="6">
        <v>4.7391740070678798E-2</v>
      </c>
      <c r="O177" s="6">
        <v>0.12589447404047299</v>
      </c>
      <c r="P177" s="8">
        <v>0.22147353060112199</v>
      </c>
      <c r="Q177" s="84">
        <v>2</v>
      </c>
      <c r="R177" s="84">
        <v>1</v>
      </c>
      <c r="S177" s="84">
        <v>0</v>
      </c>
      <c r="T177" s="84">
        <v>0</v>
      </c>
      <c r="U177" s="84">
        <v>0</v>
      </c>
      <c r="V177" s="84">
        <v>1</v>
      </c>
      <c r="W177" s="84">
        <v>1</v>
      </c>
      <c r="X177" s="84">
        <v>0</v>
      </c>
      <c r="Y177" s="84">
        <v>0</v>
      </c>
      <c r="Z177" s="84">
        <v>2</v>
      </c>
      <c r="AA177" s="84">
        <v>1</v>
      </c>
      <c r="AB177" s="84">
        <v>1</v>
      </c>
      <c r="AC177" s="84">
        <v>2</v>
      </c>
      <c r="AD177" s="84">
        <v>2</v>
      </c>
      <c r="AE177" s="84">
        <v>2</v>
      </c>
      <c r="AF177" s="84">
        <v>2</v>
      </c>
      <c r="AG177" s="84">
        <v>2</v>
      </c>
      <c r="AH177" s="84">
        <v>2</v>
      </c>
      <c r="AI177" s="84">
        <v>0</v>
      </c>
    </row>
    <row r="178" spans="1:35" ht="36" customHeight="1" x14ac:dyDescent="0.25">
      <c r="A178" s="155" t="s">
        <v>299</v>
      </c>
      <c r="B178" s="155">
        <v>1303</v>
      </c>
      <c r="C178" s="155" t="s">
        <v>212</v>
      </c>
      <c r="D178" s="159">
        <v>43216</v>
      </c>
      <c r="E178" s="160" t="s">
        <v>560</v>
      </c>
      <c r="F178" s="160" t="s">
        <v>470</v>
      </c>
      <c r="G178" s="161" t="s">
        <v>584</v>
      </c>
      <c r="H178" s="5">
        <v>38782</v>
      </c>
      <c r="I178" s="6">
        <v>0.24787272445980099</v>
      </c>
      <c r="J178" s="7">
        <v>56987</v>
      </c>
      <c r="K178" s="7">
        <v>772125</v>
      </c>
      <c r="L178" s="6">
        <v>0.41127653232511802</v>
      </c>
      <c r="M178" s="6">
        <v>0.57505580986312499</v>
      </c>
      <c r="N178" s="6">
        <v>1.6585112859945399E-2</v>
      </c>
      <c r="O178" s="6">
        <v>1.19286535729587E-2</v>
      </c>
      <c r="P178" s="8">
        <v>0.27207026405393803</v>
      </c>
      <c r="Q178" s="84">
        <v>1</v>
      </c>
      <c r="R178" s="84">
        <v>2</v>
      </c>
      <c r="S178" s="84">
        <v>1</v>
      </c>
      <c r="T178" s="84">
        <v>1</v>
      </c>
      <c r="U178" s="84">
        <v>0</v>
      </c>
      <c r="V178" s="84">
        <v>1</v>
      </c>
      <c r="W178" s="84">
        <v>1</v>
      </c>
      <c r="X178" s="84">
        <v>1</v>
      </c>
      <c r="Y178" s="84">
        <v>0</v>
      </c>
      <c r="Z178" s="84">
        <v>1</v>
      </c>
      <c r="AA178" s="84">
        <v>0</v>
      </c>
      <c r="AB178" s="84">
        <v>0</v>
      </c>
      <c r="AC178" s="84">
        <v>2</v>
      </c>
      <c r="AD178" s="84">
        <v>2</v>
      </c>
      <c r="AE178" s="84">
        <v>0</v>
      </c>
      <c r="AF178" s="84">
        <v>2</v>
      </c>
      <c r="AG178" s="84">
        <v>2</v>
      </c>
      <c r="AH178" s="84">
        <v>3</v>
      </c>
      <c r="AI178" s="84">
        <v>0</v>
      </c>
    </row>
    <row r="179" spans="1:35" ht="36" customHeight="1" x14ac:dyDescent="0.25">
      <c r="A179" s="155" t="s">
        <v>297</v>
      </c>
      <c r="B179" s="155">
        <v>1126</v>
      </c>
      <c r="C179" s="155" t="s">
        <v>192</v>
      </c>
      <c r="D179" s="159">
        <v>43223</v>
      </c>
      <c r="E179" s="160" t="s">
        <v>553</v>
      </c>
      <c r="F179" s="160" t="s">
        <v>460</v>
      </c>
      <c r="G179" s="161" t="s">
        <v>584</v>
      </c>
      <c r="H179" s="5">
        <v>184922</v>
      </c>
      <c r="I179" s="6">
        <v>0.43838483252398303</v>
      </c>
      <c r="J179" s="7">
        <v>85785</v>
      </c>
      <c r="K179" s="7">
        <v>1159131</v>
      </c>
      <c r="L179" s="6">
        <v>0.48172090224585701</v>
      </c>
      <c r="M179" s="6">
        <v>0.362988162558669</v>
      </c>
      <c r="N179" s="6">
        <v>0.299689701934087</v>
      </c>
      <c r="O179" s="6">
        <v>5.7453992645076099E-2</v>
      </c>
      <c r="P179" s="8">
        <v>0.24961017339956201</v>
      </c>
      <c r="Q179" s="84">
        <v>3</v>
      </c>
      <c r="R179" s="84">
        <v>3</v>
      </c>
      <c r="S179" s="84">
        <v>4</v>
      </c>
      <c r="T179" s="84">
        <v>1</v>
      </c>
      <c r="U179" s="84">
        <v>3</v>
      </c>
      <c r="V179" s="84">
        <v>1</v>
      </c>
      <c r="W179" s="84">
        <v>3</v>
      </c>
      <c r="X179" s="84">
        <v>1</v>
      </c>
      <c r="Y179" s="84">
        <v>2</v>
      </c>
      <c r="Z179" s="84">
        <v>0</v>
      </c>
      <c r="AA179" s="84">
        <v>2</v>
      </c>
      <c r="AB179" s="84">
        <v>3</v>
      </c>
      <c r="AC179" s="84">
        <v>1</v>
      </c>
      <c r="AD179" s="84">
        <v>3</v>
      </c>
      <c r="AE179" s="84">
        <v>3</v>
      </c>
      <c r="AF179" s="84">
        <v>2</v>
      </c>
      <c r="AG179" s="84">
        <v>4</v>
      </c>
      <c r="AH179" s="84">
        <v>2</v>
      </c>
      <c r="AI179" s="84">
        <v>4</v>
      </c>
    </row>
    <row r="180" spans="1:35" ht="36" customHeight="1" x14ac:dyDescent="0.25">
      <c r="A180" s="155" t="s">
        <v>295</v>
      </c>
      <c r="B180" s="155">
        <v>931</v>
      </c>
      <c r="C180" s="155" t="s">
        <v>146</v>
      </c>
      <c r="D180" s="159">
        <v>43230</v>
      </c>
      <c r="E180" s="160" t="s">
        <v>545</v>
      </c>
      <c r="F180" s="160" t="s">
        <v>422</v>
      </c>
      <c r="G180" s="161" t="s">
        <v>585</v>
      </c>
      <c r="H180" s="5">
        <v>162992</v>
      </c>
      <c r="I180" s="6">
        <v>0.22057524295670999</v>
      </c>
      <c r="J180" s="7">
        <v>52054</v>
      </c>
      <c r="K180" s="7">
        <v>616482</v>
      </c>
      <c r="L180" s="6">
        <v>0.31587576251329802</v>
      </c>
      <c r="M180" s="6">
        <v>0.38358653989623898</v>
      </c>
      <c r="N180" s="6">
        <v>2.1664632371466399E-2</v>
      </c>
      <c r="O180" s="6">
        <v>0.32814445371224199</v>
      </c>
      <c r="P180" s="8">
        <v>0.25623802966075798</v>
      </c>
      <c r="Q180" s="84">
        <v>0</v>
      </c>
      <c r="R180" s="84">
        <v>3</v>
      </c>
      <c r="S180" s="84">
        <v>4</v>
      </c>
      <c r="T180" s="84">
        <v>4</v>
      </c>
      <c r="U180" s="84">
        <v>4</v>
      </c>
      <c r="V180" s="84">
        <v>2</v>
      </c>
      <c r="W180" s="84">
        <v>1</v>
      </c>
      <c r="X180" s="84">
        <v>3</v>
      </c>
      <c r="Y180" s="84">
        <v>3</v>
      </c>
      <c r="Z180" s="84">
        <v>2</v>
      </c>
      <c r="AA180" s="84">
        <v>1</v>
      </c>
      <c r="AB180" s="84">
        <v>4</v>
      </c>
      <c r="AC180" s="84">
        <v>0</v>
      </c>
      <c r="AD180" s="84">
        <v>3</v>
      </c>
      <c r="AE180" s="84">
        <v>4</v>
      </c>
      <c r="AF180" s="84">
        <v>1</v>
      </c>
      <c r="AG180" s="84">
        <v>2</v>
      </c>
      <c r="AH180" s="84">
        <v>2</v>
      </c>
      <c r="AI180" s="84">
        <v>4</v>
      </c>
    </row>
    <row r="181" spans="1:35" ht="36" customHeight="1" x14ac:dyDescent="0.25">
      <c r="A181" s="155" t="s">
        <v>306</v>
      </c>
      <c r="B181" s="155">
        <v>2001</v>
      </c>
      <c r="C181" s="155" t="s">
        <v>255</v>
      </c>
      <c r="D181" s="159">
        <v>43272</v>
      </c>
      <c r="E181" s="160" t="s">
        <v>572</v>
      </c>
      <c r="F181" s="160" t="s">
        <v>506</v>
      </c>
      <c r="G181" s="161" t="s">
        <v>585</v>
      </c>
      <c r="H181" s="5">
        <v>35028</v>
      </c>
      <c r="I181" s="6">
        <v>0.47444901221879598</v>
      </c>
      <c r="J181" s="7">
        <v>94766</v>
      </c>
      <c r="K181" s="7">
        <v>1836093</v>
      </c>
      <c r="L181" s="6">
        <v>0.59056104473638904</v>
      </c>
      <c r="M181" s="6">
        <v>4.3670850767085101E-2</v>
      </c>
      <c r="N181" s="6">
        <v>5.3020920502091999E-2</v>
      </c>
      <c r="O181" s="6">
        <v>3.2122733612273399E-2</v>
      </c>
      <c r="P181" s="8">
        <v>0.28474198047419802</v>
      </c>
      <c r="Q181" s="84">
        <v>4</v>
      </c>
      <c r="R181" s="84">
        <v>3</v>
      </c>
      <c r="S181" s="84">
        <v>2</v>
      </c>
      <c r="T181" s="84">
        <v>3</v>
      </c>
      <c r="U181" s="84">
        <v>1</v>
      </c>
      <c r="V181" s="84">
        <v>4</v>
      </c>
      <c r="W181" s="84">
        <v>4</v>
      </c>
      <c r="X181" s="84">
        <v>1</v>
      </c>
      <c r="Y181" s="84">
        <v>1</v>
      </c>
      <c r="Z181" s="84">
        <v>4</v>
      </c>
      <c r="AA181" s="84">
        <v>4</v>
      </c>
      <c r="AB181" s="84">
        <v>3</v>
      </c>
      <c r="AC181" s="84">
        <v>4</v>
      </c>
      <c r="AD181" s="84">
        <v>3</v>
      </c>
      <c r="AE181" s="84">
        <v>4</v>
      </c>
      <c r="AF181" s="84">
        <v>4</v>
      </c>
      <c r="AG181" s="84">
        <v>3</v>
      </c>
      <c r="AH181" s="84">
        <v>4</v>
      </c>
      <c r="AI181" s="84">
        <v>1</v>
      </c>
    </row>
    <row r="182" spans="1:35" ht="36" customHeight="1" x14ac:dyDescent="0.25">
      <c r="A182" s="155" t="s">
        <v>291</v>
      </c>
      <c r="B182" s="155">
        <v>527</v>
      </c>
      <c r="C182" s="155" t="s">
        <v>82</v>
      </c>
      <c r="D182" s="159">
        <v>43300</v>
      </c>
      <c r="E182" s="160" t="s">
        <v>532</v>
      </c>
      <c r="F182" s="160" t="s">
        <v>364</v>
      </c>
      <c r="G182" s="161" t="s">
        <v>585</v>
      </c>
      <c r="H182" s="5">
        <v>72971</v>
      </c>
      <c r="I182" s="6">
        <v>0.52781241863205897</v>
      </c>
      <c r="J182" s="7">
        <v>104835</v>
      </c>
      <c r="K182" s="7">
        <v>1891355</v>
      </c>
      <c r="L182" s="6">
        <v>0.56138964093038002</v>
      </c>
      <c r="M182" s="6">
        <v>0.15358609250514399</v>
      </c>
      <c r="N182" s="6">
        <v>0.414523833262334</v>
      </c>
      <c r="O182" s="6">
        <v>0.120571200681598</v>
      </c>
      <c r="P182" s="8">
        <v>0.27218591666742198</v>
      </c>
      <c r="Q182" s="84">
        <v>2</v>
      </c>
      <c r="R182" s="84">
        <v>3</v>
      </c>
      <c r="S182" s="84">
        <v>2</v>
      </c>
      <c r="T182" s="84">
        <v>3</v>
      </c>
      <c r="U182" s="84">
        <v>3</v>
      </c>
      <c r="V182" s="84">
        <v>3</v>
      </c>
      <c r="W182" s="84">
        <v>2</v>
      </c>
      <c r="X182" s="84">
        <v>4</v>
      </c>
      <c r="Y182" s="84">
        <v>4</v>
      </c>
      <c r="Z182" s="84">
        <v>2</v>
      </c>
      <c r="AA182" s="84">
        <v>3</v>
      </c>
      <c r="AB182" s="84">
        <v>2</v>
      </c>
      <c r="AC182" s="84">
        <v>1</v>
      </c>
      <c r="AD182" s="84">
        <v>1</v>
      </c>
      <c r="AE182" s="84">
        <v>2</v>
      </c>
      <c r="AF182" s="84">
        <v>1</v>
      </c>
      <c r="AG182" s="84">
        <v>1</v>
      </c>
      <c r="AH182" s="84">
        <v>1</v>
      </c>
      <c r="AI182" s="84">
        <v>2</v>
      </c>
    </row>
    <row r="183" spans="1:35" ht="36" customHeight="1" x14ac:dyDescent="0.25">
      <c r="A183" s="155" t="s">
        <v>309</v>
      </c>
      <c r="B183" s="155">
        <v>2301</v>
      </c>
      <c r="C183" s="155" t="s">
        <v>263</v>
      </c>
      <c r="D183" s="159">
        <v>43300</v>
      </c>
      <c r="E183" s="160" t="s">
        <v>576</v>
      </c>
      <c r="F183" s="160" t="s">
        <v>512</v>
      </c>
      <c r="G183" s="161" t="s">
        <v>584</v>
      </c>
      <c r="H183" s="5">
        <v>229522</v>
      </c>
      <c r="I183" s="6">
        <v>0.36713256245588699</v>
      </c>
      <c r="J183" s="7">
        <v>71604</v>
      </c>
      <c r="K183" s="7">
        <v>865880</v>
      </c>
      <c r="L183" s="6">
        <v>0.574700207638289</v>
      </c>
      <c r="M183" s="6">
        <v>0.21749202491265399</v>
      </c>
      <c r="N183" s="6">
        <v>5.3766435431329897E-2</v>
      </c>
      <c r="O183" s="6">
        <v>8.1193984505544603E-2</v>
      </c>
      <c r="P183" s="8">
        <v>0.222884703022938</v>
      </c>
      <c r="Q183" s="84">
        <v>4</v>
      </c>
      <c r="R183" s="84">
        <v>4</v>
      </c>
      <c r="S183" s="84">
        <v>3</v>
      </c>
      <c r="T183" s="84">
        <v>2</v>
      </c>
      <c r="U183" s="84">
        <v>2</v>
      </c>
      <c r="V183" s="84">
        <v>3</v>
      </c>
      <c r="W183" s="84">
        <v>3</v>
      </c>
      <c r="X183" s="84">
        <v>1</v>
      </c>
      <c r="Y183" s="84">
        <v>2</v>
      </c>
      <c r="Z183" s="84">
        <v>4</v>
      </c>
      <c r="AA183" s="84">
        <v>4</v>
      </c>
      <c r="AB183" s="84">
        <v>3</v>
      </c>
      <c r="AC183" s="84">
        <v>4</v>
      </c>
      <c r="AD183" s="84">
        <v>4</v>
      </c>
      <c r="AE183" s="84">
        <v>4</v>
      </c>
      <c r="AF183" s="84">
        <v>4</v>
      </c>
      <c r="AG183" s="84">
        <v>4</v>
      </c>
      <c r="AH183" s="84">
        <v>4</v>
      </c>
      <c r="AI183" s="84">
        <v>3</v>
      </c>
    </row>
    <row r="184" spans="1:35" ht="36" customHeight="1" x14ac:dyDescent="0.25">
      <c r="A184" s="155" t="s">
        <v>288</v>
      </c>
      <c r="B184" s="155">
        <v>220</v>
      </c>
      <c r="C184" s="155" t="s">
        <v>46</v>
      </c>
      <c r="D184" s="159">
        <v>43307</v>
      </c>
      <c r="E184" s="160" t="s">
        <v>522</v>
      </c>
      <c r="F184" s="160" t="s">
        <v>333</v>
      </c>
      <c r="G184" s="161" t="s">
        <v>585</v>
      </c>
      <c r="H184" s="5">
        <v>58624</v>
      </c>
      <c r="I184" s="6">
        <v>0.46098867358078599</v>
      </c>
      <c r="J184" s="7">
        <v>90248</v>
      </c>
      <c r="K184" s="7">
        <v>1543827</v>
      </c>
      <c r="L184" s="6">
        <v>0.60745167853509696</v>
      </c>
      <c r="M184" s="6">
        <v>6.1752432042370999E-2</v>
      </c>
      <c r="N184" s="6">
        <v>0.16456196006617099</v>
      </c>
      <c r="O184" s="6">
        <v>0.104143832585624</v>
      </c>
      <c r="P184" s="8">
        <v>0.24083516573288</v>
      </c>
      <c r="Q184" s="84" t="s">
        <v>772</v>
      </c>
      <c r="R184" s="84" t="s">
        <v>772</v>
      </c>
      <c r="S184" s="84" t="s">
        <v>772</v>
      </c>
      <c r="T184" s="84" t="s">
        <v>772</v>
      </c>
      <c r="U184" s="84" t="s">
        <v>772</v>
      </c>
      <c r="V184" s="84" t="s">
        <v>772</v>
      </c>
      <c r="W184" s="84">
        <v>0</v>
      </c>
      <c r="X184" s="84" t="s">
        <v>772</v>
      </c>
      <c r="Y184" s="84" t="s">
        <v>772</v>
      </c>
      <c r="Z184" s="84">
        <v>2</v>
      </c>
      <c r="AA184" s="84">
        <v>1</v>
      </c>
      <c r="AB184" s="84">
        <v>1</v>
      </c>
      <c r="AC184" s="84">
        <v>3</v>
      </c>
      <c r="AD184" s="84">
        <v>2</v>
      </c>
      <c r="AE184" s="84">
        <v>1</v>
      </c>
      <c r="AF184" s="84">
        <v>2</v>
      </c>
      <c r="AG184" s="84">
        <v>1</v>
      </c>
      <c r="AH184" s="84">
        <v>2</v>
      </c>
      <c r="AI184" s="84">
        <v>1</v>
      </c>
    </row>
    <row r="185" spans="1:35" ht="36" customHeight="1" x14ac:dyDescent="0.25">
      <c r="A185" s="155" t="s">
        <v>297</v>
      </c>
      <c r="B185" s="155">
        <v>1125</v>
      </c>
      <c r="C185" s="155" t="s">
        <v>191</v>
      </c>
      <c r="D185" s="159">
        <v>43307</v>
      </c>
      <c r="E185" s="160" t="s">
        <v>555</v>
      </c>
      <c r="F185" s="160" t="s">
        <v>459</v>
      </c>
      <c r="G185" s="161" t="s">
        <v>585</v>
      </c>
      <c r="H185" s="5">
        <v>154338</v>
      </c>
      <c r="I185" s="6">
        <v>0.53543521362205004</v>
      </c>
      <c r="J185" s="7">
        <v>107592</v>
      </c>
      <c r="K185" s="7">
        <v>1631885</v>
      </c>
      <c r="L185" s="6">
        <v>0.43622193947105298</v>
      </c>
      <c r="M185" s="6">
        <v>0.21415061266560401</v>
      </c>
      <c r="N185" s="6">
        <v>0.49268516944082302</v>
      </c>
      <c r="O185" s="6">
        <v>3.4541030856850202E-2</v>
      </c>
      <c r="P185" s="8">
        <v>0.25793673285596402</v>
      </c>
      <c r="Q185" s="84">
        <v>3</v>
      </c>
      <c r="R185" s="84">
        <v>4</v>
      </c>
      <c r="S185" s="84">
        <v>4</v>
      </c>
      <c r="T185" s="84">
        <v>2</v>
      </c>
      <c r="U185" s="84">
        <v>3</v>
      </c>
      <c r="V185" s="84">
        <v>2</v>
      </c>
      <c r="W185" s="84">
        <v>3</v>
      </c>
      <c r="X185" s="84">
        <v>4</v>
      </c>
      <c r="Y185" s="84">
        <v>3</v>
      </c>
      <c r="Z185" s="84">
        <v>2</v>
      </c>
      <c r="AA185" s="84">
        <v>2</v>
      </c>
      <c r="AB185" s="84">
        <v>3</v>
      </c>
      <c r="AC185" s="84">
        <v>2</v>
      </c>
      <c r="AD185" s="84">
        <v>3</v>
      </c>
      <c r="AE185" s="84">
        <v>4</v>
      </c>
      <c r="AF185" s="84">
        <v>2</v>
      </c>
      <c r="AG185" s="84">
        <v>4</v>
      </c>
      <c r="AH185" s="84">
        <v>3</v>
      </c>
      <c r="AI185" s="84">
        <v>4</v>
      </c>
    </row>
    <row r="186" spans="1:35" ht="36" customHeight="1" x14ac:dyDescent="0.25">
      <c r="A186" s="155" t="s">
        <v>303</v>
      </c>
      <c r="B186" s="155">
        <v>1705</v>
      </c>
      <c r="C186" s="155" t="s">
        <v>243</v>
      </c>
      <c r="D186" s="159">
        <v>43356</v>
      </c>
      <c r="E186" s="160" t="s">
        <v>568</v>
      </c>
      <c r="F186" s="160" t="s">
        <v>497</v>
      </c>
      <c r="G186" s="161" t="s">
        <v>585</v>
      </c>
      <c r="H186" s="5">
        <v>78191</v>
      </c>
      <c r="I186" s="6">
        <v>0.608382038853576</v>
      </c>
      <c r="J186" s="7">
        <v>124634</v>
      </c>
      <c r="K186" s="7">
        <v>2530877</v>
      </c>
      <c r="L186" s="6">
        <v>0.62888975308894701</v>
      </c>
      <c r="M186" s="6">
        <v>4.0941397607346303E-2</v>
      </c>
      <c r="N186" s="6">
        <v>0.14136627963894799</v>
      </c>
      <c r="O186" s="6">
        <v>2.88753353043683E-2</v>
      </c>
      <c r="P186" s="8">
        <v>0.28197384136432202</v>
      </c>
      <c r="Q186" s="84">
        <v>2</v>
      </c>
      <c r="R186" s="84">
        <v>1</v>
      </c>
      <c r="S186" s="84">
        <v>1</v>
      </c>
      <c r="T186" s="84">
        <v>2</v>
      </c>
      <c r="U186" s="84">
        <v>2</v>
      </c>
      <c r="V186" s="84">
        <v>2</v>
      </c>
      <c r="W186" s="84">
        <v>3</v>
      </c>
      <c r="X186" s="84">
        <v>1</v>
      </c>
      <c r="Y186" s="84">
        <v>1</v>
      </c>
      <c r="Z186" s="84">
        <v>3</v>
      </c>
      <c r="AA186" s="84">
        <v>4</v>
      </c>
      <c r="AB186" s="84">
        <v>3</v>
      </c>
      <c r="AC186" s="84">
        <v>3</v>
      </c>
      <c r="AD186" s="84">
        <v>3</v>
      </c>
      <c r="AE186" s="84">
        <v>4</v>
      </c>
      <c r="AF186" s="84">
        <v>4</v>
      </c>
      <c r="AG186" s="84">
        <v>4</v>
      </c>
      <c r="AH186" s="84">
        <v>4</v>
      </c>
      <c r="AI186" s="84">
        <v>3</v>
      </c>
    </row>
    <row r="187" spans="1:35" ht="36" customHeight="1" x14ac:dyDescent="0.25">
      <c r="A187" s="155" t="s">
        <v>291</v>
      </c>
      <c r="B187" s="155">
        <v>524</v>
      </c>
      <c r="C187" s="155" t="s">
        <v>79</v>
      </c>
      <c r="D187" s="159">
        <v>43363</v>
      </c>
      <c r="E187" s="160" t="s">
        <v>532</v>
      </c>
      <c r="F187" s="160" t="s">
        <v>361</v>
      </c>
      <c r="G187" s="161" t="s">
        <v>585</v>
      </c>
      <c r="H187" s="5">
        <v>65602</v>
      </c>
      <c r="I187" s="6">
        <v>0.53539526233956303</v>
      </c>
      <c r="J187" s="7">
        <v>106365</v>
      </c>
      <c r="K187" s="7">
        <v>1703161</v>
      </c>
      <c r="L187" s="6">
        <v>0.53264336671697099</v>
      </c>
      <c r="M187" s="6">
        <v>0.21523005258849601</v>
      </c>
      <c r="N187" s="6">
        <v>5.8306685746927399E-2</v>
      </c>
      <c r="O187" s="6">
        <v>6.0350158118827602E-2</v>
      </c>
      <c r="P187" s="8">
        <v>0.25392647032842802</v>
      </c>
      <c r="Q187" s="84">
        <v>4</v>
      </c>
      <c r="R187" s="84">
        <v>3</v>
      </c>
      <c r="S187" s="84">
        <v>2</v>
      </c>
      <c r="T187" s="84">
        <v>3</v>
      </c>
      <c r="U187" s="84">
        <v>2</v>
      </c>
      <c r="V187" s="84">
        <v>3</v>
      </c>
      <c r="W187" s="84">
        <v>2</v>
      </c>
      <c r="X187" s="84">
        <v>1</v>
      </c>
      <c r="Y187" s="84">
        <v>2</v>
      </c>
      <c r="Z187" s="84">
        <v>3</v>
      </c>
      <c r="AA187" s="84">
        <v>3</v>
      </c>
      <c r="AB187" s="84">
        <v>3</v>
      </c>
      <c r="AC187" s="84">
        <v>2</v>
      </c>
      <c r="AD187" s="84">
        <v>3</v>
      </c>
      <c r="AE187" s="84">
        <v>3</v>
      </c>
      <c r="AF187" s="84">
        <v>2</v>
      </c>
      <c r="AG187" s="84">
        <v>3</v>
      </c>
      <c r="AH187" s="84">
        <v>2</v>
      </c>
      <c r="AI187" s="84">
        <v>3</v>
      </c>
    </row>
    <row r="188" spans="1:35" ht="36" customHeight="1" x14ac:dyDescent="0.25">
      <c r="A188" s="155" t="s">
        <v>291</v>
      </c>
      <c r="B188" s="155">
        <v>528</v>
      </c>
      <c r="C188" s="155" t="s">
        <v>83</v>
      </c>
      <c r="D188" s="159">
        <v>43384</v>
      </c>
      <c r="E188" s="160" t="s">
        <v>529</v>
      </c>
      <c r="F188" s="160" t="s">
        <v>365</v>
      </c>
      <c r="G188" s="161" t="s">
        <v>584</v>
      </c>
      <c r="H188" s="5">
        <v>83891</v>
      </c>
      <c r="I188" s="6">
        <v>0.40702816750306903</v>
      </c>
      <c r="J188" s="7">
        <v>80985</v>
      </c>
      <c r="K188" s="7">
        <v>1329555</v>
      </c>
      <c r="L188" s="6">
        <v>0.45441072543517202</v>
      </c>
      <c r="M188" s="6">
        <v>0.18309599565419801</v>
      </c>
      <c r="N188" s="6">
        <v>9.27896554400124E-2</v>
      </c>
      <c r="O188" s="6">
        <v>0.10654489368306699</v>
      </c>
      <c r="P188" s="8">
        <v>0.27305311966475199</v>
      </c>
      <c r="Q188" s="84">
        <v>4</v>
      </c>
      <c r="R188" s="84">
        <v>3</v>
      </c>
      <c r="S188" s="84">
        <v>2</v>
      </c>
      <c r="T188" s="84">
        <v>3</v>
      </c>
      <c r="U188" s="84">
        <v>2</v>
      </c>
      <c r="V188" s="84">
        <v>4</v>
      </c>
      <c r="W188" s="84">
        <v>3</v>
      </c>
      <c r="X188" s="84">
        <v>2</v>
      </c>
      <c r="Y188" s="84">
        <v>1</v>
      </c>
      <c r="Z188" s="84">
        <v>3</v>
      </c>
      <c r="AA188" s="84">
        <v>4</v>
      </c>
      <c r="AB188" s="84">
        <v>3</v>
      </c>
      <c r="AC188" s="84">
        <v>2</v>
      </c>
      <c r="AD188" s="84">
        <v>2</v>
      </c>
      <c r="AE188" s="84">
        <v>2</v>
      </c>
      <c r="AF188" s="84">
        <v>2</v>
      </c>
      <c r="AG188" s="84">
        <v>2</v>
      </c>
      <c r="AH188" s="84">
        <v>2</v>
      </c>
      <c r="AI188" s="84">
        <v>2</v>
      </c>
    </row>
    <row r="189" spans="1:35" ht="36" customHeight="1" x14ac:dyDescent="0.25">
      <c r="A189" s="155" t="s">
        <v>292</v>
      </c>
      <c r="B189" s="155">
        <v>614</v>
      </c>
      <c r="C189" s="155" t="s">
        <v>105</v>
      </c>
      <c r="D189" s="159">
        <v>43398</v>
      </c>
      <c r="E189" s="160" t="s">
        <v>536</v>
      </c>
      <c r="F189" s="160" t="s">
        <v>384</v>
      </c>
      <c r="G189" s="161" t="s">
        <v>584</v>
      </c>
      <c r="H189" s="5">
        <v>52204</v>
      </c>
      <c r="I189" s="6">
        <v>0.36217531223660998</v>
      </c>
      <c r="J189" s="7">
        <v>76881</v>
      </c>
      <c r="K189" s="7">
        <v>881695</v>
      </c>
      <c r="L189" s="6">
        <v>0.51720991590172005</v>
      </c>
      <c r="M189" s="6">
        <v>0.101874929194517</v>
      </c>
      <c r="N189" s="6">
        <v>8.5299365582870698E-2</v>
      </c>
      <c r="O189" s="6">
        <v>0.30025773195876299</v>
      </c>
      <c r="P189" s="8">
        <v>0.190622521808089</v>
      </c>
      <c r="Q189" s="84" t="s">
        <v>772</v>
      </c>
      <c r="R189" s="84" t="s">
        <v>772</v>
      </c>
      <c r="S189" s="84" t="s">
        <v>772</v>
      </c>
      <c r="T189" s="84" t="s">
        <v>772</v>
      </c>
      <c r="U189" s="84" t="s">
        <v>772</v>
      </c>
      <c r="V189" s="84" t="s">
        <v>772</v>
      </c>
      <c r="W189" s="84">
        <v>2</v>
      </c>
      <c r="X189" s="84" t="s">
        <v>772</v>
      </c>
      <c r="Y189" s="84" t="s">
        <v>772</v>
      </c>
      <c r="Z189" s="84">
        <v>2</v>
      </c>
      <c r="AA189" s="84">
        <v>0</v>
      </c>
      <c r="AB189" s="84">
        <v>0</v>
      </c>
      <c r="AC189" s="84">
        <v>1</v>
      </c>
      <c r="AD189" s="84">
        <v>0</v>
      </c>
      <c r="AE189" s="84">
        <v>2</v>
      </c>
      <c r="AF189" s="84">
        <v>1</v>
      </c>
      <c r="AG189" s="84">
        <v>0</v>
      </c>
      <c r="AH189" s="84">
        <v>0</v>
      </c>
      <c r="AI189" s="84">
        <v>0</v>
      </c>
    </row>
    <row r="190" spans="1:35" ht="36" customHeight="1" x14ac:dyDescent="0.25">
      <c r="A190" s="155" t="s">
        <v>307</v>
      </c>
      <c r="B190" s="155">
        <v>2103</v>
      </c>
      <c r="C190" s="155" t="s">
        <v>259</v>
      </c>
      <c r="D190" s="159">
        <v>43405</v>
      </c>
      <c r="E190" s="160" t="s">
        <v>574</v>
      </c>
      <c r="F190" s="160" t="s">
        <v>509</v>
      </c>
      <c r="G190" s="161" t="s">
        <v>584</v>
      </c>
      <c r="H190" s="5">
        <v>99731</v>
      </c>
      <c r="I190" s="6">
        <v>0.33732741073487699</v>
      </c>
      <c r="J190" s="7">
        <v>70948</v>
      </c>
      <c r="K190" s="7">
        <v>1144827</v>
      </c>
      <c r="L190" s="6">
        <v>0.53672074103116996</v>
      </c>
      <c r="M190" s="6">
        <v>6.2891606483131302E-2</v>
      </c>
      <c r="N190" s="6">
        <v>4.2380335885025003E-2</v>
      </c>
      <c r="O190" s="6">
        <v>0.11706806566132701</v>
      </c>
      <c r="P190" s="8">
        <v>0.25937036218383902</v>
      </c>
      <c r="Q190" s="84">
        <v>3</v>
      </c>
      <c r="R190" s="84">
        <v>1</v>
      </c>
      <c r="S190" s="84">
        <v>1</v>
      </c>
      <c r="T190" s="84">
        <v>0</v>
      </c>
      <c r="U190" s="84">
        <v>0</v>
      </c>
      <c r="V190" s="84">
        <v>1</v>
      </c>
      <c r="W190" s="84">
        <v>2</v>
      </c>
      <c r="X190" s="84">
        <v>1</v>
      </c>
      <c r="Y190" s="84">
        <v>2</v>
      </c>
      <c r="Z190" s="84">
        <v>2</v>
      </c>
      <c r="AA190" s="84">
        <v>2</v>
      </c>
      <c r="AB190" s="84">
        <v>1</v>
      </c>
      <c r="AC190" s="84">
        <v>2</v>
      </c>
      <c r="AD190" s="84">
        <v>3</v>
      </c>
      <c r="AE190" s="84">
        <v>2</v>
      </c>
      <c r="AF190" s="84">
        <v>3</v>
      </c>
      <c r="AG190" s="84">
        <v>2</v>
      </c>
      <c r="AH190" s="84">
        <v>3</v>
      </c>
      <c r="AI190" s="84">
        <v>1</v>
      </c>
    </row>
    <row r="191" spans="1:35" ht="36" customHeight="1" x14ac:dyDescent="0.25">
      <c r="A191" s="155" t="s">
        <v>294</v>
      </c>
      <c r="B191" s="155">
        <v>805</v>
      </c>
      <c r="C191" s="155" t="s">
        <v>116</v>
      </c>
      <c r="D191" s="159">
        <v>43419</v>
      </c>
      <c r="E191" s="160" t="s">
        <v>542</v>
      </c>
      <c r="F191" s="160" t="s">
        <v>393</v>
      </c>
      <c r="G191" s="161" t="s">
        <v>585</v>
      </c>
      <c r="H191" s="5">
        <v>94937</v>
      </c>
      <c r="I191" s="6">
        <v>0.41380073101109199</v>
      </c>
      <c r="J191" s="7">
        <v>81847</v>
      </c>
      <c r="K191" s="7">
        <v>1286339</v>
      </c>
      <c r="L191" s="6">
        <v>0.63556154857080305</v>
      </c>
      <c r="M191" s="6">
        <v>0.14562370454117199</v>
      </c>
      <c r="N191" s="6">
        <v>7.1933295647258297E-2</v>
      </c>
      <c r="O191" s="6">
        <v>0.26667608818541499</v>
      </c>
      <c r="P191" s="8">
        <v>0.210170529489354</v>
      </c>
      <c r="Q191" s="84" t="s">
        <v>772</v>
      </c>
      <c r="R191" s="84" t="s">
        <v>772</v>
      </c>
      <c r="S191" s="84" t="s">
        <v>772</v>
      </c>
      <c r="T191" s="84" t="s">
        <v>772</v>
      </c>
      <c r="U191" s="84" t="s">
        <v>772</v>
      </c>
      <c r="V191" s="84" t="s">
        <v>772</v>
      </c>
      <c r="W191" s="84">
        <v>2</v>
      </c>
      <c r="X191" s="84" t="s">
        <v>772</v>
      </c>
      <c r="Y191" s="84" t="s">
        <v>772</v>
      </c>
      <c r="Z191" s="84">
        <v>1</v>
      </c>
      <c r="AA191" s="84">
        <v>1</v>
      </c>
      <c r="AB191" s="84">
        <v>2</v>
      </c>
      <c r="AC191" s="84">
        <v>2</v>
      </c>
      <c r="AD191" s="84">
        <v>2</v>
      </c>
      <c r="AE191" s="84">
        <v>2</v>
      </c>
      <c r="AF191" s="84">
        <v>2</v>
      </c>
      <c r="AG191" s="84">
        <v>2</v>
      </c>
      <c r="AH191" s="84">
        <v>2</v>
      </c>
      <c r="AI191" s="84">
        <v>2</v>
      </c>
    </row>
    <row r="192" spans="1:35" ht="36" customHeight="1" x14ac:dyDescent="0.25">
      <c r="A192" s="155" t="s">
        <v>291</v>
      </c>
      <c r="B192" s="155">
        <v>529</v>
      </c>
      <c r="C192" s="155" t="s">
        <v>84</v>
      </c>
      <c r="D192" s="159">
        <v>43419</v>
      </c>
      <c r="E192" s="160" t="s">
        <v>532</v>
      </c>
      <c r="F192" s="160" t="s">
        <v>366</v>
      </c>
      <c r="G192" s="161" t="s">
        <v>585</v>
      </c>
      <c r="H192" s="5">
        <v>52803</v>
      </c>
      <c r="I192" s="6">
        <v>0.486506448497244</v>
      </c>
      <c r="J192" s="7">
        <v>97144</v>
      </c>
      <c r="K192" s="7">
        <v>1101290</v>
      </c>
      <c r="L192" s="6">
        <v>0.465377367047275</v>
      </c>
      <c r="M192" s="6">
        <v>0.28193285782695299</v>
      </c>
      <c r="N192" s="6">
        <v>0.144233434987524</v>
      </c>
      <c r="O192" s="6">
        <v>0.302038964639464</v>
      </c>
      <c r="P192" s="8">
        <v>0.186455629205837</v>
      </c>
      <c r="Q192" s="84">
        <v>2</v>
      </c>
      <c r="R192" s="84">
        <v>4</v>
      </c>
      <c r="S192" s="84">
        <v>2</v>
      </c>
      <c r="T192" s="84">
        <v>2</v>
      </c>
      <c r="U192" s="84">
        <v>2</v>
      </c>
      <c r="V192" s="84">
        <v>3</v>
      </c>
      <c r="W192" s="84">
        <v>2</v>
      </c>
      <c r="X192" s="84">
        <v>4</v>
      </c>
      <c r="Y192" s="84">
        <v>3</v>
      </c>
      <c r="Z192" s="84">
        <v>0</v>
      </c>
      <c r="AA192" s="84">
        <v>0</v>
      </c>
      <c r="AB192" s="84">
        <v>0</v>
      </c>
      <c r="AC192" s="84">
        <v>0</v>
      </c>
      <c r="AD192" s="84">
        <v>0</v>
      </c>
      <c r="AE192" s="84">
        <v>2</v>
      </c>
      <c r="AF192" s="84">
        <v>0</v>
      </c>
      <c r="AG192" s="84">
        <v>0</v>
      </c>
      <c r="AH192" s="84">
        <v>0</v>
      </c>
      <c r="AI192" s="84">
        <v>1</v>
      </c>
    </row>
    <row r="193" spans="1:35" ht="36" customHeight="1" x14ac:dyDescent="0.25">
      <c r="A193" s="155" t="s">
        <v>293</v>
      </c>
      <c r="B193" s="155">
        <v>704</v>
      </c>
      <c r="C193" s="155" t="s">
        <v>110</v>
      </c>
      <c r="D193" s="159">
        <v>43566</v>
      </c>
      <c r="E193" s="160" t="s">
        <v>541</v>
      </c>
      <c r="F193" s="160" t="s">
        <v>388</v>
      </c>
      <c r="G193" s="161" t="s">
        <v>585</v>
      </c>
      <c r="H193" s="5">
        <v>39322</v>
      </c>
      <c r="I193" s="6">
        <v>0.21552820304155401</v>
      </c>
      <c r="J193" s="7">
        <v>53001</v>
      </c>
      <c r="K193" s="7">
        <v>513776</v>
      </c>
      <c r="L193" s="6">
        <v>0.28256563018181302</v>
      </c>
      <c r="M193" s="6">
        <v>0.124099988538204</v>
      </c>
      <c r="N193" s="6">
        <v>2.9331777307728402E-2</v>
      </c>
      <c r="O193" s="6">
        <v>0.11636848631357399</v>
      </c>
      <c r="P193" s="8">
        <v>0.22870450448572999</v>
      </c>
      <c r="Q193" s="84">
        <v>2</v>
      </c>
      <c r="R193" s="84">
        <v>2</v>
      </c>
      <c r="S193" s="84">
        <v>2</v>
      </c>
      <c r="T193" s="84">
        <v>2</v>
      </c>
      <c r="U193" s="84">
        <v>1</v>
      </c>
      <c r="V193" s="84">
        <v>4</v>
      </c>
      <c r="W193" s="84">
        <v>4</v>
      </c>
      <c r="X193" s="84">
        <v>1</v>
      </c>
      <c r="Y193" s="84">
        <v>1</v>
      </c>
      <c r="Z193" s="84">
        <v>4</v>
      </c>
      <c r="AA193" s="84">
        <v>2</v>
      </c>
      <c r="AB193" s="84">
        <v>2</v>
      </c>
      <c r="AC193" s="84">
        <v>3</v>
      </c>
      <c r="AD193" s="84">
        <v>1</v>
      </c>
      <c r="AE193" s="84">
        <v>3</v>
      </c>
      <c r="AF193" s="84">
        <v>3</v>
      </c>
      <c r="AG193" s="84">
        <v>2</v>
      </c>
      <c r="AH193" s="84">
        <v>3</v>
      </c>
      <c r="AI193" s="84">
        <v>1</v>
      </c>
    </row>
    <row r="194" spans="1:35" ht="36" customHeight="1" x14ac:dyDescent="0.25">
      <c r="A194" s="155" t="s">
        <v>307</v>
      </c>
      <c r="B194" s="155">
        <v>2104</v>
      </c>
      <c r="C194" s="155" t="s">
        <v>260</v>
      </c>
      <c r="D194" s="159">
        <v>43566</v>
      </c>
      <c r="E194" s="160" t="s">
        <v>574</v>
      </c>
      <c r="F194" s="160" t="s">
        <v>649</v>
      </c>
      <c r="G194" s="161" t="s">
        <v>585</v>
      </c>
      <c r="H194" s="5">
        <v>62692</v>
      </c>
      <c r="I194" s="6">
        <v>0.26666879346647099</v>
      </c>
      <c r="J194" s="7">
        <v>56429</v>
      </c>
      <c r="K194" s="7">
        <v>711052</v>
      </c>
      <c r="L194" s="6">
        <v>0.45629502537441502</v>
      </c>
      <c r="M194" s="6">
        <v>6.0617405806473602E-2</v>
      </c>
      <c r="N194" s="6">
        <v>4.3034614206460001E-2</v>
      </c>
      <c r="O194" s="6">
        <v>0.176283993056737</v>
      </c>
      <c r="P194" s="8">
        <v>0.21272931486334701</v>
      </c>
      <c r="Q194" s="84">
        <v>2</v>
      </c>
      <c r="R194" s="84">
        <v>0</v>
      </c>
      <c r="S194" s="84">
        <v>0</v>
      </c>
      <c r="T194" s="84">
        <v>0</v>
      </c>
      <c r="U194" s="84">
        <v>0</v>
      </c>
      <c r="V194" s="84">
        <v>0</v>
      </c>
      <c r="W194" s="84">
        <v>1</v>
      </c>
      <c r="X194" s="84">
        <v>0</v>
      </c>
      <c r="Y194" s="84">
        <v>0</v>
      </c>
      <c r="Z194" s="84">
        <v>1</v>
      </c>
      <c r="AA194" s="84">
        <v>1</v>
      </c>
      <c r="AB194" s="84">
        <v>0</v>
      </c>
      <c r="AC194" s="84">
        <v>1</v>
      </c>
      <c r="AD194" s="84">
        <v>1</v>
      </c>
      <c r="AE194" s="84">
        <v>0</v>
      </c>
      <c r="AF194" s="84">
        <v>2</v>
      </c>
      <c r="AG194" s="84">
        <v>1</v>
      </c>
      <c r="AH194" s="84">
        <v>1</v>
      </c>
      <c r="AI194" s="84">
        <v>0</v>
      </c>
    </row>
    <row r="195" spans="1:35" ht="36" customHeight="1" x14ac:dyDescent="0.25">
      <c r="A195" s="155" t="s">
        <v>297</v>
      </c>
      <c r="B195" s="155">
        <v>1127</v>
      </c>
      <c r="C195" s="155" t="s">
        <v>193</v>
      </c>
      <c r="D195" s="159">
        <v>43580</v>
      </c>
      <c r="E195" s="160" t="s">
        <v>555</v>
      </c>
      <c r="F195" s="160" t="s">
        <v>461</v>
      </c>
      <c r="G195" s="161" t="s">
        <v>585</v>
      </c>
      <c r="H195" s="5">
        <v>202687</v>
      </c>
      <c r="I195" s="6">
        <v>0.62746007390705905</v>
      </c>
      <c r="J195" s="7">
        <v>140808</v>
      </c>
      <c r="K195" s="7">
        <v>1727026</v>
      </c>
      <c r="L195" s="6">
        <v>0.64377877109880599</v>
      </c>
      <c r="M195" s="6">
        <v>0.171872489208793</v>
      </c>
      <c r="N195" s="6">
        <v>0.43373542933028902</v>
      </c>
      <c r="O195" s="6">
        <v>2.4330778906306302E-2</v>
      </c>
      <c r="P195" s="8">
        <v>0.23830236806282801</v>
      </c>
      <c r="Q195" s="84">
        <v>2</v>
      </c>
      <c r="R195" s="84">
        <v>2</v>
      </c>
      <c r="S195" s="84">
        <v>3</v>
      </c>
      <c r="T195" s="84">
        <v>2</v>
      </c>
      <c r="U195" s="84">
        <v>3</v>
      </c>
      <c r="V195" s="84">
        <v>0</v>
      </c>
      <c r="W195" s="84">
        <v>2</v>
      </c>
      <c r="X195" s="84">
        <v>2</v>
      </c>
      <c r="Y195" s="84">
        <v>2</v>
      </c>
      <c r="Z195" s="84">
        <v>0</v>
      </c>
      <c r="AA195" s="84">
        <v>2</v>
      </c>
      <c r="AB195" s="84">
        <v>4</v>
      </c>
      <c r="AC195" s="84">
        <v>2</v>
      </c>
      <c r="AD195" s="84">
        <v>4</v>
      </c>
      <c r="AE195" s="84">
        <v>2</v>
      </c>
      <c r="AF195" s="84">
        <v>2</v>
      </c>
      <c r="AG195" s="84">
        <v>3</v>
      </c>
      <c r="AH195" s="84">
        <v>2</v>
      </c>
      <c r="AI195" s="84">
        <v>3</v>
      </c>
    </row>
    <row r="196" spans="1:35" ht="36" customHeight="1" x14ac:dyDescent="0.25">
      <c r="A196" s="155" t="s">
        <v>303</v>
      </c>
      <c r="B196" s="155">
        <v>1706</v>
      </c>
      <c r="C196" s="155" t="s">
        <v>244</v>
      </c>
      <c r="D196" s="159">
        <v>43608</v>
      </c>
      <c r="E196" s="160" t="s">
        <v>568</v>
      </c>
      <c r="F196" s="160" t="s">
        <v>498</v>
      </c>
      <c r="G196" s="161" t="s">
        <v>585</v>
      </c>
      <c r="H196" s="5">
        <v>95581</v>
      </c>
      <c r="I196" s="6">
        <v>0.42987623063161101</v>
      </c>
      <c r="J196" s="7">
        <v>85117</v>
      </c>
      <c r="K196" s="7">
        <v>1006511</v>
      </c>
      <c r="L196" s="6">
        <v>0.43024566148298399</v>
      </c>
      <c r="M196" s="6">
        <v>5.6683181954963698E-2</v>
      </c>
      <c r="N196" s="6">
        <v>0.17207969721500499</v>
      </c>
      <c r="O196" s="6">
        <v>0.119834027710083</v>
      </c>
      <c r="P196" s="8">
        <v>0.26302115341417198</v>
      </c>
      <c r="Q196" s="84">
        <v>2</v>
      </c>
      <c r="R196" s="84">
        <v>2</v>
      </c>
      <c r="S196" s="84">
        <v>1</v>
      </c>
      <c r="T196" s="84">
        <v>2</v>
      </c>
      <c r="U196" s="84">
        <v>2</v>
      </c>
      <c r="V196" s="84">
        <v>3</v>
      </c>
      <c r="W196" s="84">
        <v>3</v>
      </c>
      <c r="X196" s="84">
        <v>2</v>
      </c>
      <c r="Y196" s="84">
        <v>1</v>
      </c>
      <c r="Z196" s="84">
        <v>4</v>
      </c>
      <c r="AA196" s="84">
        <v>4</v>
      </c>
      <c r="AB196" s="84">
        <v>4</v>
      </c>
      <c r="AC196" s="84">
        <v>4</v>
      </c>
      <c r="AD196" s="84">
        <v>3</v>
      </c>
      <c r="AE196" s="84">
        <v>4</v>
      </c>
      <c r="AF196" s="84">
        <v>4</v>
      </c>
      <c r="AG196" s="84">
        <v>4</v>
      </c>
      <c r="AH196" s="84">
        <v>4</v>
      </c>
      <c r="AI196" s="84">
        <v>3</v>
      </c>
    </row>
    <row r="197" spans="1:35" ht="36" customHeight="1" x14ac:dyDescent="0.25">
      <c r="A197" s="155" t="s">
        <v>291</v>
      </c>
      <c r="B197" s="155">
        <v>532</v>
      </c>
      <c r="C197" s="155" t="s">
        <v>87</v>
      </c>
      <c r="D197" s="159">
        <v>43698</v>
      </c>
      <c r="E197" s="160" t="s">
        <v>533</v>
      </c>
      <c r="F197" s="160" t="s">
        <v>369</v>
      </c>
      <c r="G197" s="161" t="s">
        <v>585</v>
      </c>
      <c r="H197" s="5">
        <v>79648</v>
      </c>
      <c r="I197" s="6">
        <v>0.13616161108879099</v>
      </c>
      <c r="J197" s="7">
        <v>43839</v>
      </c>
      <c r="K197" s="7">
        <v>298441</v>
      </c>
      <c r="L197" s="6">
        <v>0.20604238534821101</v>
      </c>
      <c r="M197" s="6">
        <v>0.85033284775391305</v>
      </c>
      <c r="N197" s="6">
        <v>8.45246967951758E-3</v>
      </c>
      <c r="O197" s="6">
        <v>3.4381563791584802E-2</v>
      </c>
      <c r="P197" s="8">
        <v>0.21666864286198301</v>
      </c>
      <c r="Q197" s="84">
        <v>1</v>
      </c>
      <c r="R197" s="84">
        <v>3</v>
      </c>
      <c r="S197" s="84">
        <v>3</v>
      </c>
      <c r="T197" s="84">
        <v>2</v>
      </c>
      <c r="U197" s="84">
        <v>2</v>
      </c>
      <c r="V197" s="84">
        <v>0</v>
      </c>
      <c r="W197" s="84">
        <v>2</v>
      </c>
      <c r="X197" s="84">
        <v>0</v>
      </c>
      <c r="Y197" s="84">
        <v>1</v>
      </c>
      <c r="Z197" s="84">
        <v>0</v>
      </c>
      <c r="AA197" s="84">
        <v>1</v>
      </c>
      <c r="AB197" s="84">
        <v>1</v>
      </c>
      <c r="AC197" s="84">
        <v>0</v>
      </c>
      <c r="AD197" s="84">
        <v>0</v>
      </c>
      <c r="AE197" s="84">
        <v>0</v>
      </c>
      <c r="AF197" s="84">
        <v>0</v>
      </c>
      <c r="AG197" s="84">
        <v>0</v>
      </c>
      <c r="AH197" s="84">
        <v>0</v>
      </c>
      <c r="AI197" s="84">
        <v>0</v>
      </c>
    </row>
    <row r="198" spans="1:35" ht="36" customHeight="1" x14ac:dyDescent="0.25">
      <c r="A198" s="155" t="s">
        <v>297</v>
      </c>
      <c r="B198" s="155">
        <v>1122</v>
      </c>
      <c r="C198" s="155" t="s">
        <v>188</v>
      </c>
      <c r="D198" s="159">
        <v>43705</v>
      </c>
      <c r="E198" s="160" t="s">
        <v>553</v>
      </c>
      <c r="F198" s="160" t="s">
        <v>456</v>
      </c>
      <c r="G198" s="161" t="s">
        <v>583</v>
      </c>
      <c r="H198" s="5">
        <v>132610</v>
      </c>
      <c r="I198" s="6">
        <v>0.52252469647839495</v>
      </c>
      <c r="J198" s="7">
        <v>103778</v>
      </c>
      <c r="K198" s="7">
        <v>1352786</v>
      </c>
      <c r="L198" s="6">
        <v>0.57416835754505202</v>
      </c>
      <c r="M198" s="6">
        <v>0.23052349157163701</v>
      </c>
      <c r="N198" s="6">
        <v>0.220332134749155</v>
      </c>
      <c r="O198" s="6">
        <v>1.7045669254717101E-2</v>
      </c>
      <c r="P198" s="8">
        <v>0.22252388690093799</v>
      </c>
      <c r="Q198" s="84">
        <v>1</v>
      </c>
      <c r="R198" s="84">
        <v>1</v>
      </c>
      <c r="S198" s="84">
        <v>3</v>
      </c>
      <c r="T198" s="84">
        <v>0</v>
      </c>
      <c r="U198" s="84">
        <v>2</v>
      </c>
      <c r="V198" s="84">
        <v>0</v>
      </c>
      <c r="W198" s="84">
        <v>1</v>
      </c>
      <c r="X198" s="84">
        <v>0</v>
      </c>
      <c r="Y198" s="84">
        <v>1</v>
      </c>
      <c r="Z198" s="84">
        <v>0</v>
      </c>
      <c r="AA198" s="84">
        <v>2</v>
      </c>
      <c r="AB198" s="84">
        <v>3</v>
      </c>
      <c r="AC198" s="84">
        <v>1</v>
      </c>
      <c r="AD198" s="84">
        <v>3</v>
      </c>
      <c r="AE198" s="84">
        <v>0</v>
      </c>
      <c r="AF198" s="84">
        <v>0</v>
      </c>
      <c r="AG198" s="84">
        <v>3</v>
      </c>
      <c r="AH198" s="84">
        <v>1</v>
      </c>
      <c r="AI198" s="84">
        <v>3</v>
      </c>
    </row>
    <row r="199" spans="1:35" ht="36" customHeight="1" x14ac:dyDescent="0.25">
      <c r="A199" s="155" t="s">
        <v>291</v>
      </c>
      <c r="B199" s="155">
        <v>533</v>
      </c>
      <c r="C199" s="155" t="s">
        <v>88</v>
      </c>
      <c r="D199" s="159">
        <v>43745</v>
      </c>
      <c r="E199" s="160" t="s">
        <v>534</v>
      </c>
      <c r="F199" s="160" t="s">
        <v>370</v>
      </c>
      <c r="G199" s="161" t="s">
        <v>584</v>
      </c>
      <c r="H199" s="5">
        <v>80652</v>
      </c>
      <c r="I199" s="6">
        <v>0.27298765064722502</v>
      </c>
      <c r="J199" s="7">
        <v>60233</v>
      </c>
      <c r="K199" s="7">
        <v>558872</v>
      </c>
      <c r="L199" s="6">
        <v>0.26560829775935701</v>
      </c>
      <c r="M199" s="6">
        <v>0.66163839132332303</v>
      </c>
      <c r="N199" s="6">
        <v>2.87396346955642E-2</v>
      </c>
      <c r="O199" s="6">
        <v>4.2612660296589298E-2</v>
      </c>
      <c r="P199" s="8">
        <v>0.22307806594794399</v>
      </c>
      <c r="Q199" s="84">
        <v>1</v>
      </c>
      <c r="R199" s="84">
        <v>1</v>
      </c>
      <c r="S199" s="84">
        <v>1</v>
      </c>
      <c r="T199" s="84">
        <v>1</v>
      </c>
      <c r="U199" s="84">
        <v>0</v>
      </c>
      <c r="V199" s="84">
        <v>2</v>
      </c>
      <c r="W199" s="84">
        <v>1</v>
      </c>
      <c r="X199" s="84">
        <v>0</v>
      </c>
      <c r="Y199" s="84">
        <v>0</v>
      </c>
      <c r="Z199" s="84">
        <v>1</v>
      </c>
      <c r="AA199" s="84">
        <v>1</v>
      </c>
      <c r="AB199" s="84">
        <v>0</v>
      </c>
      <c r="AC199" s="84">
        <v>0</v>
      </c>
      <c r="AD199" s="84">
        <v>0</v>
      </c>
      <c r="AE199" s="84">
        <v>0</v>
      </c>
      <c r="AF199" s="84">
        <v>0</v>
      </c>
      <c r="AG199" s="84">
        <v>0</v>
      </c>
      <c r="AH199" s="84">
        <v>0</v>
      </c>
      <c r="AI199" s="84">
        <v>0</v>
      </c>
    </row>
    <row r="200" spans="1:35" ht="36" customHeight="1" x14ac:dyDescent="0.25">
      <c r="A200" s="155" t="s">
        <v>310</v>
      </c>
      <c r="B200" s="155">
        <v>2401</v>
      </c>
      <c r="C200" s="155" t="s">
        <v>266</v>
      </c>
      <c r="D200" s="159">
        <v>43745</v>
      </c>
      <c r="E200" s="160" t="s">
        <v>577</v>
      </c>
      <c r="F200" s="160" t="s">
        <v>514</v>
      </c>
      <c r="G200" s="161" t="s">
        <v>584</v>
      </c>
      <c r="H200" s="5">
        <v>51375</v>
      </c>
      <c r="I200" s="6">
        <v>0.28007785888077902</v>
      </c>
      <c r="J200" s="7">
        <v>61222</v>
      </c>
      <c r="K200" s="7">
        <v>739907</v>
      </c>
      <c r="L200" s="6">
        <v>0.35095356784373</v>
      </c>
      <c r="M200" s="6">
        <v>4.2465565737405002E-2</v>
      </c>
      <c r="N200" s="6">
        <v>2.3243630971090501E-2</v>
      </c>
      <c r="O200" s="6">
        <v>0.26424720133465501</v>
      </c>
      <c r="P200" s="8">
        <v>0.25888762623209799</v>
      </c>
      <c r="Q200" s="84">
        <v>2</v>
      </c>
      <c r="R200" s="84">
        <v>1</v>
      </c>
      <c r="S200" s="84">
        <v>1</v>
      </c>
      <c r="T200" s="84">
        <v>0</v>
      </c>
      <c r="U200" s="84">
        <v>0</v>
      </c>
      <c r="V200" s="84">
        <v>1</v>
      </c>
      <c r="W200" s="84">
        <v>1</v>
      </c>
      <c r="X200" s="84">
        <v>3</v>
      </c>
      <c r="Y200" s="84">
        <v>2</v>
      </c>
      <c r="Z200" s="84">
        <v>1</v>
      </c>
      <c r="AA200" s="84">
        <v>0</v>
      </c>
      <c r="AB200" s="84">
        <v>0</v>
      </c>
      <c r="AC200" s="84">
        <v>0</v>
      </c>
      <c r="AD200" s="84">
        <v>0</v>
      </c>
      <c r="AE200" s="84">
        <v>0</v>
      </c>
      <c r="AF200" s="84">
        <v>0</v>
      </c>
      <c r="AG200" s="84">
        <v>0</v>
      </c>
      <c r="AH200" s="84">
        <v>0</v>
      </c>
      <c r="AI200" s="84">
        <v>0</v>
      </c>
    </row>
    <row r="201" spans="1:35" ht="36" customHeight="1" x14ac:dyDescent="0.25">
      <c r="A201" s="155" t="s">
        <v>309</v>
      </c>
      <c r="B201" s="155">
        <v>2302</v>
      </c>
      <c r="C201" s="155" t="s">
        <v>264</v>
      </c>
      <c r="D201" s="159">
        <v>43759</v>
      </c>
      <c r="E201" s="160" t="s">
        <v>576</v>
      </c>
      <c r="F201" s="160" t="s">
        <v>513</v>
      </c>
      <c r="G201" s="161" t="s">
        <v>585</v>
      </c>
      <c r="H201" s="5">
        <v>89577</v>
      </c>
      <c r="I201" s="6">
        <v>0.57029148107215</v>
      </c>
      <c r="J201" s="7">
        <v>111081</v>
      </c>
      <c r="K201" s="7">
        <v>1897933</v>
      </c>
      <c r="L201" s="6">
        <v>0.660240901336827</v>
      </c>
      <c r="M201" s="6">
        <v>8.6943930350735096E-2</v>
      </c>
      <c r="N201" s="6">
        <v>8.4916716819084803E-2</v>
      </c>
      <c r="O201" s="6">
        <v>2.6439751485341199E-2</v>
      </c>
      <c r="P201" s="8">
        <v>0.25125230210911698</v>
      </c>
      <c r="Q201" s="84">
        <v>4</v>
      </c>
      <c r="R201" s="84">
        <v>2</v>
      </c>
      <c r="S201" s="84">
        <v>3</v>
      </c>
      <c r="T201" s="84">
        <v>2</v>
      </c>
      <c r="U201" s="84">
        <v>3</v>
      </c>
      <c r="V201" s="84">
        <v>3</v>
      </c>
      <c r="W201" s="84">
        <v>4</v>
      </c>
      <c r="X201" s="84">
        <v>1</v>
      </c>
      <c r="Y201" s="84">
        <v>3</v>
      </c>
      <c r="Z201" s="84">
        <v>4</v>
      </c>
      <c r="AA201" s="84">
        <v>4</v>
      </c>
      <c r="AB201" s="84">
        <v>4</v>
      </c>
      <c r="AC201" s="84">
        <v>4</v>
      </c>
      <c r="AD201" s="84">
        <v>4</v>
      </c>
      <c r="AE201" s="84">
        <v>4</v>
      </c>
      <c r="AF201" s="84">
        <v>4</v>
      </c>
      <c r="AG201" s="84">
        <v>4</v>
      </c>
      <c r="AH201" s="84">
        <v>4</v>
      </c>
      <c r="AI201" s="84">
        <v>4</v>
      </c>
    </row>
    <row r="202" spans="1:35" ht="36" customHeight="1" x14ac:dyDescent="0.25">
      <c r="A202" s="155" t="s">
        <v>291</v>
      </c>
      <c r="B202" s="155">
        <v>535</v>
      </c>
      <c r="C202" s="155" t="s">
        <v>90</v>
      </c>
      <c r="D202" s="159">
        <v>43780</v>
      </c>
      <c r="E202" s="160" t="s">
        <v>529</v>
      </c>
      <c r="F202" s="160" t="s">
        <v>372</v>
      </c>
      <c r="G202" s="161" t="s">
        <v>585</v>
      </c>
      <c r="H202" s="5">
        <v>86793</v>
      </c>
      <c r="I202" s="6">
        <v>0.377703271001118</v>
      </c>
      <c r="J202" s="7">
        <v>78776</v>
      </c>
      <c r="K202" s="7">
        <v>752482</v>
      </c>
      <c r="L202" s="6">
        <v>0.51505899434821301</v>
      </c>
      <c r="M202" s="6">
        <v>0.33450715483025301</v>
      </c>
      <c r="N202" s="6">
        <v>0.226428796536085</v>
      </c>
      <c r="O202" s="6">
        <v>0.12402314757722301</v>
      </c>
      <c r="P202" s="8">
        <v>0.19811549124658001</v>
      </c>
      <c r="Q202" s="84">
        <v>3</v>
      </c>
      <c r="R202" s="84">
        <v>4</v>
      </c>
      <c r="S202" s="84">
        <v>2</v>
      </c>
      <c r="T202" s="84">
        <v>4</v>
      </c>
      <c r="U202" s="84">
        <v>3</v>
      </c>
      <c r="V202" s="84">
        <v>3</v>
      </c>
      <c r="W202" s="84">
        <v>2</v>
      </c>
      <c r="X202" s="84">
        <v>3</v>
      </c>
      <c r="Y202" s="84">
        <v>2</v>
      </c>
      <c r="Z202" s="84">
        <v>1</v>
      </c>
      <c r="AA202" s="84">
        <v>2</v>
      </c>
      <c r="AB202" s="84">
        <v>2</v>
      </c>
      <c r="AC202" s="84">
        <v>0</v>
      </c>
      <c r="AD202" s="84">
        <v>2</v>
      </c>
      <c r="AE202" s="84">
        <v>1</v>
      </c>
      <c r="AF202" s="84">
        <v>1</v>
      </c>
      <c r="AG202" s="84">
        <v>1</v>
      </c>
      <c r="AH202" s="84">
        <v>1</v>
      </c>
      <c r="AI202" s="84">
        <v>2</v>
      </c>
    </row>
    <row r="203" spans="1:35" ht="36" customHeight="1" x14ac:dyDescent="0.25">
      <c r="A203" s="155" t="s">
        <v>291</v>
      </c>
      <c r="B203" s="155">
        <v>530</v>
      </c>
      <c r="C203" s="155" t="s">
        <v>85</v>
      </c>
      <c r="D203" s="159">
        <v>43780</v>
      </c>
      <c r="E203" s="160" t="s">
        <v>532</v>
      </c>
      <c r="F203" s="160" t="s">
        <v>367</v>
      </c>
      <c r="G203" s="161" t="s">
        <v>584</v>
      </c>
      <c r="H203" s="5">
        <v>200017</v>
      </c>
      <c r="I203" s="6">
        <v>0.40231080358169602</v>
      </c>
      <c r="J203" s="7">
        <v>76170</v>
      </c>
      <c r="K203" s="7">
        <v>891370</v>
      </c>
      <c r="L203" s="6">
        <v>0.54590329981450703</v>
      </c>
      <c r="M203" s="6">
        <v>0.40409808311943601</v>
      </c>
      <c r="N203" s="6">
        <v>5.4568292283326998E-2</v>
      </c>
      <c r="O203" s="6">
        <v>0.18385014472175201</v>
      </c>
      <c r="P203" s="8">
        <v>0.221069302604992</v>
      </c>
      <c r="Q203" s="84">
        <v>3</v>
      </c>
      <c r="R203" s="84">
        <v>4</v>
      </c>
      <c r="S203" s="84">
        <v>3</v>
      </c>
      <c r="T203" s="84">
        <v>2</v>
      </c>
      <c r="U203" s="84">
        <v>2</v>
      </c>
      <c r="V203" s="84">
        <v>3</v>
      </c>
      <c r="W203" s="84">
        <v>2</v>
      </c>
      <c r="X203" s="84">
        <v>3</v>
      </c>
      <c r="Y203" s="84">
        <v>2</v>
      </c>
      <c r="Z203" s="84">
        <v>2</v>
      </c>
      <c r="AA203" s="84">
        <v>3</v>
      </c>
      <c r="AB203" s="84">
        <v>3</v>
      </c>
      <c r="AC203" s="84">
        <v>1</v>
      </c>
      <c r="AD203" s="84">
        <v>2</v>
      </c>
      <c r="AE203" s="84">
        <v>4</v>
      </c>
      <c r="AF203" s="84">
        <v>2</v>
      </c>
      <c r="AG203" s="84">
        <v>4</v>
      </c>
      <c r="AH203" s="84">
        <v>3</v>
      </c>
      <c r="AI203" s="84">
        <v>4</v>
      </c>
    </row>
    <row r="204" spans="1:35" ht="36" customHeight="1" x14ac:dyDescent="0.25">
      <c r="A204" s="155" t="s">
        <v>291</v>
      </c>
      <c r="B204" s="155">
        <v>534</v>
      </c>
      <c r="C204" s="155" t="s">
        <v>89</v>
      </c>
      <c r="D204" s="159">
        <v>43787</v>
      </c>
      <c r="E204" s="160" t="s">
        <v>529</v>
      </c>
      <c r="F204" s="160" t="s">
        <v>371</v>
      </c>
      <c r="G204" s="161" t="s">
        <v>584</v>
      </c>
      <c r="H204" s="5">
        <v>46289</v>
      </c>
      <c r="I204" s="6">
        <v>0.32709715051092098</v>
      </c>
      <c r="J204" s="7">
        <v>73361</v>
      </c>
      <c r="K204" s="7">
        <v>789313</v>
      </c>
      <c r="L204" s="6">
        <v>0.29959918739362001</v>
      </c>
      <c r="M204" s="6">
        <v>0.231107660455487</v>
      </c>
      <c r="N204" s="6">
        <v>2.17613132209406E-2</v>
      </c>
      <c r="O204" s="6">
        <v>0.52162821650399305</v>
      </c>
      <c r="P204" s="8">
        <v>0.24648033126294</v>
      </c>
      <c r="Q204" s="84">
        <v>2</v>
      </c>
      <c r="R204" s="84">
        <v>4</v>
      </c>
      <c r="S204" s="84">
        <v>2</v>
      </c>
      <c r="T204" s="84">
        <v>2</v>
      </c>
      <c r="U204" s="84">
        <v>1</v>
      </c>
      <c r="V204" s="84">
        <v>4</v>
      </c>
      <c r="W204" s="84">
        <v>2</v>
      </c>
      <c r="X204" s="84">
        <v>4</v>
      </c>
      <c r="Y204" s="84">
        <v>3</v>
      </c>
      <c r="Z204" s="84">
        <v>0</v>
      </c>
      <c r="AA204" s="84">
        <v>0</v>
      </c>
      <c r="AB204" s="84">
        <v>0</v>
      </c>
      <c r="AC204" s="84">
        <v>0</v>
      </c>
      <c r="AD204" s="84">
        <v>0</v>
      </c>
      <c r="AE204" s="84">
        <v>2</v>
      </c>
      <c r="AF204" s="84">
        <v>0</v>
      </c>
      <c r="AG204" s="84">
        <v>0</v>
      </c>
      <c r="AH204" s="84">
        <v>0</v>
      </c>
      <c r="AI204" s="84">
        <v>0</v>
      </c>
    </row>
    <row r="205" spans="1:35" ht="36" customHeight="1" x14ac:dyDescent="0.25">
      <c r="A205" s="155" t="s">
        <v>293</v>
      </c>
      <c r="B205" s="155">
        <v>705</v>
      </c>
      <c r="C205" s="155" t="s">
        <v>111</v>
      </c>
      <c r="D205" s="159">
        <v>43867</v>
      </c>
      <c r="E205" s="160" t="s">
        <v>539</v>
      </c>
      <c r="F205" s="160" t="s">
        <v>389</v>
      </c>
      <c r="G205" s="161" t="s">
        <v>585</v>
      </c>
      <c r="H205" s="5">
        <v>39008</v>
      </c>
      <c r="I205" s="6">
        <v>0.47792760459392902</v>
      </c>
      <c r="J205" s="7">
        <v>94176</v>
      </c>
      <c r="K205" s="7">
        <v>1544341</v>
      </c>
      <c r="L205" s="6">
        <v>0.64015968063872297</v>
      </c>
      <c r="M205" s="6">
        <v>2.25158331513431E-2</v>
      </c>
      <c r="N205" s="6">
        <v>1.7547499454029301E-2</v>
      </c>
      <c r="O205" s="6">
        <v>0.119010701026425</v>
      </c>
      <c r="P205" s="8">
        <v>0.248525879012885</v>
      </c>
      <c r="Q205" s="84">
        <v>1</v>
      </c>
      <c r="R205" s="84">
        <v>1</v>
      </c>
      <c r="S205" s="84">
        <v>1</v>
      </c>
      <c r="T205" s="84">
        <v>1</v>
      </c>
      <c r="U205" s="84">
        <v>0</v>
      </c>
      <c r="V205" s="84">
        <v>3</v>
      </c>
      <c r="W205" s="84">
        <v>1</v>
      </c>
      <c r="X205" s="84">
        <v>0</v>
      </c>
      <c r="Y205" s="84">
        <v>0</v>
      </c>
      <c r="Z205" s="84">
        <v>3</v>
      </c>
      <c r="AA205" s="84">
        <v>2</v>
      </c>
      <c r="AB205" s="84">
        <v>2</v>
      </c>
      <c r="AC205" s="84">
        <v>3</v>
      </c>
      <c r="AD205" s="84">
        <v>3</v>
      </c>
      <c r="AE205" s="84">
        <v>3</v>
      </c>
      <c r="AF205" s="84">
        <v>4</v>
      </c>
      <c r="AG205" s="84">
        <v>3</v>
      </c>
      <c r="AH205" s="84">
        <v>4</v>
      </c>
      <c r="AI205" s="84">
        <v>2</v>
      </c>
    </row>
    <row r="206" spans="1:35" ht="36" customHeight="1" x14ac:dyDescent="0.25">
      <c r="A206" s="155" t="s">
        <v>291</v>
      </c>
      <c r="B206" s="155">
        <v>531</v>
      </c>
      <c r="C206" s="155" t="s">
        <v>86</v>
      </c>
      <c r="D206" s="159">
        <v>43920</v>
      </c>
      <c r="E206" s="160" t="s">
        <v>529</v>
      </c>
      <c r="F206" s="160" t="s">
        <v>368</v>
      </c>
      <c r="G206" s="161" t="s">
        <v>583</v>
      </c>
      <c r="H206" s="5">
        <v>181332</v>
      </c>
      <c r="I206" s="6">
        <v>0.37276377032184099</v>
      </c>
      <c r="J206" s="7">
        <v>74464</v>
      </c>
      <c r="K206" s="7">
        <v>864068</v>
      </c>
      <c r="L206" s="6">
        <v>0.53861564659921901</v>
      </c>
      <c r="M206" s="6">
        <v>0.38363157184705499</v>
      </c>
      <c r="N206" s="6">
        <v>4.4155199660807901E-2</v>
      </c>
      <c r="O206" s="6">
        <v>0.16404322772124599</v>
      </c>
      <c r="P206" s="8">
        <v>0.19961262719704001</v>
      </c>
      <c r="Q206" s="84">
        <v>0</v>
      </c>
      <c r="R206" s="84">
        <v>0</v>
      </c>
      <c r="S206" s="84">
        <v>0</v>
      </c>
      <c r="T206" s="84">
        <v>0</v>
      </c>
      <c r="U206" s="84">
        <v>0</v>
      </c>
      <c r="V206" s="84">
        <v>0</v>
      </c>
      <c r="W206" s="84">
        <v>0</v>
      </c>
      <c r="X206" s="84">
        <v>0</v>
      </c>
      <c r="Y206" s="84">
        <v>0</v>
      </c>
      <c r="Z206" s="84">
        <v>2</v>
      </c>
      <c r="AA206" s="84">
        <v>2</v>
      </c>
      <c r="AB206" s="84">
        <v>3</v>
      </c>
      <c r="AC206" s="84">
        <v>2</v>
      </c>
      <c r="AD206" s="84">
        <v>3</v>
      </c>
      <c r="AE206" s="84">
        <v>3</v>
      </c>
      <c r="AF206" s="84">
        <v>2</v>
      </c>
      <c r="AG206" s="84">
        <v>3</v>
      </c>
      <c r="AH206" s="84">
        <v>2</v>
      </c>
      <c r="AI206" s="84">
        <v>4</v>
      </c>
    </row>
    <row r="207" spans="1:35" ht="36" customHeight="1" x14ac:dyDescent="0.25">
      <c r="A207" s="155" t="s">
        <v>296</v>
      </c>
      <c r="B207" s="155">
        <v>1011</v>
      </c>
      <c r="C207" s="155" t="s">
        <v>164</v>
      </c>
      <c r="D207" s="159">
        <v>43949</v>
      </c>
      <c r="E207" s="160" t="s">
        <v>551</v>
      </c>
      <c r="F207" s="160" t="s">
        <v>435</v>
      </c>
      <c r="G207" s="161" t="s">
        <v>584</v>
      </c>
      <c r="H207" s="5">
        <v>44532</v>
      </c>
      <c r="I207" s="6">
        <v>0.51048684092338104</v>
      </c>
      <c r="J207" s="7">
        <v>101250</v>
      </c>
      <c r="K207" s="7">
        <v>1219443</v>
      </c>
      <c r="L207" s="6">
        <v>0.38028905149297798</v>
      </c>
      <c r="M207" s="6">
        <v>0.22120379483814501</v>
      </c>
      <c r="N207" s="6">
        <v>3.8365321522309703E-2</v>
      </c>
      <c r="O207" s="6">
        <v>4.38880686789151E-2</v>
      </c>
      <c r="P207" s="8">
        <v>0.17603756561679801</v>
      </c>
      <c r="Q207" s="84">
        <v>1</v>
      </c>
      <c r="R207" s="84">
        <v>0</v>
      </c>
      <c r="S207" s="84">
        <v>1</v>
      </c>
      <c r="T207" s="84">
        <v>0</v>
      </c>
      <c r="U207" s="84">
        <v>0</v>
      </c>
      <c r="V207" s="84">
        <v>1</v>
      </c>
      <c r="W207" s="84">
        <v>1</v>
      </c>
      <c r="X207" s="84">
        <v>0</v>
      </c>
      <c r="Y207" s="84">
        <v>1</v>
      </c>
      <c r="Z207" s="84">
        <v>1</v>
      </c>
      <c r="AA207" s="84">
        <v>1</v>
      </c>
      <c r="AB207" s="84">
        <v>0</v>
      </c>
      <c r="AC207" s="84">
        <v>0</v>
      </c>
      <c r="AD207" s="84">
        <v>0</v>
      </c>
      <c r="AE207" s="84">
        <v>0</v>
      </c>
      <c r="AF207" s="84">
        <v>0</v>
      </c>
      <c r="AG207" s="84">
        <v>0</v>
      </c>
      <c r="AH207" s="84">
        <v>0</v>
      </c>
      <c r="AI207" s="84">
        <v>0</v>
      </c>
    </row>
    <row r="208" spans="1:35" ht="36" customHeight="1" x14ac:dyDescent="0.25">
      <c r="A208" s="155" t="s">
        <v>291</v>
      </c>
      <c r="B208" s="155">
        <v>536</v>
      </c>
      <c r="C208" s="155" t="s">
        <v>91</v>
      </c>
      <c r="D208" s="159">
        <v>43984</v>
      </c>
      <c r="E208" s="160" t="s">
        <v>531</v>
      </c>
      <c r="F208" s="160" t="s">
        <v>373</v>
      </c>
      <c r="G208" s="161" t="s">
        <v>583</v>
      </c>
      <c r="H208" s="5">
        <v>23355</v>
      </c>
      <c r="I208" s="6">
        <v>0.677242560479555</v>
      </c>
      <c r="J208" s="7">
        <v>149448</v>
      </c>
      <c r="K208" s="7">
        <v>2348650</v>
      </c>
      <c r="L208" s="6">
        <v>0.69906734779959701</v>
      </c>
      <c r="M208" s="6">
        <v>0.117866944260433</v>
      </c>
      <c r="N208" s="6">
        <v>8.8719598750827994E-2</v>
      </c>
      <c r="O208" s="6">
        <v>1.2539036623450401E-2</v>
      </c>
      <c r="P208" s="8">
        <v>0.24888804769565601</v>
      </c>
      <c r="Q208" s="84">
        <v>1</v>
      </c>
      <c r="R208" s="84">
        <v>1</v>
      </c>
      <c r="S208" s="84">
        <v>1</v>
      </c>
      <c r="T208" s="84">
        <v>0</v>
      </c>
      <c r="U208" s="84">
        <v>0</v>
      </c>
      <c r="V208" s="84">
        <v>2</v>
      </c>
      <c r="W208" s="84">
        <v>1</v>
      </c>
      <c r="X208" s="84">
        <v>0</v>
      </c>
      <c r="Y208" s="84">
        <v>0</v>
      </c>
      <c r="Z208" s="84">
        <v>0</v>
      </c>
      <c r="AA208" s="84">
        <v>2</v>
      </c>
      <c r="AB208" s="84">
        <v>2</v>
      </c>
      <c r="AC208" s="84">
        <v>0</v>
      </c>
      <c r="AD208" s="84">
        <v>2</v>
      </c>
      <c r="AE208" s="84">
        <v>0</v>
      </c>
      <c r="AF208" s="84">
        <v>0</v>
      </c>
      <c r="AG208" s="84">
        <v>2</v>
      </c>
      <c r="AH208" s="84">
        <v>1</v>
      </c>
      <c r="AI208" s="84">
        <v>1</v>
      </c>
    </row>
    <row r="209" spans="1:35" ht="36" customHeight="1" x14ac:dyDescent="0.25">
      <c r="A209" s="155" t="s">
        <v>311</v>
      </c>
      <c r="B209" s="155">
        <v>2501</v>
      </c>
      <c r="C209" s="155" t="s">
        <v>267</v>
      </c>
      <c r="D209" s="159">
        <v>44004</v>
      </c>
      <c r="E209" s="160" t="s">
        <v>578</v>
      </c>
      <c r="F209" s="160" t="s">
        <v>515</v>
      </c>
      <c r="G209" s="161" t="s">
        <v>585</v>
      </c>
      <c r="H209" s="5">
        <v>115463</v>
      </c>
      <c r="I209" s="6">
        <v>0.29646726657024303</v>
      </c>
      <c r="J209" s="7">
        <v>60061</v>
      </c>
      <c r="K209" s="7">
        <v>808023</v>
      </c>
      <c r="L209" s="6">
        <v>0.41430879916012198</v>
      </c>
      <c r="M209" s="6">
        <v>0.14133041628136001</v>
      </c>
      <c r="N209" s="6">
        <v>3.0320800535294099E-2</v>
      </c>
      <c r="O209" s="6">
        <v>0.185428272849614</v>
      </c>
      <c r="P209" s="8">
        <v>0.25668177819879601</v>
      </c>
      <c r="Q209" s="84">
        <v>4</v>
      </c>
      <c r="R209" s="84">
        <v>3</v>
      </c>
      <c r="S209" s="84">
        <v>3</v>
      </c>
      <c r="T209" s="84">
        <v>2</v>
      </c>
      <c r="U209" s="84">
        <v>1</v>
      </c>
      <c r="V209" s="84">
        <v>4</v>
      </c>
      <c r="W209" s="84">
        <v>4</v>
      </c>
      <c r="X209" s="84">
        <v>4</v>
      </c>
      <c r="Y209" s="84">
        <v>4</v>
      </c>
      <c r="Z209" s="84">
        <v>4</v>
      </c>
      <c r="AA209" s="84">
        <v>4</v>
      </c>
      <c r="AB209" s="84">
        <v>4</v>
      </c>
      <c r="AC209" s="84">
        <v>3</v>
      </c>
      <c r="AD209" s="84">
        <v>3</v>
      </c>
      <c r="AE209" s="84">
        <v>4</v>
      </c>
      <c r="AF209" s="84">
        <v>4</v>
      </c>
      <c r="AG209" s="84">
        <v>4</v>
      </c>
      <c r="AH209" s="84">
        <v>4</v>
      </c>
      <c r="AI209" s="84">
        <v>4</v>
      </c>
    </row>
    <row r="210" spans="1:35" ht="36" customHeight="1" x14ac:dyDescent="0.25">
      <c r="A210" s="155" t="s">
        <v>311</v>
      </c>
      <c r="B210" s="155">
        <v>2502</v>
      </c>
      <c r="C210" s="155" t="s">
        <v>268</v>
      </c>
      <c r="D210" s="159">
        <v>44047</v>
      </c>
      <c r="E210" s="160" t="s">
        <v>578</v>
      </c>
      <c r="F210" s="160" t="s">
        <v>516</v>
      </c>
      <c r="G210" s="161" t="s">
        <v>585</v>
      </c>
      <c r="H210" s="5">
        <v>54953</v>
      </c>
      <c r="I210" s="6">
        <v>0.33179262278674498</v>
      </c>
      <c r="J210" s="7">
        <v>67352</v>
      </c>
      <c r="K210" s="7">
        <v>972716</v>
      </c>
      <c r="L210" s="6">
        <v>0.44368701837581498</v>
      </c>
      <c r="M210" s="6">
        <v>5.8272364605261202E-2</v>
      </c>
      <c r="N210" s="6">
        <v>2.9603568326684399E-2</v>
      </c>
      <c r="O210" s="6">
        <v>0.14882012630463301</v>
      </c>
      <c r="P210" s="8">
        <v>0.22129808187719899</v>
      </c>
      <c r="Q210" s="84">
        <v>2</v>
      </c>
      <c r="R210" s="84">
        <v>1</v>
      </c>
      <c r="S210" s="84">
        <v>1</v>
      </c>
      <c r="T210" s="84">
        <v>0</v>
      </c>
      <c r="U210" s="84">
        <v>0</v>
      </c>
      <c r="V210" s="84">
        <v>2</v>
      </c>
      <c r="W210" s="84">
        <v>2</v>
      </c>
      <c r="X210" s="84">
        <v>3</v>
      </c>
      <c r="Y210" s="84">
        <v>1</v>
      </c>
      <c r="Z210" s="84">
        <v>4</v>
      </c>
      <c r="AA210" s="84">
        <v>3</v>
      </c>
      <c r="AB210" s="84">
        <v>2</v>
      </c>
      <c r="AC210" s="84">
        <v>2</v>
      </c>
      <c r="AD210" s="84">
        <v>1</v>
      </c>
      <c r="AE210" s="84">
        <v>2</v>
      </c>
      <c r="AF210" s="84">
        <v>3</v>
      </c>
      <c r="AG210" s="84">
        <v>3</v>
      </c>
      <c r="AH210" s="84">
        <v>1</v>
      </c>
      <c r="AI210" s="84">
        <v>1</v>
      </c>
    </row>
    <row r="211" spans="1:35" ht="36" customHeight="1" x14ac:dyDescent="0.25">
      <c r="A211" s="155" t="s">
        <v>295</v>
      </c>
      <c r="B211" s="155">
        <v>933</v>
      </c>
      <c r="C211" s="155" t="s">
        <v>148</v>
      </c>
      <c r="D211" s="159">
        <v>44061</v>
      </c>
      <c r="E211" s="160" t="s">
        <v>547</v>
      </c>
      <c r="F211" s="160" t="s">
        <v>423</v>
      </c>
      <c r="G211" s="161" t="s">
        <v>583</v>
      </c>
      <c r="H211" s="5">
        <v>39045</v>
      </c>
      <c r="I211" s="6">
        <v>0.21057753873735399</v>
      </c>
      <c r="J211" s="7">
        <v>55438</v>
      </c>
      <c r="K211" s="7">
        <v>1225292</v>
      </c>
      <c r="L211" s="6">
        <v>0.32420002396931902</v>
      </c>
      <c r="M211" s="6">
        <v>4.4804680025149701E-2</v>
      </c>
      <c r="N211" s="6">
        <v>1.45977419972117E-2</v>
      </c>
      <c r="O211" s="6">
        <v>3.2571553538722299E-2</v>
      </c>
      <c r="P211" s="8">
        <v>0.36845630245209299</v>
      </c>
      <c r="Q211" s="84">
        <v>0</v>
      </c>
      <c r="R211" s="84">
        <v>0</v>
      </c>
      <c r="S211" s="84">
        <v>0</v>
      </c>
      <c r="T211" s="84">
        <v>0</v>
      </c>
      <c r="U211" s="84">
        <v>0</v>
      </c>
      <c r="V211" s="84">
        <v>1</v>
      </c>
      <c r="W211" s="84">
        <v>1</v>
      </c>
      <c r="X211" s="84">
        <v>1</v>
      </c>
      <c r="Y211" s="84">
        <v>0</v>
      </c>
      <c r="Z211" s="84">
        <v>4</v>
      </c>
      <c r="AA211" s="84">
        <v>0</v>
      </c>
      <c r="AB211" s="84">
        <v>0</v>
      </c>
      <c r="AC211" s="84">
        <v>2</v>
      </c>
      <c r="AD211" s="84">
        <v>0</v>
      </c>
      <c r="AE211" s="84">
        <v>0</v>
      </c>
      <c r="AF211" s="84">
        <v>1</v>
      </c>
      <c r="AG211" s="84">
        <v>0</v>
      </c>
      <c r="AH211" s="84">
        <v>1</v>
      </c>
      <c r="AI211" s="84">
        <v>0</v>
      </c>
    </row>
    <row r="212" spans="1:35" ht="36" customHeight="1" x14ac:dyDescent="0.25">
      <c r="A212" s="155" t="s">
        <v>305</v>
      </c>
      <c r="B212" s="155">
        <v>1904</v>
      </c>
      <c r="C212" s="155" t="s">
        <v>254</v>
      </c>
      <c r="D212" s="159">
        <v>44075</v>
      </c>
      <c r="E212" s="160" t="s">
        <v>570</v>
      </c>
      <c r="F212" s="160" t="s">
        <v>505</v>
      </c>
      <c r="G212" s="161" t="s">
        <v>585</v>
      </c>
      <c r="H212" s="5">
        <v>107853</v>
      </c>
      <c r="I212" s="6">
        <v>0.21539502841830999</v>
      </c>
      <c r="J212" s="7">
        <v>46229</v>
      </c>
      <c r="K212" s="7">
        <v>556193</v>
      </c>
      <c r="L212" s="6">
        <v>0.35375104058121198</v>
      </c>
      <c r="M212" s="6">
        <v>5.2450376629594599E-2</v>
      </c>
      <c r="N212" s="6">
        <v>4.4435347994049898E-2</v>
      </c>
      <c r="O212" s="6">
        <v>0.54742316646626099</v>
      </c>
      <c r="P212" s="8">
        <v>0.21688090025620299</v>
      </c>
      <c r="Q212" s="84">
        <v>1</v>
      </c>
      <c r="R212" s="84">
        <v>1</v>
      </c>
      <c r="S212" s="84">
        <v>0</v>
      </c>
      <c r="T212" s="84">
        <v>0</v>
      </c>
      <c r="U212" s="84">
        <v>0</v>
      </c>
      <c r="V212" s="84">
        <v>0</v>
      </c>
      <c r="W212" s="84">
        <v>1</v>
      </c>
      <c r="X212" s="84">
        <v>3</v>
      </c>
      <c r="Y212" s="84">
        <v>0</v>
      </c>
      <c r="Z212" s="84">
        <v>1</v>
      </c>
      <c r="AA212" s="84">
        <v>1</v>
      </c>
      <c r="AB212" s="84">
        <v>1</v>
      </c>
      <c r="AC212" s="84">
        <v>1</v>
      </c>
      <c r="AD212" s="84">
        <v>1</v>
      </c>
      <c r="AE212" s="84">
        <v>1</v>
      </c>
      <c r="AF212" s="84">
        <v>1</v>
      </c>
      <c r="AG212" s="84">
        <v>2</v>
      </c>
      <c r="AH212" s="84">
        <v>2</v>
      </c>
      <c r="AI212" s="84">
        <v>1</v>
      </c>
    </row>
    <row r="213" spans="1:35" ht="36" customHeight="1" x14ac:dyDescent="0.25">
      <c r="A213" s="155" t="s">
        <v>311</v>
      </c>
      <c r="B213" s="155">
        <v>2503</v>
      </c>
      <c r="C213" s="155" t="s">
        <v>269</v>
      </c>
      <c r="D213" s="159">
        <v>44130</v>
      </c>
      <c r="E213" s="160" t="s">
        <v>578</v>
      </c>
      <c r="F213" s="160" t="s">
        <v>517</v>
      </c>
      <c r="G213" s="161" t="s">
        <v>585</v>
      </c>
      <c r="H213" s="5">
        <v>27797</v>
      </c>
      <c r="I213" s="6">
        <v>0.40061877180990801</v>
      </c>
      <c r="J213" s="7">
        <v>81390</v>
      </c>
      <c r="K213" s="7">
        <v>1502179</v>
      </c>
      <c r="L213" s="6">
        <v>0.49656629688325399</v>
      </c>
      <c r="M213" s="6">
        <v>6.8280858481316001E-2</v>
      </c>
      <c r="N213" s="6">
        <v>1.9732541671206E-2</v>
      </c>
      <c r="O213" s="6">
        <v>4.1984420960889002E-2</v>
      </c>
      <c r="P213" s="8">
        <v>0.27802592875040899</v>
      </c>
      <c r="Q213" s="84">
        <v>1</v>
      </c>
      <c r="R213" s="84">
        <v>0</v>
      </c>
      <c r="S213" s="84">
        <v>0</v>
      </c>
      <c r="T213" s="84">
        <v>0</v>
      </c>
      <c r="U213" s="84">
        <v>0</v>
      </c>
      <c r="V213" s="84">
        <v>1</v>
      </c>
      <c r="W213" s="84">
        <v>1</v>
      </c>
      <c r="X213" s="84">
        <v>0</v>
      </c>
      <c r="Y213" s="84">
        <v>0</v>
      </c>
      <c r="Z213" s="84">
        <v>4</v>
      </c>
      <c r="AA213" s="84">
        <v>3</v>
      </c>
      <c r="AB213" s="84">
        <v>1</v>
      </c>
      <c r="AC213" s="84">
        <v>2</v>
      </c>
      <c r="AD213" s="84">
        <v>2</v>
      </c>
      <c r="AE213" s="84">
        <v>2</v>
      </c>
      <c r="AF213" s="84">
        <v>3</v>
      </c>
      <c r="AG213" s="84">
        <v>2</v>
      </c>
      <c r="AH213" s="84">
        <v>1</v>
      </c>
      <c r="AI213" s="84">
        <v>1</v>
      </c>
    </row>
    <row r="214" spans="1:35" ht="36" customHeight="1" x14ac:dyDescent="0.25">
      <c r="A214" s="155" t="s">
        <v>313</v>
      </c>
      <c r="B214" s="155">
        <v>2701</v>
      </c>
      <c r="C214" s="155" t="s">
        <v>274</v>
      </c>
      <c r="D214" s="159">
        <v>44137</v>
      </c>
      <c r="E214" s="160" t="s">
        <v>580</v>
      </c>
      <c r="F214" s="160" t="s">
        <v>518</v>
      </c>
      <c r="G214" s="161" t="s">
        <v>585</v>
      </c>
      <c r="H214" s="5">
        <v>85421</v>
      </c>
      <c r="I214" s="6">
        <v>0.35289916999332699</v>
      </c>
      <c r="J214" s="7">
        <v>70745</v>
      </c>
      <c r="K214" s="7">
        <v>1062544</v>
      </c>
      <c r="L214" s="6">
        <v>0.58339676744684499</v>
      </c>
      <c r="M214" s="6">
        <v>7.9838469078975405E-2</v>
      </c>
      <c r="N214" s="6">
        <v>6.3807910326897699E-2</v>
      </c>
      <c r="O214" s="6">
        <v>0.18552082001449099</v>
      </c>
      <c r="P214" s="8">
        <v>0.238316711417977</v>
      </c>
      <c r="Q214" s="84">
        <v>3</v>
      </c>
      <c r="R214" s="84">
        <v>2</v>
      </c>
      <c r="S214" s="84">
        <v>1</v>
      </c>
      <c r="T214" s="84">
        <v>1</v>
      </c>
      <c r="U214" s="84">
        <v>1</v>
      </c>
      <c r="V214" s="84">
        <v>2</v>
      </c>
      <c r="W214" s="84">
        <v>2</v>
      </c>
      <c r="X214" s="84">
        <v>3</v>
      </c>
      <c r="Y214" s="84">
        <v>1</v>
      </c>
      <c r="Z214" s="84">
        <v>4</v>
      </c>
      <c r="AA214" s="84">
        <v>3</v>
      </c>
      <c r="AB214" s="84">
        <v>2</v>
      </c>
      <c r="AC214" s="84">
        <v>4</v>
      </c>
      <c r="AD214" s="84">
        <v>2</v>
      </c>
      <c r="AE214" s="84">
        <v>3</v>
      </c>
      <c r="AF214" s="84">
        <v>4</v>
      </c>
      <c r="AG214" s="84">
        <v>3</v>
      </c>
      <c r="AH214" s="84">
        <v>4</v>
      </c>
      <c r="AI214" s="84">
        <v>2</v>
      </c>
    </row>
    <row r="215" spans="1:35" ht="36" customHeight="1" x14ac:dyDescent="0.25">
      <c r="A215" s="155" t="s">
        <v>295</v>
      </c>
      <c r="B215" s="155">
        <v>934</v>
      </c>
      <c r="C215" s="155" t="s">
        <v>149</v>
      </c>
      <c r="D215" s="159">
        <v>44369</v>
      </c>
      <c r="E215" s="160" t="s">
        <v>543</v>
      </c>
      <c r="F215" s="160" t="s">
        <v>424</v>
      </c>
      <c r="G215" s="161" t="s">
        <v>585</v>
      </c>
      <c r="H215" s="5">
        <v>41228</v>
      </c>
      <c r="I215" s="6">
        <v>0.452144173862424</v>
      </c>
      <c r="J215" s="7">
        <v>90746</v>
      </c>
      <c r="K215" s="7">
        <v>1114299</v>
      </c>
      <c r="L215" s="6">
        <v>0.45785629438673597</v>
      </c>
      <c r="M215" s="6">
        <v>0.234042179878584</v>
      </c>
      <c r="N215" s="6">
        <v>7.6025546548759496E-2</v>
      </c>
      <c r="O215" s="6">
        <v>0.105484787872408</v>
      </c>
      <c r="P215" s="8">
        <v>0.252737130224234</v>
      </c>
      <c r="Q215" s="84">
        <v>1</v>
      </c>
      <c r="R215" s="84">
        <v>1</v>
      </c>
      <c r="S215" s="84">
        <v>2</v>
      </c>
      <c r="T215" s="84">
        <v>1</v>
      </c>
      <c r="U215" s="84">
        <v>2</v>
      </c>
      <c r="V215" s="84">
        <v>2</v>
      </c>
      <c r="W215" s="84">
        <v>2</v>
      </c>
      <c r="X215" s="84">
        <v>1</v>
      </c>
      <c r="Y215" s="84">
        <v>2</v>
      </c>
      <c r="Z215" s="84">
        <v>2</v>
      </c>
      <c r="AA215" s="84">
        <v>1</v>
      </c>
      <c r="AB215" s="84">
        <v>2</v>
      </c>
      <c r="AC215" s="84">
        <v>1</v>
      </c>
      <c r="AD215" s="84">
        <v>1</v>
      </c>
      <c r="AE215" s="84">
        <v>1</v>
      </c>
      <c r="AF215" s="84">
        <v>1</v>
      </c>
      <c r="AG215" s="84">
        <v>1</v>
      </c>
      <c r="AH215" s="84">
        <v>1</v>
      </c>
      <c r="AI215" s="84">
        <v>1</v>
      </c>
    </row>
    <row r="216" spans="1:35" ht="36" customHeight="1" x14ac:dyDescent="0.25">
      <c r="A216" s="155" t="s">
        <v>312</v>
      </c>
      <c r="B216" s="155">
        <v>2601</v>
      </c>
      <c r="C216" s="155" t="s">
        <v>271</v>
      </c>
      <c r="D216" s="159">
        <v>44377</v>
      </c>
      <c r="E216" s="160" t="s">
        <v>579</v>
      </c>
      <c r="F216" s="160" t="s">
        <v>645</v>
      </c>
      <c r="G216" s="161" t="s">
        <v>585</v>
      </c>
      <c r="H216" s="5">
        <v>46288</v>
      </c>
      <c r="I216" s="6">
        <v>0.37003110957483598</v>
      </c>
      <c r="J216" s="7">
        <v>75727</v>
      </c>
      <c r="K216" s="7">
        <v>1294819</v>
      </c>
      <c r="L216" s="6">
        <v>0.53930015825567101</v>
      </c>
      <c r="M216" s="6">
        <v>5.5801459656710399E-2</v>
      </c>
      <c r="N216" s="6">
        <v>7.1175158805243999E-2</v>
      </c>
      <c r="O216" s="6">
        <v>0.147427017164482</v>
      </c>
      <c r="P216" s="8">
        <v>0.23712663873496401</v>
      </c>
      <c r="Q216" s="84">
        <v>3</v>
      </c>
      <c r="R216" s="84">
        <v>2</v>
      </c>
      <c r="S216" s="84">
        <v>2</v>
      </c>
      <c r="T216" s="84">
        <v>0</v>
      </c>
      <c r="U216" s="84">
        <v>0</v>
      </c>
      <c r="V216" s="84">
        <v>2</v>
      </c>
      <c r="W216" s="84">
        <v>2</v>
      </c>
      <c r="X216" s="84">
        <v>2</v>
      </c>
      <c r="Y216" s="84">
        <v>2</v>
      </c>
      <c r="Z216" s="84">
        <v>4</v>
      </c>
      <c r="AA216" s="84">
        <v>3</v>
      </c>
      <c r="AB216" s="84">
        <v>2</v>
      </c>
      <c r="AC216" s="84">
        <v>3</v>
      </c>
      <c r="AD216" s="84">
        <v>1</v>
      </c>
      <c r="AE216" s="84">
        <v>1</v>
      </c>
      <c r="AF216" s="84">
        <v>2</v>
      </c>
      <c r="AG216" s="84">
        <v>1</v>
      </c>
      <c r="AH216" s="84">
        <v>3</v>
      </c>
      <c r="AI216" s="84">
        <v>1</v>
      </c>
    </row>
    <row r="217" spans="1:35" ht="36" customHeight="1" x14ac:dyDescent="0.25">
      <c r="A217" s="155" t="s">
        <v>295</v>
      </c>
      <c r="B217" s="155">
        <v>932</v>
      </c>
      <c r="C217" s="155" t="s">
        <v>147</v>
      </c>
      <c r="D217" s="159">
        <v>44389</v>
      </c>
      <c r="E217" s="160" t="s">
        <v>545</v>
      </c>
      <c r="F217" s="160" t="s">
        <v>636</v>
      </c>
      <c r="G217" s="161" t="s">
        <v>584</v>
      </c>
      <c r="H217" s="5">
        <v>113408</v>
      </c>
      <c r="I217" s="6">
        <v>0.25450585496613998</v>
      </c>
      <c r="J217" s="7">
        <v>58043</v>
      </c>
      <c r="K217" s="7">
        <v>524331</v>
      </c>
      <c r="L217" s="6">
        <v>0.32261959631126502</v>
      </c>
      <c r="M217" s="6">
        <v>0.90676837014357003</v>
      </c>
      <c r="N217" s="6">
        <v>1.27852312129773E-2</v>
      </c>
      <c r="O217" s="6">
        <v>2.59507237640802E-2</v>
      </c>
      <c r="P217" s="8">
        <v>0.253335736960557</v>
      </c>
      <c r="Q217" s="84">
        <v>0</v>
      </c>
      <c r="R217" s="84">
        <v>1</v>
      </c>
      <c r="S217" s="84">
        <v>3</v>
      </c>
      <c r="T217" s="84">
        <v>4</v>
      </c>
      <c r="U217" s="84">
        <v>4</v>
      </c>
      <c r="V217" s="84">
        <v>0</v>
      </c>
      <c r="W217" s="84">
        <v>1</v>
      </c>
      <c r="X217" s="84">
        <v>1</v>
      </c>
      <c r="Y217" s="84">
        <v>1</v>
      </c>
      <c r="Z217" s="84">
        <v>0</v>
      </c>
      <c r="AA217" s="84">
        <v>1</v>
      </c>
      <c r="AB217" s="84">
        <v>3</v>
      </c>
      <c r="AC217" s="84">
        <v>0</v>
      </c>
      <c r="AD217" s="84">
        <v>0</v>
      </c>
      <c r="AE217" s="84">
        <v>2</v>
      </c>
      <c r="AF217" s="84">
        <v>0</v>
      </c>
      <c r="AG217" s="84">
        <v>1</v>
      </c>
      <c r="AH217" s="84">
        <v>0</v>
      </c>
      <c r="AI217" s="84">
        <v>4</v>
      </c>
    </row>
    <row r="218" spans="1:35" ht="36" customHeight="1" x14ac:dyDescent="0.25">
      <c r="A218" s="155" t="s">
        <v>300</v>
      </c>
      <c r="B218" s="155">
        <v>1413</v>
      </c>
      <c r="C218" s="155" t="s">
        <v>225</v>
      </c>
      <c r="D218" s="159">
        <v>44461</v>
      </c>
      <c r="E218" s="160" t="s">
        <v>561</v>
      </c>
      <c r="F218" s="160" t="s">
        <v>660</v>
      </c>
      <c r="G218" s="161" t="s">
        <v>584</v>
      </c>
      <c r="H218" s="5">
        <v>122178</v>
      </c>
      <c r="I218" s="6">
        <v>0.27697294111869603</v>
      </c>
      <c r="J218" s="7">
        <v>62533</v>
      </c>
      <c r="K218" s="7">
        <v>611347</v>
      </c>
      <c r="L218" s="6">
        <v>0.29205606356300001</v>
      </c>
      <c r="M218" s="6">
        <v>0.15065197753426801</v>
      </c>
      <c r="N218" s="6">
        <v>9.8595237160101101E-2</v>
      </c>
      <c r="O218" s="6">
        <v>0.12743673330453101</v>
      </c>
      <c r="P218" s="8">
        <v>0.22985808360499099</v>
      </c>
      <c r="Q218" s="84">
        <v>1</v>
      </c>
      <c r="R218" s="84">
        <v>2</v>
      </c>
      <c r="S218" s="84">
        <v>2</v>
      </c>
      <c r="T218" s="84">
        <v>0</v>
      </c>
      <c r="U218" s="84">
        <v>0</v>
      </c>
      <c r="V218" s="84">
        <v>2</v>
      </c>
      <c r="W218" s="84">
        <v>2</v>
      </c>
      <c r="X218" s="84">
        <v>3</v>
      </c>
      <c r="Y218" s="84">
        <v>2</v>
      </c>
      <c r="Z218" s="84">
        <v>0</v>
      </c>
      <c r="AA218" s="84">
        <v>0</v>
      </c>
      <c r="AB218" s="84">
        <v>0</v>
      </c>
      <c r="AC218" s="84">
        <v>0</v>
      </c>
      <c r="AD218" s="84">
        <v>0</v>
      </c>
      <c r="AE218" s="84">
        <v>1</v>
      </c>
      <c r="AF218" s="84">
        <v>0</v>
      </c>
      <c r="AG218" s="84">
        <v>0</v>
      </c>
      <c r="AH218" s="84">
        <v>0</v>
      </c>
      <c r="AI218" s="84">
        <v>0</v>
      </c>
    </row>
    <row r="219" spans="1:35" ht="36" customHeight="1" x14ac:dyDescent="0.25">
      <c r="A219" s="155" t="s">
        <v>311</v>
      </c>
      <c r="B219" s="155">
        <v>2504</v>
      </c>
      <c r="C219" s="155" t="s">
        <v>270</v>
      </c>
      <c r="D219" s="159">
        <v>44462</v>
      </c>
      <c r="E219" s="160" t="s">
        <v>578</v>
      </c>
      <c r="F219" s="160" t="s">
        <v>650</v>
      </c>
      <c r="G219" s="161" t="s">
        <v>585</v>
      </c>
      <c r="H219" s="5">
        <v>69180</v>
      </c>
      <c r="I219" s="6">
        <v>0.360508817577334</v>
      </c>
      <c r="J219" s="7">
        <v>74187</v>
      </c>
      <c r="K219" s="7">
        <v>1121516</v>
      </c>
      <c r="L219" s="6">
        <v>0.48149097621000803</v>
      </c>
      <c r="M219" s="6">
        <v>6.4342648612311495E-2</v>
      </c>
      <c r="N219" s="6">
        <v>5.023768366465E-2</v>
      </c>
      <c r="O219" s="6">
        <v>0.28927782579467998</v>
      </c>
      <c r="P219" s="8">
        <v>0.22961082300969901</v>
      </c>
      <c r="Q219" s="84">
        <v>2</v>
      </c>
      <c r="R219" s="84">
        <v>3</v>
      </c>
      <c r="S219" s="84">
        <v>2</v>
      </c>
      <c r="T219" s="84">
        <v>1</v>
      </c>
      <c r="U219" s="84">
        <v>0</v>
      </c>
      <c r="V219" s="84">
        <v>2</v>
      </c>
      <c r="W219" s="84">
        <v>3</v>
      </c>
      <c r="X219" s="84">
        <v>4</v>
      </c>
      <c r="Y219" s="84">
        <v>2</v>
      </c>
      <c r="Z219" s="84">
        <v>4</v>
      </c>
      <c r="AA219" s="84">
        <v>3</v>
      </c>
      <c r="AB219" s="84">
        <v>3</v>
      </c>
      <c r="AC219" s="84">
        <v>2</v>
      </c>
      <c r="AD219" s="84">
        <v>2</v>
      </c>
      <c r="AE219" s="84">
        <v>4</v>
      </c>
      <c r="AF219" s="84">
        <v>3</v>
      </c>
      <c r="AG219" s="84">
        <v>3</v>
      </c>
      <c r="AH219" s="84">
        <v>2</v>
      </c>
      <c r="AI219" s="84">
        <v>2</v>
      </c>
    </row>
    <row r="220" spans="1:35" ht="36" customHeight="1" x14ac:dyDescent="0.25">
      <c r="A220" s="155" t="s">
        <v>295</v>
      </c>
      <c r="B220" s="155">
        <v>935</v>
      </c>
      <c r="C220" s="155" t="s">
        <v>150</v>
      </c>
      <c r="D220" s="159">
        <v>44473</v>
      </c>
      <c r="E220" s="160" t="s">
        <v>544</v>
      </c>
      <c r="F220" s="160" t="s">
        <v>634</v>
      </c>
      <c r="G220" s="161" t="s">
        <v>585</v>
      </c>
      <c r="H220" s="5">
        <v>39818</v>
      </c>
      <c r="I220" s="6">
        <v>0.210131096489025</v>
      </c>
      <c r="J220" s="7">
        <v>53111</v>
      </c>
      <c r="K220" s="7">
        <v>719042</v>
      </c>
      <c r="L220" s="6">
        <v>0.211842503230773</v>
      </c>
      <c r="M220" s="6">
        <v>0.123126315789474</v>
      </c>
      <c r="N220" s="6">
        <v>1.82421052631579E-2</v>
      </c>
      <c r="O220" s="6">
        <v>8.6684210526315794E-2</v>
      </c>
      <c r="P220" s="8">
        <v>0.28609473684210501</v>
      </c>
      <c r="Q220" s="84">
        <v>0</v>
      </c>
      <c r="R220" s="84">
        <v>0</v>
      </c>
      <c r="S220" s="84">
        <v>1</v>
      </c>
      <c r="T220" s="84">
        <v>0</v>
      </c>
      <c r="U220" s="84">
        <v>0</v>
      </c>
      <c r="V220" s="84">
        <v>2</v>
      </c>
      <c r="W220" s="84">
        <v>2</v>
      </c>
      <c r="X220" s="84">
        <v>0</v>
      </c>
      <c r="Y220" s="84">
        <v>0</v>
      </c>
      <c r="Z220" s="84">
        <v>2</v>
      </c>
      <c r="AA220" s="84">
        <v>0</v>
      </c>
      <c r="AB220" s="84">
        <v>0</v>
      </c>
      <c r="AC220" s="84">
        <v>2</v>
      </c>
      <c r="AD220" s="84">
        <v>0</v>
      </c>
      <c r="AE220" s="84">
        <v>0</v>
      </c>
      <c r="AF220" s="84">
        <v>1</v>
      </c>
      <c r="AG220" s="84">
        <v>0</v>
      </c>
      <c r="AH220" s="84">
        <v>1</v>
      </c>
      <c r="AI220" s="84">
        <v>0</v>
      </c>
    </row>
    <row r="221" spans="1:35" ht="36" customHeight="1" x14ac:dyDescent="0.25">
      <c r="A221" s="155" t="s">
        <v>312</v>
      </c>
      <c r="B221" s="155">
        <v>2603</v>
      </c>
      <c r="C221" s="155" t="s">
        <v>272</v>
      </c>
      <c r="D221" s="159">
        <v>44480</v>
      </c>
      <c r="E221" s="160" t="s">
        <v>579</v>
      </c>
      <c r="F221" s="160" t="s">
        <v>641</v>
      </c>
      <c r="G221" s="161" t="s">
        <v>585</v>
      </c>
      <c r="H221" s="5">
        <v>62830</v>
      </c>
      <c r="I221" s="6">
        <v>0.39395193378959098</v>
      </c>
      <c r="J221" s="7">
        <v>77092</v>
      </c>
      <c r="K221" s="7">
        <v>1234965</v>
      </c>
      <c r="L221" s="6">
        <v>0.73469040659048601</v>
      </c>
      <c r="M221" s="6">
        <v>5.68505956901008E-2</v>
      </c>
      <c r="N221" s="6">
        <v>0.15087837967187601</v>
      </c>
      <c r="O221" s="6">
        <v>7.4150176441684895E-2</v>
      </c>
      <c r="P221" s="8">
        <v>0.19736581817253601</v>
      </c>
      <c r="Q221" s="84">
        <v>3</v>
      </c>
      <c r="R221" s="84">
        <v>0</v>
      </c>
      <c r="S221" s="84">
        <v>1</v>
      </c>
      <c r="T221" s="84">
        <v>0</v>
      </c>
      <c r="U221" s="84">
        <v>0</v>
      </c>
      <c r="V221" s="84">
        <v>1</v>
      </c>
      <c r="W221" s="84">
        <v>3</v>
      </c>
      <c r="X221" s="84">
        <v>1</v>
      </c>
      <c r="Y221" s="84">
        <v>1</v>
      </c>
      <c r="Z221" s="84">
        <v>3</v>
      </c>
      <c r="AA221" s="84">
        <v>2</v>
      </c>
      <c r="AB221" s="84">
        <v>2</v>
      </c>
      <c r="AC221" s="84">
        <v>2</v>
      </c>
      <c r="AD221" s="84">
        <v>2</v>
      </c>
      <c r="AE221" s="84">
        <v>2</v>
      </c>
      <c r="AF221" s="84">
        <v>2</v>
      </c>
      <c r="AG221" s="84">
        <v>2</v>
      </c>
      <c r="AH221" s="84">
        <v>3</v>
      </c>
      <c r="AI221" s="84">
        <v>2</v>
      </c>
    </row>
    <row r="222" spans="1:35" ht="36" customHeight="1" x14ac:dyDescent="0.25">
      <c r="A222" s="155" t="s">
        <v>288</v>
      </c>
      <c r="B222" s="155">
        <v>221</v>
      </c>
      <c r="C222" s="155" t="s">
        <v>47</v>
      </c>
      <c r="D222" s="159">
        <v>44510</v>
      </c>
      <c r="E222" s="160" t="s">
        <v>521</v>
      </c>
      <c r="F222" s="160" t="s">
        <v>669</v>
      </c>
      <c r="G222" s="161" t="s">
        <v>585</v>
      </c>
      <c r="H222" s="5">
        <v>310328</v>
      </c>
      <c r="I222" s="6">
        <v>0.49188922688252401</v>
      </c>
      <c r="J222" s="7">
        <v>97857</v>
      </c>
      <c r="K222" s="7">
        <v>902107</v>
      </c>
      <c r="L222" s="6">
        <v>0.62968820232827605</v>
      </c>
      <c r="M222" s="6">
        <v>0.14570695145725099</v>
      </c>
      <c r="N222" s="6">
        <v>8.0698233378134601E-2</v>
      </c>
      <c r="O222" s="6">
        <v>0.29719417099543499</v>
      </c>
      <c r="P222" s="8">
        <v>0.20614473222177801</v>
      </c>
      <c r="Q222" s="84" t="s">
        <v>772</v>
      </c>
      <c r="R222" s="84" t="s">
        <v>772</v>
      </c>
      <c r="S222" s="84" t="s">
        <v>772</v>
      </c>
      <c r="T222" s="84" t="s">
        <v>772</v>
      </c>
      <c r="U222" s="84" t="s">
        <v>772</v>
      </c>
      <c r="V222" s="84" t="s">
        <v>772</v>
      </c>
      <c r="W222" s="84">
        <v>1</v>
      </c>
      <c r="X222" s="84" t="s">
        <v>772</v>
      </c>
      <c r="Y222" s="84" t="s">
        <v>772</v>
      </c>
      <c r="Z222" s="84">
        <v>2</v>
      </c>
      <c r="AA222" s="84">
        <v>3</v>
      </c>
      <c r="AB222" s="84">
        <v>2</v>
      </c>
      <c r="AC222" s="84">
        <v>3</v>
      </c>
      <c r="AD222" s="84">
        <v>2</v>
      </c>
      <c r="AE222" s="84">
        <v>4</v>
      </c>
      <c r="AF222" s="84">
        <v>3</v>
      </c>
      <c r="AG222" s="84">
        <v>3</v>
      </c>
      <c r="AH222" s="84">
        <v>3</v>
      </c>
      <c r="AI222" s="84">
        <v>3</v>
      </c>
    </row>
    <row r="223" spans="1:35" ht="36" customHeight="1" x14ac:dyDescent="0.25">
      <c r="A223" s="155" t="s">
        <v>312</v>
      </c>
      <c r="B223" s="155">
        <v>2604</v>
      </c>
      <c r="C223" s="155" t="s">
        <v>273</v>
      </c>
      <c r="D223" s="159">
        <v>44512</v>
      </c>
      <c r="E223" s="160" t="s">
        <v>579</v>
      </c>
      <c r="F223" s="160" t="s">
        <v>662</v>
      </c>
      <c r="G223" s="161" t="s">
        <v>585</v>
      </c>
      <c r="H223" s="5">
        <v>99987</v>
      </c>
      <c r="I223" s="6">
        <v>0.34638503005390697</v>
      </c>
      <c r="J223" s="7">
        <v>75015</v>
      </c>
      <c r="K223" s="7">
        <v>947401</v>
      </c>
      <c r="L223" s="6">
        <v>0.31621317888094103</v>
      </c>
      <c r="M223" s="6">
        <v>3.03113117870722E-2</v>
      </c>
      <c r="N223" s="6">
        <v>5.6372782002534899E-2</v>
      </c>
      <c r="O223" s="6">
        <v>8.1586660329531005E-2</v>
      </c>
      <c r="P223" s="8">
        <v>0.26878168567807398</v>
      </c>
      <c r="Q223" s="84">
        <v>3</v>
      </c>
      <c r="R223" s="84">
        <v>2</v>
      </c>
      <c r="S223" s="84">
        <v>2</v>
      </c>
      <c r="T223" s="84">
        <v>0</v>
      </c>
      <c r="U223" s="84">
        <v>1</v>
      </c>
      <c r="V223" s="84">
        <v>2</v>
      </c>
      <c r="W223" s="84">
        <v>3</v>
      </c>
      <c r="X223" s="84">
        <v>3</v>
      </c>
      <c r="Y223" s="84">
        <v>2</v>
      </c>
      <c r="Z223" s="84">
        <v>4</v>
      </c>
      <c r="AA223" s="84">
        <v>4</v>
      </c>
      <c r="AB223" s="84">
        <v>3</v>
      </c>
      <c r="AC223" s="84">
        <v>1</v>
      </c>
      <c r="AD223" s="84">
        <v>1</v>
      </c>
      <c r="AE223" s="84">
        <v>2</v>
      </c>
      <c r="AF223" s="84">
        <v>2</v>
      </c>
      <c r="AG223" s="84">
        <v>1</v>
      </c>
      <c r="AH223" s="84">
        <v>2</v>
      </c>
      <c r="AI223" s="84">
        <v>1</v>
      </c>
    </row>
    <row r="224" spans="1:35" ht="36" customHeight="1" x14ac:dyDescent="0.25">
      <c r="A224" s="155" t="s">
        <v>289</v>
      </c>
      <c r="B224" s="155">
        <v>305</v>
      </c>
      <c r="C224" s="155" t="s">
        <v>52</v>
      </c>
      <c r="D224" s="159">
        <v>44515</v>
      </c>
      <c r="E224" s="160" t="s">
        <v>526</v>
      </c>
      <c r="F224" s="160" t="s">
        <v>643</v>
      </c>
      <c r="G224" s="161" t="s">
        <v>585</v>
      </c>
      <c r="H224" s="5">
        <v>60245</v>
      </c>
      <c r="I224" s="6">
        <v>0.46837081915511702</v>
      </c>
      <c r="J224" s="7">
        <v>91707</v>
      </c>
      <c r="K224" s="7">
        <v>1786040</v>
      </c>
      <c r="L224" s="6">
        <v>0.482126210276621</v>
      </c>
      <c r="M224" s="6">
        <v>0.15554473876350899</v>
      </c>
      <c r="N224" s="6">
        <v>4.0519118314509897E-2</v>
      </c>
      <c r="O224" s="6">
        <v>8.1031658850072699E-2</v>
      </c>
      <c r="P224" s="8">
        <v>0.26400573582324199</v>
      </c>
      <c r="Q224" s="84">
        <v>1</v>
      </c>
      <c r="R224" s="84">
        <v>2</v>
      </c>
      <c r="S224" s="84">
        <v>2</v>
      </c>
      <c r="T224" s="84">
        <v>1</v>
      </c>
      <c r="U224" s="84">
        <v>3</v>
      </c>
      <c r="V224" s="84">
        <v>3</v>
      </c>
      <c r="W224" s="84">
        <v>2</v>
      </c>
      <c r="X224" s="84">
        <v>1</v>
      </c>
      <c r="Y224" s="84">
        <v>1</v>
      </c>
      <c r="Z224" s="84">
        <v>4</v>
      </c>
      <c r="AA224" s="84">
        <v>4</v>
      </c>
      <c r="AB224" s="84">
        <v>4</v>
      </c>
      <c r="AC224" s="84">
        <v>3</v>
      </c>
      <c r="AD224" s="84">
        <v>3</v>
      </c>
      <c r="AE224" s="84">
        <v>3</v>
      </c>
      <c r="AF224" s="84">
        <v>3</v>
      </c>
      <c r="AG224" s="84">
        <v>4</v>
      </c>
      <c r="AH224" s="84">
        <v>4</v>
      </c>
      <c r="AI224" s="84">
        <v>2</v>
      </c>
    </row>
    <row r="225" spans="1:35" ht="36" customHeight="1" x14ac:dyDescent="0.25">
      <c r="A225" s="155" t="s">
        <v>306</v>
      </c>
      <c r="B225" s="155">
        <v>2002</v>
      </c>
      <c r="C225" s="155" t="s">
        <v>256</v>
      </c>
      <c r="D225" s="159">
        <v>44515</v>
      </c>
      <c r="E225" s="160" t="s">
        <v>573</v>
      </c>
      <c r="F225" s="160" t="s">
        <v>646</v>
      </c>
      <c r="G225" s="161" t="s">
        <v>585</v>
      </c>
      <c r="H225" s="5">
        <v>42984</v>
      </c>
      <c r="I225" s="6">
        <v>0.52491624790619795</v>
      </c>
      <c r="J225" s="7">
        <v>104831</v>
      </c>
      <c r="K225" s="7">
        <v>2274695</v>
      </c>
      <c r="L225" s="6">
        <v>0.67119691942812199</v>
      </c>
      <c r="M225" s="6">
        <v>7.1171872105516606E-2</v>
      </c>
      <c r="N225" s="6">
        <v>8.0156348412433798E-2</v>
      </c>
      <c r="O225" s="6">
        <v>7.2968767366900097E-2</v>
      </c>
      <c r="P225" s="8">
        <v>0.26676484754177299</v>
      </c>
      <c r="Q225" s="84">
        <v>4</v>
      </c>
      <c r="R225" s="84">
        <v>3</v>
      </c>
      <c r="S225" s="84">
        <v>4</v>
      </c>
      <c r="T225" s="84">
        <v>2</v>
      </c>
      <c r="U225" s="84">
        <v>1</v>
      </c>
      <c r="V225" s="84">
        <v>4</v>
      </c>
      <c r="W225" s="84">
        <v>4</v>
      </c>
      <c r="X225" s="84">
        <v>1</v>
      </c>
      <c r="Y225" s="84">
        <v>2</v>
      </c>
      <c r="Z225" s="84">
        <v>4</v>
      </c>
      <c r="AA225" s="84">
        <v>4</v>
      </c>
      <c r="AB225" s="84">
        <v>4</v>
      </c>
      <c r="AC225" s="84">
        <v>4</v>
      </c>
      <c r="AD225" s="84">
        <v>4</v>
      </c>
      <c r="AE225" s="84">
        <v>4</v>
      </c>
      <c r="AF225" s="84">
        <v>4</v>
      </c>
      <c r="AG225" s="84">
        <v>4</v>
      </c>
      <c r="AH225" s="84">
        <v>4</v>
      </c>
      <c r="AI225" s="84">
        <v>4</v>
      </c>
    </row>
    <row r="226" spans="1:35" ht="36" customHeight="1" x14ac:dyDescent="0.25">
      <c r="A226" s="155" t="s">
        <v>312</v>
      </c>
      <c r="B226" s="155">
        <v>2602</v>
      </c>
      <c r="C226" s="155" t="s">
        <v>586</v>
      </c>
      <c r="D226" s="159">
        <v>44519</v>
      </c>
      <c r="E226" s="160" t="s">
        <v>579</v>
      </c>
      <c r="F226" s="160" t="s">
        <v>653</v>
      </c>
      <c r="G226" s="161" t="s">
        <v>585</v>
      </c>
      <c r="H226" s="5">
        <v>74390</v>
      </c>
      <c r="I226" s="6">
        <v>0.48097862615942999</v>
      </c>
      <c r="J226" s="7">
        <v>95634</v>
      </c>
      <c r="K226" s="7">
        <v>1714835</v>
      </c>
      <c r="L226" s="6">
        <v>0.57055102507430799</v>
      </c>
      <c r="M226" s="6">
        <v>2.8754697787448099E-2</v>
      </c>
      <c r="N226" s="6">
        <v>0.15001271581564901</v>
      </c>
      <c r="O226" s="6">
        <v>6.9699624177004094E-2</v>
      </c>
      <c r="P226" s="8">
        <v>0.29217553477069103</v>
      </c>
      <c r="Q226" s="84">
        <v>4</v>
      </c>
      <c r="R226" s="84">
        <v>4</v>
      </c>
      <c r="S226" s="84">
        <v>4</v>
      </c>
      <c r="T226" s="84">
        <v>4</v>
      </c>
      <c r="U226" s="84">
        <v>4</v>
      </c>
      <c r="V226" s="84">
        <v>4</v>
      </c>
      <c r="W226" s="84">
        <v>4</v>
      </c>
      <c r="X226" s="84">
        <v>4</v>
      </c>
      <c r="Y226" s="84">
        <v>4</v>
      </c>
      <c r="Z226" s="84">
        <v>4</v>
      </c>
      <c r="AA226" s="84">
        <v>4</v>
      </c>
      <c r="AB226" s="84">
        <v>4</v>
      </c>
      <c r="AC226" s="84">
        <v>3</v>
      </c>
      <c r="AD226" s="84">
        <v>4</v>
      </c>
      <c r="AE226" s="84">
        <v>4</v>
      </c>
      <c r="AF226" s="84">
        <v>3</v>
      </c>
      <c r="AG226" s="84">
        <v>4</v>
      </c>
      <c r="AH226" s="84">
        <v>4</v>
      </c>
      <c r="AI226" s="84">
        <v>4</v>
      </c>
    </row>
    <row r="227" spans="1:35" ht="36" customHeight="1" x14ac:dyDescent="0.25">
      <c r="A227" s="155" t="s">
        <v>297</v>
      </c>
      <c r="B227" s="155">
        <v>1129</v>
      </c>
      <c r="C227" s="155" t="s">
        <v>195</v>
      </c>
      <c r="D227" s="159">
        <v>44536</v>
      </c>
      <c r="E227" s="160" t="s">
        <v>557</v>
      </c>
      <c r="F227" s="160" t="s">
        <v>642</v>
      </c>
      <c r="G227" s="161" t="s">
        <v>585</v>
      </c>
      <c r="H227" s="5">
        <v>221630</v>
      </c>
      <c r="I227" s="6">
        <v>0.36457158326941302</v>
      </c>
      <c r="J227" s="7">
        <v>72351</v>
      </c>
      <c r="K227" s="7">
        <v>544837</v>
      </c>
      <c r="L227" s="6">
        <v>0.45535907383328</v>
      </c>
      <c r="M227" s="6">
        <v>0.34220282184304401</v>
      </c>
      <c r="N227" s="6">
        <v>0.107862026569107</v>
      </c>
      <c r="O227" s="6">
        <v>7.8391609440129503E-2</v>
      </c>
      <c r="P227" s="8">
        <v>0.19755712657810301</v>
      </c>
      <c r="Q227" s="84">
        <v>3</v>
      </c>
      <c r="R227" s="84">
        <v>3</v>
      </c>
      <c r="S227" s="84">
        <v>3</v>
      </c>
      <c r="T227" s="84">
        <v>1</v>
      </c>
      <c r="U227" s="84">
        <v>1</v>
      </c>
      <c r="V227" s="84">
        <v>1</v>
      </c>
      <c r="W227" s="84">
        <v>2</v>
      </c>
      <c r="X227" s="84">
        <v>1</v>
      </c>
      <c r="Y227" s="84">
        <v>2</v>
      </c>
      <c r="Z227" s="84">
        <v>1</v>
      </c>
      <c r="AA227" s="84">
        <v>2</v>
      </c>
      <c r="AB227" s="84">
        <v>3</v>
      </c>
      <c r="AC227" s="84">
        <v>1</v>
      </c>
      <c r="AD227" s="84">
        <v>3</v>
      </c>
      <c r="AE227" s="84">
        <v>3</v>
      </c>
      <c r="AF227" s="84">
        <v>2</v>
      </c>
      <c r="AG227" s="84">
        <v>3</v>
      </c>
      <c r="AH227" s="84">
        <v>2</v>
      </c>
      <c r="AI227" s="84">
        <v>3</v>
      </c>
    </row>
    <row r="228" spans="1:35" ht="36" customHeight="1" x14ac:dyDescent="0.25">
      <c r="A228" s="155" t="s">
        <v>296</v>
      </c>
      <c r="B228" s="155">
        <v>1012</v>
      </c>
      <c r="C228" s="155" t="s">
        <v>165</v>
      </c>
      <c r="D228" s="159">
        <v>44536</v>
      </c>
      <c r="E228" s="160" t="s">
        <v>551</v>
      </c>
      <c r="F228" s="160" t="s">
        <v>633</v>
      </c>
      <c r="G228" s="161" t="s">
        <v>584</v>
      </c>
      <c r="H228" s="5">
        <v>24965</v>
      </c>
      <c r="I228" s="6">
        <v>0.224474263969557</v>
      </c>
      <c r="J228" s="7">
        <v>53425</v>
      </c>
      <c r="K228" s="7">
        <v>1046166</v>
      </c>
      <c r="L228" s="6">
        <v>0.38483734351002902</v>
      </c>
      <c r="M228" s="6">
        <v>9.9949140090794406E-2</v>
      </c>
      <c r="N228" s="6">
        <v>1.63693559628534E-2</v>
      </c>
      <c r="O228" s="6">
        <v>9.3054796842918196E-3</v>
      </c>
      <c r="P228" s="8">
        <v>0.33727654604705498</v>
      </c>
      <c r="Q228" s="84">
        <v>1</v>
      </c>
      <c r="R228" s="84">
        <v>2</v>
      </c>
      <c r="S228" s="84">
        <v>2</v>
      </c>
      <c r="T228" s="84">
        <v>0</v>
      </c>
      <c r="U228" s="84">
        <v>0</v>
      </c>
      <c r="V228" s="84">
        <v>2</v>
      </c>
      <c r="W228" s="84">
        <v>2</v>
      </c>
      <c r="X228" s="84">
        <v>1</v>
      </c>
      <c r="Y228" s="84">
        <v>0</v>
      </c>
      <c r="Z228" s="84">
        <v>2</v>
      </c>
      <c r="AA228" s="84">
        <v>0</v>
      </c>
      <c r="AB228" s="84">
        <v>0</v>
      </c>
      <c r="AC228" s="84">
        <v>1</v>
      </c>
      <c r="AD228" s="84">
        <v>0</v>
      </c>
      <c r="AE228" s="84">
        <v>0</v>
      </c>
      <c r="AF228" s="84">
        <v>0</v>
      </c>
      <c r="AG228" s="84">
        <v>0</v>
      </c>
      <c r="AH228" s="84">
        <v>0</v>
      </c>
      <c r="AI228" s="84">
        <v>0</v>
      </c>
    </row>
    <row r="229" spans="1:35" ht="36" customHeight="1" x14ac:dyDescent="0.25">
      <c r="A229" s="155" t="s">
        <v>297</v>
      </c>
      <c r="B229" s="155">
        <v>1131</v>
      </c>
      <c r="C229" s="155" t="s">
        <v>197</v>
      </c>
      <c r="D229" s="159">
        <v>44543</v>
      </c>
      <c r="E229" s="160" t="s">
        <v>555</v>
      </c>
      <c r="F229" s="160" t="s">
        <v>672</v>
      </c>
      <c r="G229" s="161" t="s">
        <v>583</v>
      </c>
      <c r="H229" s="5">
        <v>34185</v>
      </c>
      <c r="I229" s="6">
        <v>0.40848325288869403</v>
      </c>
      <c r="J229" s="7">
        <v>83481</v>
      </c>
      <c r="K229" s="7">
        <v>1050191</v>
      </c>
      <c r="L229" s="6">
        <v>0.43539321266231101</v>
      </c>
      <c r="M229" s="6">
        <v>0.30436203787195698</v>
      </c>
      <c r="N229" s="6">
        <v>9.2436880072137101E-2</v>
      </c>
      <c r="O229" s="6">
        <v>4.8343101893597799E-2</v>
      </c>
      <c r="P229" s="8">
        <v>0.22461677186654599</v>
      </c>
      <c r="Q229" s="84">
        <v>1</v>
      </c>
      <c r="R229" s="84">
        <v>1</v>
      </c>
      <c r="S229" s="84">
        <v>1</v>
      </c>
      <c r="T229" s="84">
        <v>0</v>
      </c>
      <c r="U229" s="84">
        <v>1</v>
      </c>
      <c r="V229" s="84">
        <v>0</v>
      </c>
      <c r="W229" s="84">
        <v>1</v>
      </c>
      <c r="X229" s="84">
        <v>0</v>
      </c>
      <c r="Y229" s="84">
        <v>0</v>
      </c>
      <c r="Z229" s="84">
        <v>0</v>
      </c>
      <c r="AA229" s="84">
        <v>0</v>
      </c>
      <c r="AB229" s="84">
        <v>1</v>
      </c>
      <c r="AC229" s="84">
        <v>1</v>
      </c>
      <c r="AD229" s="84">
        <v>2</v>
      </c>
      <c r="AE229" s="84">
        <v>0</v>
      </c>
      <c r="AF229" s="84">
        <v>1</v>
      </c>
      <c r="AG229" s="84">
        <v>2</v>
      </c>
      <c r="AH229" s="84">
        <v>0</v>
      </c>
      <c r="AI229" s="84">
        <v>1</v>
      </c>
    </row>
    <row r="230" spans="1:35" ht="36" customHeight="1" x14ac:dyDescent="0.25">
      <c r="A230" s="155" t="s">
        <v>297</v>
      </c>
      <c r="B230" s="155">
        <v>1130</v>
      </c>
      <c r="C230" s="155" t="s">
        <v>196</v>
      </c>
      <c r="D230" s="159">
        <v>44691</v>
      </c>
      <c r="E230" s="160" t="s">
        <v>557</v>
      </c>
      <c r="F230" s="160" t="s">
        <v>670</v>
      </c>
      <c r="G230" s="161" t="s">
        <v>585</v>
      </c>
      <c r="H230" s="5">
        <v>81756</v>
      </c>
      <c r="I230" s="6">
        <v>0.64353686579578295</v>
      </c>
      <c r="J230" s="7">
        <v>125031</v>
      </c>
      <c r="K230" s="7">
        <v>2006458</v>
      </c>
      <c r="L230" s="6">
        <v>0.629694220159003</v>
      </c>
      <c r="M230" s="6">
        <v>0.121069500311902</v>
      </c>
      <c r="N230" s="6">
        <v>0.27674503646023801</v>
      </c>
      <c r="O230" s="6">
        <v>2.4078814343178E-2</v>
      </c>
      <c r="P230" s="8">
        <v>0.25800081739766401</v>
      </c>
      <c r="Q230" s="84">
        <v>2</v>
      </c>
      <c r="R230" s="84">
        <v>1</v>
      </c>
      <c r="S230" s="84">
        <v>3</v>
      </c>
      <c r="T230" s="84">
        <v>0</v>
      </c>
      <c r="U230" s="84">
        <v>3</v>
      </c>
      <c r="V230" s="84">
        <v>1</v>
      </c>
      <c r="W230" s="84">
        <v>3</v>
      </c>
      <c r="X230" s="84">
        <v>1</v>
      </c>
      <c r="Y230" s="84">
        <v>2</v>
      </c>
      <c r="Z230" s="84">
        <v>0</v>
      </c>
      <c r="AA230" s="84">
        <v>4</v>
      </c>
      <c r="AB230" s="84">
        <v>3</v>
      </c>
      <c r="AC230" s="84">
        <v>2</v>
      </c>
      <c r="AD230" s="84">
        <v>4</v>
      </c>
      <c r="AE230" s="84">
        <v>2</v>
      </c>
      <c r="AF230" s="84">
        <v>1</v>
      </c>
      <c r="AG230" s="84">
        <v>3</v>
      </c>
      <c r="AH230" s="84">
        <v>3</v>
      </c>
      <c r="AI230" s="84">
        <v>3</v>
      </c>
    </row>
    <row r="231" spans="1:35" ht="36" customHeight="1" x14ac:dyDescent="0.25">
      <c r="A231" s="155" t="s">
        <v>295</v>
      </c>
      <c r="B231" s="155">
        <v>937</v>
      </c>
      <c r="C231" s="155" t="s">
        <v>152</v>
      </c>
      <c r="D231" s="159">
        <v>44698</v>
      </c>
      <c r="E231" s="160" t="s">
        <v>595</v>
      </c>
      <c r="F231" s="160" t="s">
        <v>639</v>
      </c>
      <c r="G231" s="161" t="s">
        <v>585</v>
      </c>
      <c r="H231" s="5">
        <v>57919</v>
      </c>
      <c r="I231" s="6">
        <v>0.194340371898686</v>
      </c>
      <c r="J231" s="7">
        <v>47357</v>
      </c>
      <c r="K231" s="7">
        <v>507951</v>
      </c>
      <c r="L231" s="6">
        <v>0.30623394626330203</v>
      </c>
      <c r="M231" s="6">
        <v>5.9979243968666898E-2</v>
      </c>
      <c r="N231" s="6">
        <v>3.2200281485904397E-2</v>
      </c>
      <c r="O231" s="6">
        <v>0.31128360415689299</v>
      </c>
      <c r="P231" s="8">
        <v>0.24284556659700601</v>
      </c>
      <c r="Q231" s="84">
        <v>1</v>
      </c>
      <c r="R231" s="84">
        <v>1</v>
      </c>
      <c r="S231" s="84">
        <v>1</v>
      </c>
      <c r="T231" s="84">
        <v>0</v>
      </c>
      <c r="U231" s="84">
        <v>0</v>
      </c>
      <c r="V231" s="84">
        <v>3</v>
      </c>
      <c r="W231" s="84">
        <v>3</v>
      </c>
      <c r="X231" s="84">
        <v>2</v>
      </c>
      <c r="Y231" s="84">
        <v>2</v>
      </c>
      <c r="Z231" s="84">
        <v>2</v>
      </c>
      <c r="AA231" s="84">
        <v>2</v>
      </c>
      <c r="AB231" s="84">
        <v>2</v>
      </c>
      <c r="AC231" s="84">
        <v>2</v>
      </c>
      <c r="AD231" s="84">
        <v>2</v>
      </c>
      <c r="AE231" s="84">
        <v>2</v>
      </c>
      <c r="AF231" s="84">
        <v>2</v>
      </c>
      <c r="AG231" s="84">
        <v>2</v>
      </c>
      <c r="AH231" s="84">
        <v>2</v>
      </c>
      <c r="AI231" s="84">
        <v>1</v>
      </c>
    </row>
    <row r="232" spans="1:35" ht="36" customHeight="1" x14ac:dyDescent="0.25">
      <c r="A232" s="155" t="s">
        <v>297</v>
      </c>
      <c r="B232" s="155">
        <v>1132</v>
      </c>
      <c r="C232" s="155" t="s">
        <v>198</v>
      </c>
      <c r="D232" s="159">
        <v>44725</v>
      </c>
      <c r="E232" s="160" t="s">
        <v>553</v>
      </c>
      <c r="F232" s="160" t="s">
        <v>661</v>
      </c>
      <c r="G232" s="161" t="s">
        <v>585</v>
      </c>
      <c r="H232" s="5">
        <v>95925</v>
      </c>
      <c r="I232" s="6">
        <v>0.417816002084962</v>
      </c>
      <c r="J232" s="7">
        <v>83396</v>
      </c>
      <c r="K232" s="7">
        <v>1163475</v>
      </c>
      <c r="L232" s="6">
        <v>0.32194238620538901</v>
      </c>
      <c r="M232" s="6">
        <v>0.49161737460131</v>
      </c>
      <c r="N232" s="6">
        <v>0.121007018238335</v>
      </c>
      <c r="O232" s="6">
        <v>4.0136665833865999E-2</v>
      </c>
      <c r="P232" s="8">
        <v>0.24011589989519699</v>
      </c>
      <c r="Q232" s="84">
        <v>2</v>
      </c>
      <c r="R232" s="84">
        <v>2</v>
      </c>
      <c r="S232" s="84">
        <v>3</v>
      </c>
      <c r="T232" s="84">
        <v>0</v>
      </c>
      <c r="U232" s="84">
        <v>2</v>
      </c>
      <c r="V232" s="84">
        <v>1</v>
      </c>
      <c r="W232" s="84">
        <v>2</v>
      </c>
      <c r="X232" s="84">
        <v>2</v>
      </c>
      <c r="Y232" s="84">
        <v>2</v>
      </c>
      <c r="Z232" s="84">
        <v>0</v>
      </c>
      <c r="AA232" s="84">
        <v>2</v>
      </c>
      <c r="AB232" s="84">
        <v>3</v>
      </c>
      <c r="AC232" s="84">
        <v>2</v>
      </c>
      <c r="AD232" s="84">
        <v>3</v>
      </c>
      <c r="AE232" s="84">
        <v>2</v>
      </c>
      <c r="AF232" s="84">
        <v>2</v>
      </c>
      <c r="AG232" s="84">
        <v>3</v>
      </c>
      <c r="AH232" s="84">
        <v>1</v>
      </c>
      <c r="AI232" s="84">
        <v>3</v>
      </c>
    </row>
    <row r="233" spans="1:35" ht="36" customHeight="1" x14ac:dyDescent="0.25">
      <c r="A233" s="155" t="s">
        <v>292</v>
      </c>
      <c r="B233" s="155">
        <v>615</v>
      </c>
      <c r="C233" s="155" t="s">
        <v>106</v>
      </c>
      <c r="D233" s="159">
        <v>44735</v>
      </c>
      <c r="E233" s="160" t="s">
        <v>593</v>
      </c>
      <c r="F233" s="160" t="s">
        <v>637</v>
      </c>
      <c r="G233" s="161" t="s">
        <v>585</v>
      </c>
      <c r="H233" s="5">
        <v>46760</v>
      </c>
      <c r="I233" s="6">
        <v>0.29467493584260102</v>
      </c>
      <c r="J233" s="7">
        <v>57047</v>
      </c>
      <c r="K233" s="7">
        <v>975895</v>
      </c>
      <c r="L233" s="6">
        <v>0.44513341600992101</v>
      </c>
      <c r="M233" s="6">
        <v>6.8292986606428199E-2</v>
      </c>
      <c r="N233" s="6">
        <v>1.84895323811387E-2</v>
      </c>
      <c r="O233" s="6">
        <v>0.10231941801106301</v>
      </c>
      <c r="P233" s="8">
        <v>0.216066950072037</v>
      </c>
      <c r="Q233" s="84" t="s">
        <v>772</v>
      </c>
      <c r="R233" s="84" t="s">
        <v>772</v>
      </c>
      <c r="S233" s="84" t="s">
        <v>772</v>
      </c>
      <c r="T233" s="84" t="s">
        <v>772</v>
      </c>
      <c r="U233" s="84" t="s">
        <v>772</v>
      </c>
      <c r="V233" s="84" t="s">
        <v>772</v>
      </c>
      <c r="W233" s="84">
        <v>0</v>
      </c>
      <c r="X233" s="84" t="s">
        <v>772</v>
      </c>
      <c r="Y233" s="84" t="s">
        <v>772</v>
      </c>
      <c r="Z233" s="84">
        <v>4</v>
      </c>
      <c r="AA233" s="84">
        <v>3</v>
      </c>
      <c r="AB233" s="84">
        <v>2</v>
      </c>
      <c r="AC233" s="84">
        <v>4</v>
      </c>
      <c r="AD233" s="84">
        <v>3</v>
      </c>
      <c r="AE233" s="84">
        <v>2</v>
      </c>
      <c r="AF233" s="84">
        <v>4</v>
      </c>
      <c r="AG233" s="84">
        <v>3</v>
      </c>
      <c r="AH233" s="84">
        <v>3</v>
      </c>
      <c r="AI233" s="84">
        <v>1</v>
      </c>
    </row>
    <row r="234" spans="1:35" ht="36" customHeight="1" x14ac:dyDescent="0.25">
      <c r="A234" s="155" t="s">
        <v>291</v>
      </c>
      <c r="B234" s="155">
        <v>537</v>
      </c>
      <c r="C234" s="155" t="s">
        <v>92</v>
      </c>
      <c r="D234" s="159">
        <v>44789</v>
      </c>
      <c r="E234" s="160" t="s">
        <v>594</v>
      </c>
      <c r="F234" s="160" t="s">
        <v>638</v>
      </c>
      <c r="G234" s="161" t="s">
        <v>584</v>
      </c>
      <c r="H234" s="5">
        <v>68183</v>
      </c>
      <c r="I234" s="6">
        <v>0.19064869542261301</v>
      </c>
      <c r="J234" s="7">
        <v>47208</v>
      </c>
      <c r="K234" s="7">
        <v>436197</v>
      </c>
      <c r="L234" s="6">
        <v>0.47324267248381302</v>
      </c>
      <c r="M234" s="6">
        <v>0.25154590002895899</v>
      </c>
      <c r="N234" s="6">
        <v>7.6122445503120195E-2</v>
      </c>
      <c r="O234" s="6">
        <v>9.7381764909630894E-2</v>
      </c>
      <c r="P234" s="8">
        <v>0.12877673739857201</v>
      </c>
      <c r="Q234" s="84">
        <v>3</v>
      </c>
      <c r="R234" s="84">
        <v>3</v>
      </c>
      <c r="S234" s="84">
        <v>2</v>
      </c>
      <c r="T234" s="84">
        <v>0</v>
      </c>
      <c r="U234" s="84">
        <v>0</v>
      </c>
      <c r="V234" s="84">
        <v>1</v>
      </c>
      <c r="W234" s="84">
        <v>1</v>
      </c>
      <c r="X234" s="84">
        <v>2</v>
      </c>
      <c r="Y234" s="84">
        <v>1</v>
      </c>
      <c r="Z234" s="84">
        <v>1</v>
      </c>
      <c r="AA234" s="84">
        <v>1</v>
      </c>
      <c r="AB234" s="84">
        <v>1</v>
      </c>
      <c r="AC234" s="84">
        <v>0</v>
      </c>
      <c r="AD234" s="84">
        <v>1</v>
      </c>
      <c r="AE234" s="84">
        <v>1</v>
      </c>
      <c r="AF234" s="84">
        <v>1</v>
      </c>
      <c r="AG234" s="84">
        <v>1</v>
      </c>
      <c r="AH234" s="84">
        <v>0</v>
      </c>
      <c r="AI234" s="84">
        <v>1</v>
      </c>
    </row>
    <row r="235" spans="1:35" ht="36" customHeight="1" x14ac:dyDescent="0.25">
      <c r="A235" s="155" t="s">
        <v>313</v>
      </c>
      <c r="B235" s="155">
        <v>2702</v>
      </c>
      <c r="C235" s="155" t="s">
        <v>275</v>
      </c>
      <c r="D235" s="159">
        <v>44789</v>
      </c>
      <c r="E235" s="160" t="s">
        <v>580</v>
      </c>
      <c r="F235" s="160" t="s">
        <v>655</v>
      </c>
      <c r="G235" s="161" t="s">
        <v>585</v>
      </c>
      <c r="H235" s="5">
        <v>80511</v>
      </c>
      <c r="I235" s="6">
        <v>0.28711604625454901</v>
      </c>
      <c r="J235" s="7">
        <v>62990</v>
      </c>
      <c r="K235" s="7">
        <v>664564</v>
      </c>
      <c r="L235" s="6">
        <v>0.33265785441161699</v>
      </c>
      <c r="M235" s="6">
        <v>6.7593812521348801E-2</v>
      </c>
      <c r="N235" s="6">
        <v>8.4423949641341006E-2</v>
      </c>
      <c r="O235" s="6">
        <v>3.73444590835895E-2</v>
      </c>
      <c r="P235" s="8">
        <v>0.22617479139218299</v>
      </c>
      <c r="Q235" s="84">
        <v>2</v>
      </c>
      <c r="R235" s="84">
        <v>1</v>
      </c>
      <c r="S235" s="84">
        <v>0</v>
      </c>
      <c r="T235" s="84">
        <v>0</v>
      </c>
      <c r="U235" s="84">
        <v>1</v>
      </c>
      <c r="V235" s="84">
        <v>1</v>
      </c>
      <c r="W235" s="84">
        <v>2</v>
      </c>
      <c r="X235" s="84">
        <v>2</v>
      </c>
      <c r="Y235" s="84">
        <v>1</v>
      </c>
      <c r="Z235" s="84">
        <v>3</v>
      </c>
      <c r="AA235" s="84">
        <v>3</v>
      </c>
      <c r="AB235" s="84">
        <v>2</v>
      </c>
      <c r="AC235" s="84">
        <v>2</v>
      </c>
      <c r="AD235" s="84">
        <v>1</v>
      </c>
      <c r="AE235" s="84">
        <v>1</v>
      </c>
      <c r="AF235" s="84">
        <v>2</v>
      </c>
      <c r="AG235" s="84">
        <v>1</v>
      </c>
      <c r="AH235" s="84">
        <v>2</v>
      </c>
      <c r="AI235" s="84">
        <v>1</v>
      </c>
    </row>
    <row r="236" spans="1:35" ht="36" customHeight="1" x14ac:dyDescent="0.25">
      <c r="A236" s="155" t="s">
        <v>297</v>
      </c>
      <c r="B236" s="155">
        <v>1133</v>
      </c>
      <c r="C236" s="155" t="s">
        <v>199</v>
      </c>
      <c r="D236" s="159">
        <v>44789</v>
      </c>
      <c r="E236" s="160" t="s">
        <v>557</v>
      </c>
      <c r="F236" s="160" t="s">
        <v>671</v>
      </c>
      <c r="G236" s="161" t="s">
        <v>585</v>
      </c>
      <c r="H236" s="5">
        <v>59305</v>
      </c>
      <c r="I236" s="6">
        <v>0.63589916533175905</v>
      </c>
      <c r="J236" s="7">
        <v>130486</v>
      </c>
      <c r="K236" s="7">
        <v>2322883</v>
      </c>
      <c r="L236" s="6">
        <v>0.65384227001918604</v>
      </c>
      <c r="M236" s="6">
        <v>0.14546373415769101</v>
      </c>
      <c r="N236" s="6">
        <v>7.5386745952048098E-2</v>
      </c>
      <c r="O236" s="6">
        <v>1.0284784163926501E-2</v>
      </c>
      <c r="P236" s="8">
        <v>0.27478816757569202</v>
      </c>
      <c r="Q236" s="84">
        <v>2</v>
      </c>
      <c r="R236" s="84">
        <v>2</v>
      </c>
      <c r="S236" s="84">
        <v>3</v>
      </c>
      <c r="T236" s="84">
        <v>0</v>
      </c>
      <c r="U236" s="84">
        <v>0</v>
      </c>
      <c r="V236" s="84">
        <v>1</v>
      </c>
      <c r="W236" s="84">
        <v>2</v>
      </c>
      <c r="X236" s="84">
        <v>1</v>
      </c>
      <c r="Y236" s="84">
        <v>2</v>
      </c>
      <c r="Z236" s="84">
        <v>1</v>
      </c>
      <c r="AA236" s="84">
        <v>3</v>
      </c>
      <c r="AB236" s="84">
        <v>3</v>
      </c>
      <c r="AC236" s="84">
        <v>2</v>
      </c>
      <c r="AD236" s="84">
        <v>4</v>
      </c>
      <c r="AE236" s="84">
        <v>2</v>
      </c>
      <c r="AF236" s="84">
        <v>2</v>
      </c>
      <c r="AG236" s="84">
        <v>3</v>
      </c>
      <c r="AH236" s="84">
        <v>2</v>
      </c>
      <c r="AI236" s="84">
        <v>3</v>
      </c>
    </row>
    <row r="237" spans="1:35" ht="36" customHeight="1" x14ac:dyDescent="0.25">
      <c r="A237" s="155" t="s">
        <v>309</v>
      </c>
      <c r="B237" s="155">
        <v>2303</v>
      </c>
      <c r="C237" s="155" t="s">
        <v>265</v>
      </c>
      <c r="D237" s="159">
        <v>44798</v>
      </c>
      <c r="E237" s="160" t="s">
        <v>576</v>
      </c>
      <c r="F237" s="160" t="s">
        <v>663</v>
      </c>
      <c r="G237" s="161" t="s">
        <v>585</v>
      </c>
      <c r="H237" s="5">
        <v>106175</v>
      </c>
      <c r="I237" s="6">
        <v>0.43659053449493801</v>
      </c>
      <c r="J237" s="7">
        <v>86834</v>
      </c>
      <c r="K237" s="7">
        <v>1414923</v>
      </c>
      <c r="L237" s="6">
        <v>0.45761969355494198</v>
      </c>
      <c r="M237" s="6">
        <v>0.21276098590487699</v>
      </c>
      <c r="N237" s="6">
        <v>4.1723826034521697E-2</v>
      </c>
      <c r="O237" s="6">
        <v>1.54895605638049E-2</v>
      </c>
      <c r="P237" s="8">
        <v>0.26653727293284102</v>
      </c>
      <c r="Q237" s="84">
        <v>4</v>
      </c>
      <c r="R237" s="84">
        <v>3</v>
      </c>
      <c r="S237" s="84">
        <v>3</v>
      </c>
      <c r="T237" s="84">
        <v>2</v>
      </c>
      <c r="U237" s="84">
        <v>2</v>
      </c>
      <c r="V237" s="84">
        <v>2</v>
      </c>
      <c r="W237" s="84">
        <v>4</v>
      </c>
      <c r="X237" s="84">
        <v>1</v>
      </c>
      <c r="Y237" s="84">
        <v>2</v>
      </c>
      <c r="Z237" s="84">
        <v>4</v>
      </c>
      <c r="AA237" s="84">
        <v>4</v>
      </c>
      <c r="AB237" s="84">
        <v>3</v>
      </c>
      <c r="AC237" s="84">
        <v>3</v>
      </c>
      <c r="AD237" s="84">
        <v>3</v>
      </c>
      <c r="AE237" s="84">
        <v>3</v>
      </c>
      <c r="AF237" s="84">
        <v>3</v>
      </c>
      <c r="AG237" s="84">
        <v>3</v>
      </c>
      <c r="AH237" s="84">
        <v>3</v>
      </c>
      <c r="AI237" s="84">
        <v>3</v>
      </c>
    </row>
    <row r="238" spans="1:35" ht="36" customHeight="1" x14ac:dyDescent="0.25">
      <c r="A238" s="155" t="s">
        <v>302</v>
      </c>
      <c r="B238" s="155">
        <v>1609</v>
      </c>
      <c r="C238" s="155" t="s">
        <v>238</v>
      </c>
      <c r="D238" s="159">
        <v>44803</v>
      </c>
      <c r="E238" s="160" t="s">
        <v>567</v>
      </c>
      <c r="F238" s="160" t="s">
        <v>654</v>
      </c>
      <c r="G238" s="161" t="s">
        <v>585</v>
      </c>
      <c r="H238" s="5">
        <v>62136</v>
      </c>
      <c r="I238" s="6">
        <v>0.41970838161452301</v>
      </c>
      <c r="J238" s="7">
        <v>86096</v>
      </c>
      <c r="K238" s="7">
        <v>1108287</v>
      </c>
      <c r="L238" s="6">
        <v>0.33825338253382498</v>
      </c>
      <c r="M238" s="6">
        <v>4.2308995921038803E-2</v>
      </c>
      <c r="N238" s="6">
        <v>5.2833650845595499E-2</v>
      </c>
      <c r="O238" s="6">
        <v>8.8924860625752403E-2</v>
      </c>
      <c r="P238" s="8">
        <v>0.25166255653861003</v>
      </c>
      <c r="Q238" s="84">
        <v>2</v>
      </c>
      <c r="R238" s="84">
        <v>1</v>
      </c>
      <c r="S238" s="84">
        <v>0</v>
      </c>
      <c r="T238" s="84">
        <v>0</v>
      </c>
      <c r="U238" s="84">
        <v>0</v>
      </c>
      <c r="V238" s="84">
        <v>3</v>
      </c>
      <c r="W238" s="84">
        <v>4</v>
      </c>
      <c r="X238" s="84">
        <v>3</v>
      </c>
      <c r="Y238" s="84">
        <v>2</v>
      </c>
      <c r="Z238" s="84">
        <v>3</v>
      </c>
      <c r="AA238" s="84">
        <v>1</v>
      </c>
      <c r="AB238" s="84">
        <v>0</v>
      </c>
      <c r="AC238" s="84">
        <v>2</v>
      </c>
      <c r="AD238" s="84">
        <v>0</v>
      </c>
      <c r="AE238" s="84">
        <v>1</v>
      </c>
      <c r="AF238" s="84">
        <v>2</v>
      </c>
      <c r="AG238" s="84">
        <v>0</v>
      </c>
      <c r="AH238" s="84">
        <v>2</v>
      </c>
      <c r="AI238" s="84">
        <v>0</v>
      </c>
    </row>
    <row r="239" spans="1:35" ht="36" customHeight="1" x14ac:dyDescent="0.25">
      <c r="A239" s="155" t="s">
        <v>304</v>
      </c>
      <c r="B239" s="155">
        <v>1804</v>
      </c>
      <c r="C239" s="155" t="s">
        <v>250</v>
      </c>
      <c r="D239" s="159">
        <v>44810</v>
      </c>
      <c r="E239" s="160" t="s">
        <v>569</v>
      </c>
      <c r="F239" s="160" t="s">
        <v>659</v>
      </c>
      <c r="G239" s="161" t="s">
        <v>585</v>
      </c>
      <c r="H239" s="5">
        <v>62406</v>
      </c>
      <c r="I239" s="6">
        <v>0.47977758548857502</v>
      </c>
      <c r="J239" s="7">
        <v>95727</v>
      </c>
      <c r="K239" s="7">
        <v>1449941</v>
      </c>
      <c r="L239" s="6">
        <v>0.424862684517679</v>
      </c>
      <c r="M239" s="6">
        <v>3.3189672768838697E-2</v>
      </c>
      <c r="N239" s="6">
        <v>3.3102193399390002E-2</v>
      </c>
      <c r="O239" s="6">
        <v>4.7775399634919398E-2</v>
      </c>
      <c r="P239" s="8">
        <v>0.24291854504312699</v>
      </c>
      <c r="Q239" s="84">
        <v>2</v>
      </c>
      <c r="R239" s="84">
        <v>1</v>
      </c>
      <c r="S239" s="84">
        <v>0</v>
      </c>
      <c r="T239" s="84">
        <v>0</v>
      </c>
      <c r="U239" s="84">
        <v>0</v>
      </c>
      <c r="V239" s="84">
        <v>2</v>
      </c>
      <c r="W239" s="84">
        <v>2</v>
      </c>
      <c r="X239" s="84">
        <v>1</v>
      </c>
      <c r="Y239" s="84">
        <v>1</v>
      </c>
      <c r="Z239" s="84">
        <v>3</v>
      </c>
      <c r="AA239" s="84">
        <v>3</v>
      </c>
      <c r="AB239" s="84">
        <v>2</v>
      </c>
      <c r="AC239" s="84">
        <v>2</v>
      </c>
      <c r="AD239" s="84">
        <v>2</v>
      </c>
      <c r="AE239" s="84">
        <v>2</v>
      </c>
      <c r="AF239" s="84">
        <v>2</v>
      </c>
      <c r="AG239" s="84">
        <v>2</v>
      </c>
      <c r="AH239" s="84">
        <v>2</v>
      </c>
      <c r="AI239" s="84">
        <v>2</v>
      </c>
    </row>
    <row r="240" spans="1:35" ht="36" customHeight="1" x14ac:dyDescent="0.25">
      <c r="A240" s="155" t="s">
        <v>289</v>
      </c>
      <c r="B240" s="155">
        <v>306</v>
      </c>
      <c r="C240" s="155" t="s">
        <v>53</v>
      </c>
      <c r="D240" s="159">
        <v>44816</v>
      </c>
      <c r="E240" s="160" t="s">
        <v>526</v>
      </c>
      <c r="F240" s="160" t="s">
        <v>666</v>
      </c>
      <c r="G240" s="161" t="s">
        <v>585</v>
      </c>
      <c r="H240" s="5">
        <v>125089</v>
      </c>
      <c r="I240" s="6">
        <v>0.41603977967687</v>
      </c>
      <c r="J240" s="7">
        <v>81688</v>
      </c>
      <c r="K240" s="7">
        <v>1403105</v>
      </c>
      <c r="L240" s="6">
        <v>0.36830914301562401</v>
      </c>
      <c r="M240" s="6">
        <v>0.372149642891414</v>
      </c>
      <c r="N240" s="6">
        <v>6.3317202900736197E-2</v>
      </c>
      <c r="O240" s="6">
        <v>0.131934143967538</v>
      </c>
      <c r="P240" s="8">
        <v>0.245309608345785</v>
      </c>
      <c r="Q240" s="84">
        <v>2</v>
      </c>
      <c r="R240" s="84">
        <v>2</v>
      </c>
      <c r="S240" s="84">
        <v>3</v>
      </c>
      <c r="T240" s="84">
        <v>2</v>
      </c>
      <c r="U240" s="84">
        <v>4</v>
      </c>
      <c r="V240" s="84">
        <v>2</v>
      </c>
      <c r="W240" s="84">
        <v>2</v>
      </c>
      <c r="X240" s="84">
        <v>1</v>
      </c>
      <c r="Y240" s="84">
        <v>3</v>
      </c>
      <c r="Z240" s="84">
        <v>3</v>
      </c>
      <c r="AA240" s="84">
        <v>4</v>
      </c>
      <c r="AB240" s="84">
        <v>4</v>
      </c>
      <c r="AC240" s="84">
        <v>1</v>
      </c>
      <c r="AD240" s="84">
        <v>3</v>
      </c>
      <c r="AE240" s="84">
        <v>4</v>
      </c>
      <c r="AF240" s="84">
        <v>2</v>
      </c>
      <c r="AG240" s="84">
        <v>3</v>
      </c>
      <c r="AH240" s="84">
        <v>3</v>
      </c>
      <c r="AI240" s="84">
        <v>3</v>
      </c>
    </row>
    <row r="241" spans="1:35" ht="36" customHeight="1" x14ac:dyDescent="0.25">
      <c r="A241" s="155" t="s">
        <v>313</v>
      </c>
      <c r="B241" s="155">
        <v>2704</v>
      </c>
      <c r="C241" s="155" t="s">
        <v>277</v>
      </c>
      <c r="D241" s="159">
        <v>44824</v>
      </c>
      <c r="E241" s="160" t="s">
        <v>580</v>
      </c>
      <c r="F241" s="160" t="s">
        <v>635</v>
      </c>
      <c r="G241" s="161" t="s">
        <v>584</v>
      </c>
      <c r="H241" s="5">
        <v>38887</v>
      </c>
      <c r="I241" s="6">
        <v>0.58502841566590402</v>
      </c>
      <c r="J241" s="7">
        <v>113882</v>
      </c>
      <c r="K241" s="7">
        <v>1685146</v>
      </c>
      <c r="L241" s="6">
        <v>0.63779627539503403</v>
      </c>
      <c r="M241" s="6">
        <v>4.8406549070306198E-2</v>
      </c>
      <c r="N241" s="6">
        <v>6.74169002108405E-2</v>
      </c>
      <c r="O241" s="6">
        <v>7.4141237104457094E-2</v>
      </c>
      <c r="P241" s="8">
        <v>0.193704285354828</v>
      </c>
      <c r="Q241" s="84">
        <v>3</v>
      </c>
      <c r="R241" s="84">
        <v>2</v>
      </c>
      <c r="S241" s="84">
        <v>2</v>
      </c>
      <c r="T241" s="84">
        <v>0</v>
      </c>
      <c r="U241" s="84">
        <v>0</v>
      </c>
      <c r="V241" s="84">
        <v>2</v>
      </c>
      <c r="W241" s="84">
        <v>3</v>
      </c>
      <c r="X241" s="84">
        <v>2</v>
      </c>
      <c r="Y241" s="84">
        <v>2</v>
      </c>
      <c r="Z241" s="84">
        <v>4</v>
      </c>
      <c r="AA241" s="84">
        <v>1</v>
      </c>
      <c r="AB241" s="84">
        <v>2</v>
      </c>
      <c r="AC241" s="84">
        <v>3</v>
      </c>
      <c r="AD241" s="84">
        <v>2</v>
      </c>
      <c r="AE241" s="84">
        <v>2</v>
      </c>
      <c r="AF241" s="84">
        <v>3</v>
      </c>
      <c r="AG241" s="84">
        <v>2</v>
      </c>
      <c r="AH241" s="84">
        <v>3</v>
      </c>
      <c r="AI241" s="84">
        <v>1</v>
      </c>
    </row>
    <row r="242" spans="1:35" ht="36" customHeight="1" x14ac:dyDescent="0.25">
      <c r="A242" s="155" t="s">
        <v>313</v>
      </c>
      <c r="B242" s="155">
        <v>2703</v>
      </c>
      <c r="C242" s="155" t="s">
        <v>276</v>
      </c>
      <c r="D242" s="159">
        <v>44830</v>
      </c>
      <c r="E242" s="160" t="s">
        <v>580</v>
      </c>
      <c r="F242" s="160" t="s">
        <v>647</v>
      </c>
      <c r="G242" s="161" t="s">
        <v>585</v>
      </c>
      <c r="H242" s="5">
        <v>54696</v>
      </c>
      <c r="I242" s="6">
        <v>0.54192262688313597</v>
      </c>
      <c r="J242" s="7">
        <v>107084</v>
      </c>
      <c r="K242" s="7">
        <v>1793969</v>
      </c>
      <c r="L242" s="6">
        <v>0.64181814409030502</v>
      </c>
      <c r="M242" s="6">
        <v>4.3876593630995102E-2</v>
      </c>
      <c r="N242" s="6">
        <v>8.0902643633754601E-2</v>
      </c>
      <c r="O242" s="6">
        <v>3.3245488161598301E-2</v>
      </c>
      <c r="P242" s="8">
        <v>0.24695071471935501</v>
      </c>
      <c r="Q242" s="84">
        <v>4</v>
      </c>
      <c r="R242" s="84">
        <v>4</v>
      </c>
      <c r="S242" s="84">
        <v>4</v>
      </c>
      <c r="T242" s="84">
        <v>4</v>
      </c>
      <c r="U242" s="84">
        <v>4</v>
      </c>
      <c r="V242" s="84">
        <v>4</v>
      </c>
      <c r="W242" s="84">
        <v>4</v>
      </c>
      <c r="X242" s="84">
        <v>4</v>
      </c>
      <c r="Y242" s="84">
        <v>4</v>
      </c>
      <c r="Z242" s="84">
        <v>3</v>
      </c>
      <c r="AA242" s="84">
        <v>4</v>
      </c>
      <c r="AB242" s="84">
        <v>4</v>
      </c>
      <c r="AC242" s="84">
        <v>3</v>
      </c>
      <c r="AD242" s="84">
        <v>4</v>
      </c>
      <c r="AE242" s="84">
        <v>4</v>
      </c>
      <c r="AF242" s="84">
        <v>3</v>
      </c>
      <c r="AG242" s="84">
        <v>4</v>
      </c>
      <c r="AH242" s="84">
        <v>4</v>
      </c>
      <c r="AI242" s="84">
        <v>4</v>
      </c>
    </row>
    <row r="243" spans="1:35" ht="36" customHeight="1" x14ac:dyDescent="0.25">
      <c r="A243" s="155" t="s">
        <v>295</v>
      </c>
      <c r="B243" s="155">
        <v>938</v>
      </c>
      <c r="C243" s="155" t="s">
        <v>153</v>
      </c>
      <c r="D243" s="159">
        <v>44837</v>
      </c>
      <c r="E243" s="160" t="s">
        <v>596</v>
      </c>
      <c r="F243" s="160" t="s">
        <v>640</v>
      </c>
      <c r="G243" s="161" t="s">
        <v>585</v>
      </c>
      <c r="H243" s="5">
        <v>42464</v>
      </c>
      <c r="I243" s="6">
        <v>0.33673229088168799</v>
      </c>
      <c r="J243" s="7">
        <v>67747</v>
      </c>
      <c r="K243" s="7">
        <v>1174543</v>
      </c>
      <c r="L243" s="6">
        <v>0.59213227387618905</v>
      </c>
      <c r="M243" s="6">
        <v>6.3109071866739794E-2</v>
      </c>
      <c r="N243" s="6">
        <v>4.1583960899705799E-2</v>
      </c>
      <c r="O243" s="6">
        <v>0.201625854072116</v>
      </c>
      <c r="P243" s="8">
        <v>0.24879557129320201</v>
      </c>
      <c r="Q243" s="84">
        <v>2</v>
      </c>
      <c r="R243" s="84">
        <v>2</v>
      </c>
      <c r="S243" s="84">
        <v>1</v>
      </c>
      <c r="T243" s="84">
        <v>2</v>
      </c>
      <c r="U243" s="84">
        <v>2</v>
      </c>
      <c r="V243" s="84">
        <v>3</v>
      </c>
      <c r="W243" s="84">
        <v>2</v>
      </c>
      <c r="X243" s="84">
        <v>2</v>
      </c>
      <c r="Y243" s="84">
        <v>2</v>
      </c>
      <c r="Z243" s="84">
        <v>2</v>
      </c>
      <c r="AA243" s="84">
        <v>2</v>
      </c>
      <c r="AB243" s="84">
        <v>2</v>
      </c>
      <c r="AC243" s="84">
        <v>2</v>
      </c>
      <c r="AD243" s="84">
        <v>2</v>
      </c>
      <c r="AE243" s="84">
        <v>3</v>
      </c>
      <c r="AF243" s="84">
        <v>2</v>
      </c>
      <c r="AG243" s="84">
        <v>3</v>
      </c>
      <c r="AH243" s="84">
        <v>2</v>
      </c>
      <c r="AI243" s="84">
        <v>2</v>
      </c>
    </row>
    <row r="244" spans="1:35" ht="36" customHeight="1" x14ac:dyDescent="0.25">
      <c r="A244" s="155" t="s">
        <v>291</v>
      </c>
      <c r="B244" s="155">
        <v>538</v>
      </c>
      <c r="C244" s="155" t="s">
        <v>93</v>
      </c>
      <c r="D244" s="159">
        <v>44865</v>
      </c>
      <c r="E244" s="160" t="s">
        <v>597</v>
      </c>
      <c r="F244" s="160" t="s">
        <v>651</v>
      </c>
      <c r="G244" s="161" t="s">
        <v>585</v>
      </c>
      <c r="H244" s="5">
        <v>68537</v>
      </c>
      <c r="I244" s="6">
        <v>0.16556020835461099</v>
      </c>
      <c r="J244" s="7">
        <v>42092</v>
      </c>
      <c r="K244" s="7">
        <v>342556</v>
      </c>
      <c r="L244" s="6">
        <v>0.23564430112861201</v>
      </c>
      <c r="M244" s="6">
        <v>0.92020228410998095</v>
      </c>
      <c r="N244" s="6">
        <v>1.3081157199729E-2</v>
      </c>
      <c r="O244" s="6">
        <v>8.9008551020498504E-3</v>
      </c>
      <c r="P244" s="8">
        <v>0.17877433896758901</v>
      </c>
      <c r="Q244" s="84">
        <v>0</v>
      </c>
      <c r="R244" s="84">
        <v>2</v>
      </c>
      <c r="S244" s="84">
        <v>1</v>
      </c>
      <c r="T244" s="84">
        <v>3</v>
      </c>
      <c r="U244" s="84">
        <v>2</v>
      </c>
      <c r="V244" s="84">
        <v>1</v>
      </c>
      <c r="W244" s="84">
        <v>1</v>
      </c>
      <c r="X244" s="84">
        <v>0</v>
      </c>
      <c r="Y244" s="84">
        <v>0</v>
      </c>
      <c r="Z244" s="84">
        <v>1</v>
      </c>
      <c r="AA244" s="84">
        <v>1</v>
      </c>
      <c r="AB244" s="84">
        <v>1</v>
      </c>
      <c r="AC244" s="84">
        <v>0</v>
      </c>
      <c r="AD244" s="84">
        <v>0</v>
      </c>
      <c r="AE244" s="84">
        <v>1</v>
      </c>
      <c r="AF244" s="84">
        <v>0</v>
      </c>
      <c r="AG244" s="84">
        <v>0</v>
      </c>
      <c r="AH244" s="84">
        <v>0</v>
      </c>
      <c r="AI244" s="84">
        <v>0</v>
      </c>
    </row>
    <row r="245" spans="1:35" ht="36" customHeight="1" x14ac:dyDescent="0.25">
      <c r="A245" s="155" t="s">
        <v>297</v>
      </c>
      <c r="B245" s="155">
        <v>1137</v>
      </c>
      <c r="C245" s="155" t="s">
        <v>203</v>
      </c>
      <c r="D245" s="159">
        <v>44879</v>
      </c>
      <c r="E245" s="160" t="s">
        <v>557</v>
      </c>
      <c r="F245" s="160" t="s">
        <v>675</v>
      </c>
      <c r="G245" s="161" t="s">
        <v>584</v>
      </c>
      <c r="H245" s="5">
        <v>69461</v>
      </c>
      <c r="I245" s="6">
        <v>0.45457163012337898</v>
      </c>
      <c r="J245" s="7">
        <v>89025</v>
      </c>
      <c r="K245" s="7">
        <v>1157668</v>
      </c>
      <c r="L245" s="6">
        <v>0.40493213366478198</v>
      </c>
      <c r="M245" s="6">
        <v>0.34051960481322302</v>
      </c>
      <c r="N245" s="6">
        <v>9.1494113072866298E-2</v>
      </c>
      <c r="O245" s="6">
        <v>2.5053087022839898E-2</v>
      </c>
      <c r="P245" s="8">
        <v>0.220129203345729</v>
      </c>
      <c r="Q245" s="84">
        <v>2</v>
      </c>
      <c r="R245" s="84">
        <v>2</v>
      </c>
      <c r="S245" s="84">
        <v>2</v>
      </c>
      <c r="T245" s="84">
        <v>0</v>
      </c>
      <c r="U245" s="84">
        <v>0</v>
      </c>
      <c r="V245" s="84">
        <v>0</v>
      </c>
      <c r="W245" s="84">
        <v>1</v>
      </c>
      <c r="X245" s="84">
        <v>0</v>
      </c>
      <c r="Y245" s="84">
        <v>2</v>
      </c>
      <c r="Z245" s="84">
        <v>2</v>
      </c>
      <c r="AA245" s="84">
        <v>3</v>
      </c>
      <c r="AB245" s="84">
        <v>3</v>
      </c>
      <c r="AC245" s="84">
        <v>2</v>
      </c>
      <c r="AD245" s="84">
        <v>3</v>
      </c>
      <c r="AE245" s="84">
        <v>1</v>
      </c>
      <c r="AF245" s="84">
        <v>1</v>
      </c>
      <c r="AG245" s="84">
        <v>3</v>
      </c>
      <c r="AH245" s="84">
        <v>1</v>
      </c>
      <c r="AI245" s="84">
        <v>2</v>
      </c>
    </row>
    <row r="246" spans="1:35" ht="36" customHeight="1" x14ac:dyDescent="0.25">
      <c r="A246" s="155" t="s">
        <v>296</v>
      </c>
      <c r="B246" s="155">
        <v>1013</v>
      </c>
      <c r="C246" s="155" t="s">
        <v>166</v>
      </c>
      <c r="D246" s="159">
        <v>44951</v>
      </c>
      <c r="E246" s="160" t="s">
        <v>551</v>
      </c>
      <c r="F246" s="160" t="s">
        <v>679</v>
      </c>
      <c r="G246" s="161" t="s">
        <v>584</v>
      </c>
      <c r="H246" s="5">
        <v>58383</v>
      </c>
      <c r="I246" s="6">
        <v>0.31056985766404599</v>
      </c>
      <c r="J246" s="7">
        <v>73466</v>
      </c>
      <c r="K246" s="7">
        <v>838517</v>
      </c>
      <c r="L246" s="6">
        <v>0.28902869899724198</v>
      </c>
      <c r="M246" s="6">
        <v>0.22030577223088901</v>
      </c>
      <c r="N246" s="6">
        <v>3.8152886115444602E-2</v>
      </c>
      <c r="O246" s="6">
        <v>6.91045241809672E-2</v>
      </c>
      <c r="P246" s="8">
        <v>0.19203120124805001</v>
      </c>
      <c r="Q246" s="84">
        <v>2</v>
      </c>
      <c r="R246" s="84">
        <v>2</v>
      </c>
      <c r="S246" s="84">
        <v>3</v>
      </c>
      <c r="T246" s="84">
        <v>1</v>
      </c>
      <c r="U246" s="84">
        <v>0</v>
      </c>
      <c r="V246" s="84">
        <v>2</v>
      </c>
      <c r="W246" s="84">
        <v>2</v>
      </c>
      <c r="X246" s="84">
        <v>3</v>
      </c>
      <c r="Y246" s="84">
        <v>3</v>
      </c>
      <c r="Z246" s="84">
        <v>2</v>
      </c>
      <c r="AA246" s="84">
        <v>1</v>
      </c>
      <c r="AB246" s="84">
        <v>1</v>
      </c>
      <c r="AC246" s="84">
        <v>2</v>
      </c>
      <c r="AD246" s="84">
        <v>3</v>
      </c>
      <c r="AE246" s="84">
        <v>1</v>
      </c>
      <c r="AF246" s="84">
        <v>1</v>
      </c>
      <c r="AG246" s="84">
        <v>1</v>
      </c>
      <c r="AH246" s="84">
        <v>2</v>
      </c>
      <c r="AI246" s="84">
        <v>2</v>
      </c>
    </row>
    <row r="247" spans="1:35" ht="36" customHeight="1" x14ac:dyDescent="0.25">
      <c r="A247" s="155" t="s">
        <v>303</v>
      </c>
      <c r="B247" s="155">
        <v>1707</v>
      </c>
      <c r="C247" s="155" t="s">
        <v>245</v>
      </c>
      <c r="D247" s="159">
        <v>44985</v>
      </c>
      <c r="E247" s="160" t="s">
        <v>568</v>
      </c>
      <c r="F247" s="160" t="s">
        <v>609</v>
      </c>
      <c r="G247" s="161" t="s">
        <v>584</v>
      </c>
      <c r="H247" s="5">
        <v>353454</v>
      </c>
      <c r="I247" s="6">
        <v>0.44019589536403603</v>
      </c>
      <c r="J247" s="7">
        <v>83926</v>
      </c>
      <c r="K247" s="7">
        <v>634488</v>
      </c>
      <c r="L247" s="6">
        <v>0.575029229743236</v>
      </c>
      <c r="M247" s="6">
        <v>0.197570082586949</v>
      </c>
      <c r="N247" s="6">
        <v>0.13800511806444099</v>
      </c>
      <c r="O247" s="6">
        <v>0.19333372106548799</v>
      </c>
      <c r="P247" s="8">
        <v>0.185406537164127</v>
      </c>
      <c r="Q247" s="84">
        <v>2</v>
      </c>
      <c r="R247" s="84">
        <v>1</v>
      </c>
      <c r="S247" s="84">
        <v>3</v>
      </c>
      <c r="T247" s="84">
        <v>2</v>
      </c>
      <c r="U247" s="84">
        <v>2</v>
      </c>
      <c r="V247" s="84">
        <v>2</v>
      </c>
      <c r="W247" s="84">
        <v>4</v>
      </c>
      <c r="X247" s="84">
        <v>3</v>
      </c>
      <c r="Y247" s="84">
        <v>3</v>
      </c>
      <c r="Z247" s="84">
        <v>4</v>
      </c>
      <c r="AA247" s="84">
        <v>4</v>
      </c>
      <c r="AB247" s="84">
        <v>3</v>
      </c>
      <c r="AC247" s="84">
        <v>4</v>
      </c>
      <c r="AD247" s="84">
        <v>3</v>
      </c>
      <c r="AE247" s="84">
        <v>4</v>
      </c>
      <c r="AF247" s="84">
        <v>4</v>
      </c>
      <c r="AG247" s="84">
        <v>3</v>
      </c>
      <c r="AH247" s="84">
        <v>4</v>
      </c>
      <c r="AI247" s="84">
        <v>3</v>
      </c>
    </row>
    <row r="248" spans="1:35" ht="36" customHeight="1" x14ac:dyDescent="0.25">
      <c r="A248" s="155" t="s">
        <v>297</v>
      </c>
      <c r="B248" s="155">
        <v>1138</v>
      </c>
      <c r="C248" s="155" t="s">
        <v>204</v>
      </c>
      <c r="D248" s="159">
        <v>44985</v>
      </c>
      <c r="E248" s="160" t="s">
        <v>553</v>
      </c>
      <c r="F248" s="160" t="s">
        <v>678</v>
      </c>
      <c r="G248" s="161" t="s">
        <v>585</v>
      </c>
      <c r="H248" s="5">
        <v>61031</v>
      </c>
      <c r="I248" s="6">
        <v>0.588586128360997</v>
      </c>
      <c r="J248" s="7">
        <v>113797</v>
      </c>
      <c r="K248" s="7">
        <v>1732380</v>
      </c>
      <c r="L248" s="6">
        <v>0.415445712523134</v>
      </c>
      <c r="M248" s="6">
        <v>0.282339818417639</v>
      </c>
      <c r="N248" s="6">
        <v>0.13245136186770401</v>
      </c>
      <c r="O248" s="6">
        <v>3.9408560311284001E-2</v>
      </c>
      <c r="P248" s="8">
        <v>0.237727626459144</v>
      </c>
      <c r="Q248" s="84">
        <v>2</v>
      </c>
      <c r="R248" s="84">
        <v>2</v>
      </c>
      <c r="S248" s="84">
        <v>3</v>
      </c>
      <c r="T248" s="84">
        <v>1</v>
      </c>
      <c r="U248" s="84">
        <v>2</v>
      </c>
      <c r="V248" s="84">
        <v>1</v>
      </c>
      <c r="W248" s="84">
        <v>2</v>
      </c>
      <c r="X248" s="84">
        <v>0</v>
      </c>
      <c r="Y248" s="84">
        <v>2</v>
      </c>
      <c r="Z248" s="84">
        <v>1</v>
      </c>
      <c r="AA248" s="84">
        <v>2</v>
      </c>
      <c r="AB248" s="84">
        <v>2</v>
      </c>
      <c r="AC248" s="84">
        <v>1</v>
      </c>
      <c r="AD248" s="84">
        <v>3</v>
      </c>
      <c r="AE248" s="84">
        <v>2</v>
      </c>
      <c r="AF248" s="84">
        <v>1</v>
      </c>
      <c r="AG248" s="84">
        <v>2</v>
      </c>
      <c r="AH248" s="84">
        <v>1</v>
      </c>
      <c r="AI248" s="84">
        <v>3</v>
      </c>
    </row>
    <row r="249" spans="1:35" ht="36" customHeight="1" x14ac:dyDescent="0.25">
      <c r="A249" s="155" t="s">
        <v>297</v>
      </c>
      <c r="B249" s="155">
        <v>1136</v>
      </c>
      <c r="C249" s="155" t="s">
        <v>202</v>
      </c>
      <c r="D249" s="159">
        <v>44992</v>
      </c>
      <c r="E249" s="160" t="s">
        <v>553</v>
      </c>
      <c r="F249" s="160" t="s">
        <v>608</v>
      </c>
      <c r="G249" s="161" t="s">
        <v>583</v>
      </c>
      <c r="H249" s="5">
        <v>219257</v>
      </c>
      <c r="I249" s="6">
        <v>0.37310097283096999</v>
      </c>
      <c r="J249" s="7">
        <v>73194</v>
      </c>
      <c r="K249" s="7">
        <v>763091</v>
      </c>
      <c r="L249" s="6">
        <v>0.44486690223792702</v>
      </c>
      <c r="M249" s="6">
        <v>0.358489212911622</v>
      </c>
      <c r="N249" s="6">
        <v>0.17388954385326599</v>
      </c>
      <c r="O249" s="6">
        <v>2.1355531378235499E-2</v>
      </c>
      <c r="P249" s="8">
        <v>0.245998789579186</v>
      </c>
      <c r="Q249" s="84">
        <v>2</v>
      </c>
      <c r="R249" s="84">
        <v>3</v>
      </c>
      <c r="S249" s="84">
        <v>3</v>
      </c>
      <c r="T249" s="84">
        <v>1</v>
      </c>
      <c r="U249" s="84">
        <v>2</v>
      </c>
      <c r="V249" s="84">
        <v>1</v>
      </c>
      <c r="W249" s="84">
        <v>2</v>
      </c>
      <c r="X249" s="84">
        <v>2</v>
      </c>
      <c r="Y249" s="84">
        <v>2</v>
      </c>
      <c r="Z249" s="84">
        <v>0</v>
      </c>
      <c r="AA249" s="84">
        <v>2</v>
      </c>
      <c r="AB249" s="84">
        <v>4</v>
      </c>
      <c r="AC249" s="84">
        <v>2</v>
      </c>
      <c r="AD249" s="84">
        <v>3</v>
      </c>
      <c r="AE249" s="84">
        <v>2</v>
      </c>
      <c r="AF249" s="84">
        <v>2</v>
      </c>
      <c r="AG249" s="84">
        <v>3</v>
      </c>
      <c r="AH249" s="84">
        <v>1</v>
      </c>
      <c r="AI249" s="84">
        <v>3</v>
      </c>
    </row>
    <row r="250" spans="1:35" ht="36" customHeight="1" x14ac:dyDescent="0.25">
      <c r="A250" s="155" t="s">
        <v>303</v>
      </c>
      <c r="B250" s="155">
        <v>1708</v>
      </c>
      <c r="C250" s="155" t="s">
        <v>246</v>
      </c>
      <c r="D250" s="159">
        <v>45125</v>
      </c>
      <c r="E250" s="160" t="s">
        <v>568</v>
      </c>
      <c r="F250" s="160" t="s">
        <v>606</v>
      </c>
      <c r="G250" s="161" t="s">
        <v>585</v>
      </c>
      <c r="H250" s="5">
        <v>105187</v>
      </c>
      <c r="I250" s="6">
        <v>0.52423778603819904</v>
      </c>
      <c r="J250" s="7">
        <v>104487</v>
      </c>
      <c r="K250" s="7">
        <v>1728724</v>
      </c>
      <c r="L250" s="6">
        <v>0.54219413621826196</v>
      </c>
      <c r="M250" s="6">
        <v>0.145732912390339</v>
      </c>
      <c r="N250" s="6">
        <v>6.9570789340110697E-2</v>
      </c>
      <c r="O250" s="6">
        <v>0.23606406301185401</v>
      </c>
      <c r="P250" s="8">
        <v>0.26187502024918202</v>
      </c>
      <c r="Q250" s="84">
        <v>2</v>
      </c>
      <c r="R250" s="84">
        <v>2</v>
      </c>
      <c r="S250" s="84">
        <v>3</v>
      </c>
      <c r="T250" s="84">
        <v>2</v>
      </c>
      <c r="U250" s="84">
        <v>2</v>
      </c>
      <c r="V250" s="84">
        <v>3</v>
      </c>
      <c r="W250" s="84">
        <v>4</v>
      </c>
      <c r="X250" s="84">
        <v>1</v>
      </c>
      <c r="Y250" s="84">
        <v>2</v>
      </c>
      <c r="Z250" s="84">
        <v>4</v>
      </c>
      <c r="AA250" s="84">
        <v>4</v>
      </c>
      <c r="AB250" s="84">
        <v>4</v>
      </c>
      <c r="AC250" s="84">
        <v>3</v>
      </c>
      <c r="AD250" s="84">
        <v>3</v>
      </c>
      <c r="AE250" s="84">
        <v>3</v>
      </c>
      <c r="AF250" s="84">
        <v>4</v>
      </c>
      <c r="AG250" s="84">
        <v>2</v>
      </c>
      <c r="AH250" s="84">
        <v>4</v>
      </c>
      <c r="AI250" s="84">
        <v>2</v>
      </c>
    </row>
    <row r="251" spans="1:35" ht="36" customHeight="1" x14ac:dyDescent="0.25">
      <c r="A251" s="155" t="s">
        <v>591</v>
      </c>
      <c r="B251" s="155">
        <v>2802</v>
      </c>
      <c r="C251" s="155" t="s">
        <v>725</v>
      </c>
      <c r="D251" s="159">
        <v>45133</v>
      </c>
      <c r="E251" s="160" t="s">
        <v>592</v>
      </c>
      <c r="F251" s="160" t="s">
        <v>605</v>
      </c>
      <c r="G251" s="161" t="s">
        <v>585</v>
      </c>
      <c r="H251" s="5">
        <v>100194</v>
      </c>
      <c r="I251" s="6">
        <v>0.47364113619578002</v>
      </c>
      <c r="J251" s="7">
        <v>94490</v>
      </c>
      <c r="K251" s="7">
        <v>1684201</v>
      </c>
      <c r="L251" s="6">
        <v>0.64341585684293801</v>
      </c>
      <c r="M251" s="6">
        <v>6.0204658942759497E-2</v>
      </c>
      <c r="N251" s="6">
        <v>7.88953664756189E-2</v>
      </c>
      <c r="O251" s="6">
        <v>5.4415828270156397E-2</v>
      </c>
      <c r="P251" s="8">
        <v>0.25902967390680498</v>
      </c>
      <c r="Q251" s="84">
        <v>4</v>
      </c>
      <c r="R251" s="84">
        <v>4</v>
      </c>
      <c r="S251" s="84">
        <v>4</v>
      </c>
      <c r="T251" s="84">
        <v>4</v>
      </c>
      <c r="U251" s="84">
        <v>4</v>
      </c>
      <c r="V251" s="84">
        <v>4</v>
      </c>
      <c r="W251" s="84">
        <v>4</v>
      </c>
      <c r="X251" s="84">
        <v>4</v>
      </c>
      <c r="Y251" s="84">
        <v>4</v>
      </c>
      <c r="Z251" s="84">
        <v>3</v>
      </c>
      <c r="AA251" s="84">
        <v>3</v>
      </c>
      <c r="AB251" s="84">
        <v>4</v>
      </c>
      <c r="AC251" s="84">
        <v>3</v>
      </c>
      <c r="AD251" s="84">
        <v>4</v>
      </c>
      <c r="AE251" s="84">
        <v>3</v>
      </c>
      <c r="AF251" s="84">
        <v>3</v>
      </c>
      <c r="AG251" s="84">
        <v>2</v>
      </c>
      <c r="AH251" s="84">
        <v>2</v>
      </c>
      <c r="AI251" s="84">
        <v>3</v>
      </c>
    </row>
    <row r="252" spans="1:35" ht="36" customHeight="1" x14ac:dyDescent="0.25">
      <c r="A252" s="155" t="s">
        <v>304</v>
      </c>
      <c r="B252" s="155">
        <v>1805</v>
      </c>
      <c r="C252" s="155" t="s">
        <v>726</v>
      </c>
      <c r="D252" s="159">
        <v>45160</v>
      </c>
      <c r="E252" s="160" t="s">
        <v>592</v>
      </c>
      <c r="F252" s="160" t="s">
        <v>673</v>
      </c>
      <c r="G252" s="161" t="s">
        <v>584</v>
      </c>
      <c r="H252" s="5">
        <v>33546</v>
      </c>
      <c r="I252" s="6">
        <v>0.40976569486675002</v>
      </c>
      <c r="J252" s="7">
        <v>82892</v>
      </c>
      <c r="K252" s="7">
        <v>747797</v>
      </c>
      <c r="L252" s="6">
        <v>0.40567165687149498</v>
      </c>
      <c r="M252" s="6">
        <v>6.5886187514550804E-2</v>
      </c>
      <c r="N252" s="6">
        <v>2.3225906586401501E-2</v>
      </c>
      <c r="O252" s="6">
        <v>6.3713262602410198E-2</v>
      </c>
      <c r="P252" s="8">
        <v>0.21780246338732401</v>
      </c>
      <c r="Q252" s="84">
        <v>2</v>
      </c>
      <c r="R252" s="84">
        <v>1</v>
      </c>
      <c r="S252" s="84">
        <v>2</v>
      </c>
      <c r="T252" s="84">
        <v>1</v>
      </c>
      <c r="U252" s="84">
        <v>0</v>
      </c>
      <c r="V252" s="84">
        <v>2</v>
      </c>
      <c r="W252" s="84">
        <v>2</v>
      </c>
      <c r="X252" s="84">
        <v>2</v>
      </c>
      <c r="Y252" s="84">
        <v>2</v>
      </c>
      <c r="Z252" s="84">
        <v>2</v>
      </c>
      <c r="AA252" s="84">
        <v>2</v>
      </c>
      <c r="AB252" s="84">
        <v>3</v>
      </c>
      <c r="AC252" s="84">
        <v>2</v>
      </c>
      <c r="AD252" s="84">
        <v>2</v>
      </c>
      <c r="AE252" s="84">
        <v>2</v>
      </c>
      <c r="AF252" s="84">
        <v>2</v>
      </c>
      <c r="AG252" s="84">
        <v>2</v>
      </c>
      <c r="AH252" s="84">
        <v>2</v>
      </c>
      <c r="AI252" s="84">
        <v>2</v>
      </c>
    </row>
    <row r="253" spans="1:35" ht="36" customHeight="1" x14ac:dyDescent="0.25">
      <c r="A253" s="155" t="s">
        <v>297</v>
      </c>
      <c r="B253" s="155">
        <v>1135</v>
      </c>
      <c r="C253" s="155" t="s">
        <v>201</v>
      </c>
      <c r="D253" s="159">
        <v>45161</v>
      </c>
      <c r="E253" s="160" t="s">
        <v>555</v>
      </c>
      <c r="F253" s="160" t="s">
        <v>610</v>
      </c>
      <c r="G253" s="161" t="s">
        <v>584</v>
      </c>
      <c r="H253" s="5">
        <v>366397</v>
      </c>
      <c r="I253" s="6">
        <v>0.57216352753980004</v>
      </c>
      <c r="J253" s="7">
        <v>121881</v>
      </c>
      <c r="K253" s="7">
        <v>1059464</v>
      </c>
      <c r="L253" s="6">
        <v>0.59990009402914901</v>
      </c>
      <c r="M253" s="6">
        <v>0.157624504571618</v>
      </c>
      <c r="N253" s="6">
        <v>0.35863718637419201</v>
      </c>
      <c r="O253" s="6">
        <v>5.1764336140518299E-2</v>
      </c>
      <c r="P253" s="8">
        <v>0.239893843011041</v>
      </c>
      <c r="Q253" s="84">
        <v>3</v>
      </c>
      <c r="R253" s="84">
        <v>3</v>
      </c>
      <c r="S253" s="84">
        <v>3</v>
      </c>
      <c r="T253" s="84">
        <v>2</v>
      </c>
      <c r="U253" s="84">
        <v>3</v>
      </c>
      <c r="V253" s="84">
        <v>2</v>
      </c>
      <c r="W253" s="84">
        <v>2</v>
      </c>
      <c r="X253" s="84">
        <v>2</v>
      </c>
      <c r="Y253" s="84">
        <v>3</v>
      </c>
      <c r="Z253" s="84">
        <v>1</v>
      </c>
      <c r="AA253" s="84">
        <v>3</v>
      </c>
      <c r="AB253" s="84">
        <v>4</v>
      </c>
      <c r="AC253" s="84">
        <v>3</v>
      </c>
      <c r="AD253" s="84">
        <v>3</v>
      </c>
      <c r="AE253" s="84">
        <v>3</v>
      </c>
      <c r="AF253" s="84">
        <v>3</v>
      </c>
      <c r="AG253" s="84">
        <v>3</v>
      </c>
      <c r="AH253" s="84">
        <v>2</v>
      </c>
      <c r="AI253" s="84">
        <v>4</v>
      </c>
    </row>
    <row r="254" spans="1:35" ht="36" customHeight="1" x14ac:dyDescent="0.25">
      <c r="A254" s="155" t="s">
        <v>313</v>
      </c>
      <c r="B254" s="155">
        <v>2705</v>
      </c>
      <c r="C254" s="155" t="s">
        <v>724</v>
      </c>
      <c r="D254" s="159">
        <v>45174</v>
      </c>
      <c r="E254" s="160" t="s">
        <v>580</v>
      </c>
      <c r="F254" s="160" t="s">
        <v>618</v>
      </c>
      <c r="G254" s="161" t="s">
        <v>585</v>
      </c>
      <c r="H254" s="142">
        <v>58751</v>
      </c>
      <c r="I254" s="143">
        <v>0.27645486885329601</v>
      </c>
      <c r="J254" s="144">
        <v>62925</v>
      </c>
      <c r="K254" s="144">
        <v>608708</v>
      </c>
      <c r="L254" s="143">
        <v>0.31293105992778403</v>
      </c>
      <c r="M254" s="143">
        <v>0.110681665350038</v>
      </c>
      <c r="N254" s="143">
        <v>4.5002578850811797E-2</v>
      </c>
      <c r="O254" s="143">
        <v>0.185611971090756</v>
      </c>
      <c r="P254" s="146">
        <v>0.22232305492625801</v>
      </c>
      <c r="Q254" s="84">
        <v>3</v>
      </c>
      <c r="R254" s="84">
        <v>1</v>
      </c>
      <c r="S254" s="84">
        <v>1</v>
      </c>
      <c r="T254" s="84">
        <v>0</v>
      </c>
      <c r="U254" s="84">
        <v>1</v>
      </c>
      <c r="V254" s="84">
        <v>1</v>
      </c>
      <c r="W254" s="84">
        <v>2</v>
      </c>
      <c r="X254" s="84">
        <v>3</v>
      </c>
      <c r="Y254" s="84">
        <v>2</v>
      </c>
      <c r="Z254" s="84">
        <v>4</v>
      </c>
      <c r="AA254" s="84">
        <v>3</v>
      </c>
      <c r="AB254" s="84">
        <v>3</v>
      </c>
      <c r="AC254" s="84">
        <v>4</v>
      </c>
      <c r="AD254" s="84">
        <v>3</v>
      </c>
      <c r="AE254" s="84">
        <v>3</v>
      </c>
      <c r="AF254" s="84">
        <v>4</v>
      </c>
      <c r="AG254" s="84">
        <v>3</v>
      </c>
      <c r="AH254" s="84">
        <v>3</v>
      </c>
      <c r="AI254" s="84">
        <v>2</v>
      </c>
    </row>
    <row r="255" spans="1:35" ht="36" customHeight="1" x14ac:dyDescent="0.25">
      <c r="A255" s="155" t="s">
        <v>302</v>
      </c>
      <c r="B255" s="155">
        <v>1610</v>
      </c>
      <c r="C255" s="155" t="s">
        <v>631</v>
      </c>
      <c r="D255" s="159">
        <v>45180</v>
      </c>
      <c r="E255" s="160" t="s">
        <v>567</v>
      </c>
      <c r="F255" s="160" t="s">
        <v>632</v>
      </c>
      <c r="G255" s="161" t="s">
        <v>583</v>
      </c>
      <c r="H255" s="43">
        <v>122476</v>
      </c>
      <c r="I255" s="76">
        <v>0.49657892158463701</v>
      </c>
      <c r="J255" s="43">
        <v>99210</v>
      </c>
      <c r="K255" s="43">
        <v>1641588</v>
      </c>
      <c r="L255" s="76">
        <v>0.66300709190993201</v>
      </c>
      <c r="M255" s="76">
        <v>5.0426532427014698E-2</v>
      </c>
      <c r="N255" s="76">
        <v>4.7246378995915501E-2</v>
      </c>
      <c r="O255" s="76">
        <v>7.2985274834586805E-2</v>
      </c>
      <c r="P255" s="77">
        <v>0.25090807698684198</v>
      </c>
      <c r="Q255" s="84">
        <v>0</v>
      </c>
      <c r="R255" s="84">
        <v>0</v>
      </c>
      <c r="S255" s="84">
        <v>0</v>
      </c>
      <c r="T255" s="84">
        <v>0</v>
      </c>
      <c r="U255" s="84">
        <v>0</v>
      </c>
      <c r="V255" s="84">
        <v>0</v>
      </c>
      <c r="W255" s="84">
        <v>0</v>
      </c>
      <c r="X255" s="84">
        <v>0</v>
      </c>
      <c r="Y255" s="84">
        <v>0</v>
      </c>
      <c r="Z255" s="84">
        <v>0</v>
      </c>
      <c r="AA255" s="84">
        <v>0</v>
      </c>
      <c r="AB255" s="84">
        <v>0</v>
      </c>
      <c r="AC255" s="84">
        <v>0</v>
      </c>
      <c r="AD255" s="84">
        <v>0</v>
      </c>
      <c r="AE255" s="84">
        <v>0</v>
      </c>
      <c r="AF255" s="84">
        <v>0</v>
      </c>
      <c r="AG255" s="84">
        <v>0</v>
      </c>
      <c r="AH255" s="84">
        <v>0</v>
      </c>
      <c r="AI255" s="84">
        <v>0</v>
      </c>
    </row>
    <row r="256" spans="1:35" ht="36" customHeight="1" x14ac:dyDescent="0.25">
      <c r="A256" s="155" t="s">
        <v>297</v>
      </c>
      <c r="B256" s="155">
        <v>1139</v>
      </c>
      <c r="C256" s="155" t="s">
        <v>722</v>
      </c>
      <c r="D256" s="159">
        <v>45180</v>
      </c>
      <c r="E256" s="160" t="s">
        <v>553</v>
      </c>
      <c r="F256" s="160" t="s">
        <v>674</v>
      </c>
      <c r="G256" s="161" t="s">
        <v>585</v>
      </c>
      <c r="H256" s="5">
        <v>299012</v>
      </c>
      <c r="I256" s="6">
        <v>0.414545235642717</v>
      </c>
      <c r="J256" s="7">
        <v>80990</v>
      </c>
      <c r="K256" s="7">
        <v>840862</v>
      </c>
      <c r="L256" s="6">
        <v>0.49105481554465003</v>
      </c>
      <c r="M256" s="6">
        <v>0.33539124309535001</v>
      </c>
      <c r="N256" s="6">
        <v>9.9261056278845905E-2</v>
      </c>
      <c r="O256" s="6">
        <v>0.218133901932894</v>
      </c>
      <c r="P256" s="8">
        <v>0.233827956930759</v>
      </c>
      <c r="Q256" s="84">
        <v>4</v>
      </c>
      <c r="R256" s="84">
        <v>4</v>
      </c>
      <c r="S256" s="84">
        <v>4</v>
      </c>
      <c r="T256" s="84">
        <v>2</v>
      </c>
      <c r="U256" s="84">
        <v>3</v>
      </c>
      <c r="V256" s="84">
        <v>1</v>
      </c>
      <c r="W256" s="84">
        <v>2</v>
      </c>
      <c r="X256" s="84">
        <v>3</v>
      </c>
      <c r="Y256" s="84">
        <v>2</v>
      </c>
      <c r="Z256" s="84">
        <v>1</v>
      </c>
      <c r="AA256" s="84">
        <v>2</v>
      </c>
      <c r="AB256" s="84">
        <v>3</v>
      </c>
      <c r="AC256" s="84">
        <v>2</v>
      </c>
      <c r="AD256" s="84">
        <v>3</v>
      </c>
      <c r="AE256" s="84">
        <v>2</v>
      </c>
      <c r="AF256" s="84">
        <v>1</v>
      </c>
      <c r="AG256" s="84">
        <v>3</v>
      </c>
      <c r="AH256" s="84">
        <v>1</v>
      </c>
      <c r="AI256" s="84">
        <v>3</v>
      </c>
    </row>
    <row r="257" spans="1:35" ht="36" customHeight="1" x14ac:dyDescent="0.25">
      <c r="A257" s="155" t="s">
        <v>295</v>
      </c>
      <c r="B257" s="155">
        <v>940</v>
      </c>
      <c r="C257" s="155" t="s">
        <v>757</v>
      </c>
      <c r="D257" s="159">
        <v>45194</v>
      </c>
      <c r="E257" s="160" t="s">
        <v>545</v>
      </c>
      <c r="F257" s="160" t="s">
        <v>612</v>
      </c>
      <c r="G257" s="161" t="s">
        <v>583</v>
      </c>
      <c r="H257" s="142">
        <v>120259</v>
      </c>
      <c r="I257" s="143">
        <v>0.29357470126975899</v>
      </c>
      <c r="J257" s="144">
        <v>58554</v>
      </c>
      <c r="K257" s="144">
        <v>855976</v>
      </c>
      <c r="L257" s="143">
        <v>0.36816988667983203</v>
      </c>
      <c r="M257" s="143">
        <v>0.19748512658821801</v>
      </c>
      <c r="N257" s="143">
        <v>1.9315729219450899E-2</v>
      </c>
      <c r="O257" s="143">
        <v>0.35376386464726101</v>
      </c>
      <c r="P257" s="146">
        <v>0.29032524444944902</v>
      </c>
      <c r="Q257" s="84">
        <v>0</v>
      </c>
      <c r="R257" s="84">
        <v>2</v>
      </c>
      <c r="S257" s="84">
        <v>3</v>
      </c>
      <c r="T257" s="84">
        <v>3</v>
      </c>
      <c r="U257" s="84">
        <v>3</v>
      </c>
      <c r="V257" s="84">
        <v>2</v>
      </c>
      <c r="W257" s="84">
        <v>1</v>
      </c>
      <c r="X257" s="84">
        <v>2</v>
      </c>
      <c r="Y257" s="84">
        <v>3</v>
      </c>
      <c r="Z257" s="84">
        <v>1</v>
      </c>
      <c r="AA257" s="84">
        <v>1</v>
      </c>
      <c r="AB257" s="84">
        <v>3</v>
      </c>
      <c r="AC257" s="84">
        <v>1</v>
      </c>
      <c r="AD257" s="84">
        <v>3</v>
      </c>
      <c r="AE257" s="84">
        <v>3</v>
      </c>
      <c r="AF257" s="84">
        <v>2</v>
      </c>
      <c r="AG257" s="84">
        <v>3</v>
      </c>
      <c r="AH257" s="84">
        <v>2</v>
      </c>
      <c r="AI257" s="84">
        <v>4</v>
      </c>
    </row>
    <row r="258" spans="1:35" ht="36" customHeight="1" x14ac:dyDescent="0.25">
      <c r="A258" s="155" t="s">
        <v>304</v>
      </c>
      <c r="B258" s="155">
        <v>1806</v>
      </c>
      <c r="C258" s="155" t="s">
        <v>705</v>
      </c>
      <c r="D258" s="159">
        <v>45204</v>
      </c>
      <c r="E258" s="160" t="s">
        <v>592</v>
      </c>
      <c r="F258" s="160" t="s">
        <v>707</v>
      </c>
      <c r="G258" s="161" t="s">
        <v>585</v>
      </c>
      <c r="H258" s="71">
        <v>60259</v>
      </c>
      <c r="I258" s="72">
        <v>0.482550324432865</v>
      </c>
      <c r="J258" s="73">
        <v>96145</v>
      </c>
      <c r="K258" s="73">
        <v>1799787</v>
      </c>
      <c r="L258" s="72">
        <v>0.59900546021840895</v>
      </c>
      <c r="M258" s="72">
        <v>6.4982072733481305E-2</v>
      </c>
      <c r="N258" s="72">
        <v>8.7348471913949094E-2</v>
      </c>
      <c r="O258" s="81">
        <v>0.119508280689773</v>
      </c>
      <c r="P258" s="74">
        <v>0.25705309885606997</v>
      </c>
      <c r="Q258" s="84">
        <v>2</v>
      </c>
      <c r="R258" s="84">
        <v>2</v>
      </c>
      <c r="S258" s="84">
        <v>2</v>
      </c>
      <c r="T258" s="84">
        <v>2</v>
      </c>
      <c r="U258" s="84">
        <v>2</v>
      </c>
      <c r="V258" s="84">
        <v>2</v>
      </c>
      <c r="W258" s="84">
        <v>2</v>
      </c>
      <c r="X258" s="84">
        <v>2</v>
      </c>
      <c r="Y258" s="84">
        <v>2</v>
      </c>
      <c r="Z258" s="84">
        <v>2</v>
      </c>
      <c r="AA258" s="84">
        <v>2</v>
      </c>
      <c r="AB258" s="84">
        <v>2</v>
      </c>
      <c r="AC258" s="84">
        <v>2</v>
      </c>
      <c r="AD258" s="84">
        <v>2</v>
      </c>
      <c r="AE258" s="84">
        <v>2</v>
      </c>
      <c r="AF258" s="84">
        <v>2</v>
      </c>
      <c r="AG258" s="84">
        <v>2</v>
      </c>
      <c r="AH258" s="84">
        <v>2</v>
      </c>
      <c r="AI258" s="84">
        <v>2</v>
      </c>
    </row>
    <row r="259" spans="1:35" ht="36" customHeight="1" x14ac:dyDescent="0.25">
      <c r="A259" s="155" t="s">
        <v>297</v>
      </c>
      <c r="B259" s="155">
        <v>1134</v>
      </c>
      <c r="C259" s="155" t="s">
        <v>200</v>
      </c>
      <c r="D259" s="159">
        <v>45215</v>
      </c>
      <c r="E259" s="160" t="s">
        <v>555</v>
      </c>
      <c r="F259" s="160" t="s">
        <v>677</v>
      </c>
      <c r="G259" s="161" t="s">
        <v>584</v>
      </c>
      <c r="H259" s="5">
        <v>71588</v>
      </c>
      <c r="I259" s="6">
        <v>0.34609152371905899</v>
      </c>
      <c r="J259" s="7">
        <v>76455</v>
      </c>
      <c r="K259" s="7">
        <v>829497</v>
      </c>
      <c r="L259" s="6">
        <v>0.31357797757139599</v>
      </c>
      <c r="M259" s="6">
        <v>0.34708410067526102</v>
      </c>
      <c r="N259" s="6">
        <v>5.6348475547370602E-2</v>
      </c>
      <c r="O259" s="41">
        <v>2.79056680990383E-2</v>
      </c>
      <c r="P259" s="8">
        <v>0.231062001227747</v>
      </c>
      <c r="Q259" s="84">
        <v>4</v>
      </c>
      <c r="R259" s="84">
        <v>3</v>
      </c>
      <c r="S259" s="84">
        <v>3</v>
      </c>
      <c r="T259" s="84">
        <v>1</v>
      </c>
      <c r="U259" s="84">
        <v>2</v>
      </c>
      <c r="V259" s="84">
        <v>1</v>
      </c>
      <c r="W259" s="84">
        <v>2</v>
      </c>
      <c r="X259" s="84">
        <v>2</v>
      </c>
      <c r="Y259" s="84">
        <v>2</v>
      </c>
      <c r="Z259" s="84">
        <v>2</v>
      </c>
      <c r="AA259" s="84">
        <v>2</v>
      </c>
      <c r="AB259" s="84">
        <v>4</v>
      </c>
      <c r="AC259" s="84">
        <v>2</v>
      </c>
      <c r="AD259" s="84">
        <v>4</v>
      </c>
      <c r="AE259" s="84">
        <v>3</v>
      </c>
      <c r="AF259" s="84">
        <v>2</v>
      </c>
      <c r="AG259" s="84">
        <v>4</v>
      </c>
      <c r="AH259" s="84">
        <v>1</v>
      </c>
      <c r="AI259" s="84">
        <v>3</v>
      </c>
    </row>
    <row r="260" spans="1:35" ht="36" customHeight="1" x14ac:dyDescent="0.25">
      <c r="A260" s="155" t="s">
        <v>297</v>
      </c>
      <c r="B260" s="155">
        <v>1142</v>
      </c>
      <c r="C260" s="155" t="s">
        <v>723</v>
      </c>
      <c r="D260" s="159">
        <v>45225</v>
      </c>
      <c r="E260" s="160" t="s">
        <v>552</v>
      </c>
      <c r="F260" s="160" t="s">
        <v>601</v>
      </c>
      <c r="G260" s="161" t="s">
        <v>585</v>
      </c>
      <c r="H260" s="138">
        <v>37229</v>
      </c>
      <c r="I260" s="135">
        <v>0.45542453463697702</v>
      </c>
      <c r="J260" s="139">
        <v>91270</v>
      </c>
      <c r="K260" s="139">
        <v>1253134</v>
      </c>
      <c r="L260" s="135">
        <v>0.25816762731228898</v>
      </c>
      <c r="M260" s="135">
        <v>0.26972201352366598</v>
      </c>
      <c r="N260" s="135">
        <v>7.7477048249069994E-2</v>
      </c>
      <c r="O260" s="140">
        <v>9.5490278719466401E-2</v>
      </c>
      <c r="P260" s="136">
        <v>0.25008704256839698</v>
      </c>
      <c r="Q260" s="84">
        <v>2</v>
      </c>
      <c r="R260" s="84">
        <v>3</v>
      </c>
      <c r="S260" s="84">
        <v>3</v>
      </c>
      <c r="T260" s="84">
        <v>1</v>
      </c>
      <c r="U260" s="84">
        <v>1</v>
      </c>
      <c r="V260" s="84">
        <v>2</v>
      </c>
      <c r="W260" s="84">
        <v>2</v>
      </c>
      <c r="X260" s="84">
        <v>2</v>
      </c>
      <c r="Y260" s="84">
        <v>2</v>
      </c>
      <c r="Z260" s="84">
        <v>0</v>
      </c>
      <c r="AA260" s="84">
        <v>1</v>
      </c>
      <c r="AB260" s="84">
        <v>2</v>
      </c>
      <c r="AC260" s="84">
        <v>3</v>
      </c>
      <c r="AD260" s="84">
        <v>3</v>
      </c>
      <c r="AE260" s="84">
        <v>2</v>
      </c>
      <c r="AF260" s="84">
        <v>2</v>
      </c>
      <c r="AG260" s="84">
        <v>3</v>
      </c>
      <c r="AH260" s="84">
        <v>1</v>
      </c>
      <c r="AI260" s="84">
        <v>2</v>
      </c>
    </row>
    <row r="261" spans="1:35" ht="36" customHeight="1" x14ac:dyDescent="0.25">
      <c r="A261" s="155" t="s">
        <v>295</v>
      </c>
      <c r="B261" s="155">
        <v>936</v>
      </c>
      <c r="C261" s="155" t="s">
        <v>151</v>
      </c>
      <c r="D261" s="159">
        <v>45243</v>
      </c>
      <c r="E261" s="160" t="s">
        <v>545</v>
      </c>
      <c r="F261" s="160" t="s">
        <v>607</v>
      </c>
      <c r="G261" s="161" t="s">
        <v>584</v>
      </c>
      <c r="H261" s="5">
        <v>191164</v>
      </c>
      <c r="I261" s="6">
        <v>0.26104810529179101</v>
      </c>
      <c r="J261" s="7">
        <v>51604</v>
      </c>
      <c r="K261" s="7">
        <v>582251</v>
      </c>
      <c r="L261" s="6">
        <v>0.37247734819066902</v>
      </c>
      <c r="M261" s="6">
        <v>0.79470393297067499</v>
      </c>
      <c r="N261" s="6">
        <v>1.4364617853644301E-2</v>
      </c>
      <c r="O261" s="41">
        <v>7.7836136643114701E-2</v>
      </c>
      <c r="P261" s="8">
        <v>0.24252693886908899</v>
      </c>
      <c r="Q261" s="84">
        <v>2</v>
      </c>
      <c r="R261" s="84">
        <v>3</v>
      </c>
      <c r="S261" s="84">
        <v>4</v>
      </c>
      <c r="T261" s="84">
        <v>3</v>
      </c>
      <c r="U261" s="84">
        <v>3</v>
      </c>
      <c r="V261" s="84">
        <v>1</v>
      </c>
      <c r="W261" s="84">
        <v>2</v>
      </c>
      <c r="X261" s="84">
        <v>2</v>
      </c>
      <c r="Y261" s="84">
        <v>3</v>
      </c>
      <c r="Z261" s="84">
        <v>1</v>
      </c>
      <c r="AA261" s="84">
        <v>2</v>
      </c>
      <c r="AB261" s="84">
        <v>4</v>
      </c>
      <c r="AC261" s="84">
        <v>0</v>
      </c>
      <c r="AD261" s="84">
        <v>3</v>
      </c>
      <c r="AE261" s="84">
        <v>3</v>
      </c>
      <c r="AF261" s="84">
        <v>2</v>
      </c>
      <c r="AG261" s="84">
        <v>3</v>
      </c>
      <c r="AH261" s="84">
        <v>2</v>
      </c>
      <c r="AI261" s="84">
        <v>4</v>
      </c>
    </row>
    <row r="262" spans="1:35" ht="36" customHeight="1" x14ac:dyDescent="0.25">
      <c r="A262" s="155" t="s">
        <v>591</v>
      </c>
      <c r="B262" s="155">
        <v>2801</v>
      </c>
      <c r="C262" s="155" t="s">
        <v>727</v>
      </c>
      <c r="D262" s="159">
        <v>45244</v>
      </c>
      <c r="E262" s="160" t="s">
        <v>603</v>
      </c>
      <c r="F262" s="160" t="s">
        <v>602</v>
      </c>
      <c r="G262" s="161" t="s">
        <v>585</v>
      </c>
      <c r="H262" s="138">
        <v>41452</v>
      </c>
      <c r="I262" s="135">
        <v>0.355905625784039</v>
      </c>
      <c r="J262" s="139">
        <v>71941</v>
      </c>
      <c r="K262" s="139">
        <v>1143166</v>
      </c>
      <c r="L262" s="135">
        <v>0.49560007489234198</v>
      </c>
      <c r="M262" s="135">
        <v>7.8006531854834804E-2</v>
      </c>
      <c r="N262" s="135">
        <v>8.7274443877108601E-2</v>
      </c>
      <c r="O262" s="140">
        <v>0.14416323856684601</v>
      </c>
      <c r="P262" s="136">
        <v>0.228605285214694</v>
      </c>
      <c r="Q262" s="84">
        <v>3</v>
      </c>
      <c r="R262" s="84">
        <v>2</v>
      </c>
      <c r="S262" s="84">
        <v>2</v>
      </c>
      <c r="T262" s="84">
        <v>1</v>
      </c>
      <c r="U262" s="84">
        <v>0</v>
      </c>
      <c r="V262" s="84">
        <v>2</v>
      </c>
      <c r="W262" s="84">
        <v>3</v>
      </c>
      <c r="X262" s="84">
        <v>3</v>
      </c>
      <c r="Y262" s="84">
        <v>2</v>
      </c>
      <c r="Z262" s="84">
        <v>3</v>
      </c>
      <c r="AA262" s="84">
        <v>3</v>
      </c>
      <c r="AB262" s="84">
        <v>2</v>
      </c>
      <c r="AC262" s="84">
        <v>3</v>
      </c>
      <c r="AD262" s="84">
        <v>3</v>
      </c>
      <c r="AE262" s="84">
        <v>3</v>
      </c>
      <c r="AF262" s="84">
        <v>3</v>
      </c>
      <c r="AG262" s="84">
        <v>2</v>
      </c>
      <c r="AH262" s="84">
        <v>3</v>
      </c>
      <c r="AI262" s="84">
        <v>3</v>
      </c>
    </row>
    <row r="263" spans="1:35" ht="36" customHeight="1" x14ac:dyDescent="0.25">
      <c r="A263" s="155" t="s">
        <v>295</v>
      </c>
      <c r="B263" s="155">
        <v>939</v>
      </c>
      <c r="C263" s="155" t="s">
        <v>758</v>
      </c>
      <c r="D263" s="159">
        <v>45264</v>
      </c>
      <c r="E263" s="160" t="s">
        <v>545</v>
      </c>
      <c r="F263" s="160" t="s">
        <v>616</v>
      </c>
      <c r="G263" s="161" t="s">
        <v>584</v>
      </c>
      <c r="H263" s="138">
        <v>49433</v>
      </c>
      <c r="I263" s="135">
        <v>0.26344749458863498</v>
      </c>
      <c r="J263" s="139">
        <v>62986</v>
      </c>
      <c r="K263" s="139">
        <v>748645</v>
      </c>
      <c r="L263" s="135">
        <v>0.257546497578305</v>
      </c>
      <c r="M263" s="135">
        <v>0.22849362636710299</v>
      </c>
      <c r="N263" s="135">
        <v>2.5494531586211001E-2</v>
      </c>
      <c r="O263" s="140">
        <v>0.18483535400003001</v>
      </c>
      <c r="P263" s="136">
        <v>0.258989122531052</v>
      </c>
      <c r="Q263" s="84">
        <v>1</v>
      </c>
      <c r="R263" s="84">
        <v>2</v>
      </c>
      <c r="S263" s="84">
        <v>2</v>
      </c>
      <c r="T263" s="84">
        <v>2</v>
      </c>
      <c r="U263" s="84">
        <v>2</v>
      </c>
      <c r="V263" s="84">
        <v>3</v>
      </c>
      <c r="W263" s="84">
        <v>2</v>
      </c>
      <c r="X263" s="84">
        <v>2</v>
      </c>
      <c r="Y263" s="84">
        <v>1</v>
      </c>
      <c r="Z263" s="84">
        <v>3</v>
      </c>
      <c r="AA263" s="84">
        <v>3</v>
      </c>
      <c r="AB263" s="84">
        <v>2</v>
      </c>
      <c r="AC263" s="84">
        <v>3</v>
      </c>
      <c r="AD263" s="84">
        <v>3</v>
      </c>
      <c r="AE263" s="84">
        <v>3</v>
      </c>
      <c r="AF263" s="84">
        <v>3</v>
      </c>
      <c r="AG263" s="84">
        <v>2</v>
      </c>
      <c r="AH263" s="84">
        <v>3</v>
      </c>
      <c r="AI263" s="84">
        <v>3</v>
      </c>
    </row>
    <row r="264" spans="1:35" ht="36" customHeight="1" x14ac:dyDescent="0.25">
      <c r="A264" s="155" t="s">
        <v>297</v>
      </c>
      <c r="B264" s="155">
        <v>1140</v>
      </c>
      <c r="C264" s="155" t="s">
        <v>721</v>
      </c>
      <c r="D264" s="159">
        <v>45313</v>
      </c>
      <c r="E264" s="160" t="s">
        <v>555</v>
      </c>
      <c r="F264" s="160" t="s">
        <v>756</v>
      </c>
      <c r="G264" s="161" t="s">
        <v>584</v>
      </c>
      <c r="H264" s="5">
        <v>56959</v>
      </c>
      <c r="I264" s="6">
        <v>0.557260485612458</v>
      </c>
      <c r="J264" s="7">
        <v>115247</v>
      </c>
      <c r="K264" s="7">
        <v>2456245</v>
      </c>
      <c r="L264" s="6">
        <v>0.64409998062391005</v>
      </c>
      <c r="M264" s="6">
        <v>0.168471272686392</v>
      </c>
      <c r="N264" s="6">
        <v>6.3813492035609598E-2</v>
      </c>
      <c r="O264" s="41">
        <v>3.18013504683076E-2</v>
      </c>
      <c r="P264" s="8">
        <v>0.293913055698035</v>
      </c>
      <c r="Q264" s="84">
        <v>3</v>
      </c>
      <c r="R264" s="84">
        <v>2</v>
      </c>
      <c r="S264" s="84">
        <v>3</v>
      </c>
      <c r="T264" s="84">
        <v>2</v>
      </c>
      <c r="U264" s="84">
        <v>3</v>
      </c>
      <c r="V264" s="84">
        <v>1</v>
      </c>
      <c r="W264" s="84">
        <v>2</v>
      </c>
      <c r="X264" s="84">
        <v>3</v>
      </c>
      <c r="Y264" s="84">
        <v>3</v>
      </c>
      <c r="Z264" s="84">
        <v>1</v>
      </c>
      <c r="AA264" s="84">
        <v>2</v>
      </c>
      <c r="AB264" s="84">
        <v>3</v>
      </c>
      <c r="AC264" s="84">
        <v>2</v>
      </c>
      <c r="AD264" s="84">
        <v>4</v>
      </c>
      <c r="AE264" s="84">
        <v>4</v>
      </c>
      <c r="AF264" s="84">
        <v>2</v>
      </c>
      <c r="AG264" s="84">
        <v>4</v>
      </c>
      <c r="AH264" s="84">
        <v>2</v>
      </c>
      <c r="AI264" s="84">
        <v>3</v>
      </c>
    </row>
    <row r="265" spans="1:35" ht="36" customHeight="1" x14ac:dyDescent="0.25">
      <c r="A265" s="155" t="s">
        <v>312</v>
      </c>
      <c r="B265" s="155">
        <v>2605</v>
      </c>
      <c r="C265" s="155" t="s">
        <v>717</v>
      </c>
      <c r="D265" s="159">
        <v>45362</v>
      </c>
      <c r="E265" s="160" t="s">
        <v>579</v>
      </c>
      <c r="F265" s="160" t="s">
        <v>623</v>
      </c>
      <c r="G265" s="161" t="s">
        <v>585</v>
      </c>
      <c r="H265" s="142">
        <v>70177</v>
      </c>
      <c r="I265" s="143">
        <v>0.49551847471393801</v>
      </c>
      <c r="J265" s="144">
        <v>98966</v>
      </c>
      <c r="K265" s="144">
        <v>1808879</v>
      </c>
      <c r="L265" s="143">
        <v>0.55371082837119501</v>
      </c>
      <c r="M265" s="143">
        <v>4.3398920977467503E-2</v>
      </c>
      <c r="N265" s="143">
        <v>0.12997007752640899</v>
      </c>
      <c r="O265" s="145">
        <v>4.5597769415604998E-2</v>
      </c>
      <c r="P265" s="146">
        <v>0.26966495896994203</v>
      </c>
      <c r="Q265" s="84">
        <v>3</v>
      </c>
      <c r="R265" s="84">
        <v>2</v>
      </c>
      <c r="S265" s="84">
        <v>2</v>
      </c>
      <c r="T265" s="84">
        <v>0</v>
      </c>
      <c r="U265" s="84">
        <v>1</v>
      </c>
      <c r="V265" s="84">
        <v>2</v>
      </c>
      <c r="W265" s="84">
        <v>3</v>
      </c>
      <c r="X265" s="84">
        <v>2</v>
      </c>
      <c r="Y265" s="84">
        <v>2</v>
      </c>
      <c r="Z265" s="84">
        <v>4</v>
      </c>
      <c r="AA265" s="84">
        <v>3</v>
      </c>
      <c r="AB265" s="84">
        <v>3</v>
      </c>
      <c r="AC265" s="84">
        <v>3</v>
      </c>
      <c r="AD265" s="84">
        <v>2</v>
      </c>
      <c r="AE265" s="84">
        <v>2</v>
      </c>
      <c r="AF265" s="84">
        <v>2</v>
      </c>
      <c r="AG265" s="84">
        <v>1</v>
      </c>
      <c r="AH265" s="84">
        <v>3</v>
      </c>
      <c r="AI265" s="84">
        <v>1</v>
      </c>
    </row>
    <row r="266" spans="1:35" ht="36" customHeight="1" x14ac:dyDescent="0.25">
      <c r="A266" s="155" t="s">
        <v>304</v>
      </c>
      <c r="B266" s="155">
        <v>1807</v>
      </c>
      <c r="C266" s="155" t="s">
        <v>720</v>
      </c>
      <c r="D266" s="159">
        <v>45376</v>
      </c>
      <c r="E266" s="160" t="s">
        <v>592</v>
      </c>
      <c r="F266" s="160" t="s">
        <v>630</v>
      </c>
      <c r="G266" s="161" t="s">
        <v>585</v>
      </c>
      <c r="H266" s="43">
        <v>41517</v>
      </c>
      <c r="I266" s="44">
        <v>0.41676903437146201</v>
      </c>
      <c r="J266" s="45">
        <v>84423</v>
      </c>
      <c r="K266" s="45">
        <v>1081938</v>
      </c>
      <c r="L266" s="44">
        <v>0.43893355321926802</v>
      </c>
      <c r="M266" s="44">
        <v>6.0159156189669001E-2</v>
      </c>
      <c r="N266" s="44">
        <v>2.2244196449592701E-2</v>
      </c>
      <c r="O266" s="94">
        <v>0.17623958186184499</v>
      </c>
      <c r="P266" s="46">
        <v>0.24669209398691</v>
      </c>
      <c r="Q266" s="84">
        <v>2</v>
      </c>
      <c r="R266" s="84">
        <v>2</v>
      </c>
      <c r="S266" s="84">
        <v>3</v>
      </c>
      <c r="T266" s="84">
        <v>2</v>
      </c>
      <c r="U266" s="84">
        <v>1</v>
      </c>
      <c r="V266" s="84">
        <v>2</v>
      </c>
      <c r="W266" s="84">
        <v>2</v>
      </c>
      <c r="X266" s="84">
        <v>2</v>
      </c>
      <c r="Y266" s="84">
        <v>1</v>
      </c>
      <c r="Z266" s="84">
        <v>3</v>
      </c>
      <c r="AA266" s="84">
        <v>3</v>
      </c>
      <c r="AB266" s="84">
        <v>2</v>
      </c>
      <c r="AC266" s="84">
        <v>3</v>
      </c>
      <c r="AD266" s="84">
        <v>3</v>
      </c>
      <c r="AE266" s="84">
        <v>2</v>
      </c>
      <c r="AF266" s="84">
        <v>3</v>
      </c>
      <c r="AG266" s="84">
        <v>2</v>
      </c>
      <c r="AH266" s="84">
        <v>2</v>
      </c>
      <c r="AI266" s="84">
        <v>2</v>
      </c>
    </row>
    <row r="267" spans="1:35" ht="36" customHeight="1" x14ac:dyDescent="0.25">
      <c r="A267" s="155" t="s">
        <v>292</v>
      </c>
      <c r="B267" s="155">
        <v>616</v>
      </c>
      <c r="C267" s="155" t="s">
        <v>681</v>
      </c>
      <c r="D267" s="159">
        <v>45425</v>
      </c>
      <c r="E267" s="160" t="s">
        <v>537</v>
      </c>
      <c r="F267" s="160" t="s">
        <v>682</v>
      </c>
      <c r="G267" s="161" t="s">
        <v>583</v>
      </c>
      <c r="H267" s="142">
        <v>46337</v>
      </c>
      <c r="I267" s="143">
        <v>0.67248635000107904</v>
      </c>
      <c r="J267" s="144">
        <v>133633</v>
      </c>
      <c r="K267" s="144">
        <v>1868814</v>
      </c>
      <c r="L267" s="143">
        <v>0.70841077795312402</v>
      </c>
      <c r="M267" s="143">
        <v>6.8453957825580197E-2</v>
      </c>
      <c r="N267" s="143">
        <v>0.20825322817481301</v>
      </c>
      <c r="O267" s="145">
        <v>5.8144991598419599E-2</v>
      </c>
      <c r="P267" s="146">
        <v>0.235766511754644</v>
      </c>
      <c r="Q267" s="84" t="s">
        <v>772</v>
      </c>
      <c r="R267" s="84" t="s">
        <v>772</v>
      </c>
      <c r="S267" s="84" t="s">
        <v>772</v>
      </c>
      <c r="T267" s="84" t="s">
        <v>772</v>
      </c>
      <c r="U267" s="84" t="s">
        <v>772</v>
      </c>
      <c r="V267" s="84" t="s">
        <v>772</v>
      </c>
      <c r="W267" s="84">
        <v>1</v>
      </c>
      <c r="X267" s="84" t="s">
        <v>772</v>
      </c>
      <c r="Y267" s="84" t="s">
        <v>772</v>
      </c>
      <c r="Z267" s="84">
        <v>3</v>
      </c>
      <c r="AA267" s="84">
        <v>3</v>
      </c>
      <c r="AB267" s="84">
        <v>4</v>
      </c>
      <c r="AC267" s="84">
        <v>3</v>
      </c>
      <c r="AD267" s="84">
        <v>3</v>
      </c>
      <c r="AE267" s="84">
        <v>3</v>
      </c>
      <c r="AF267" s="84">
        <v>3</v>
      </c>
      <c r="AG267" s="84">
        <v>4</v>
      </c>
      <c r="AH267" s="84">
        <v>3</v>
      </c>
      <c r="AI267" s="84">
        <v>3</v>
      </c>
    </row>
    <row r="268" spans="1:35" ht="36" customHeight="1" x14ac:dyDescent="0.25">
      <c r="A268" s="155" t="s">
        <v>296</v>
      </c>
      <c r="B268" s="155">
        <v>1014</v>
      </c>
      <c r="C268" s="155" t="s">
        <v>755</v>
      </c>
      <c r="D268" s="159">
        <v>45456</v>
      </c>
      <c r="E268" s="160" t="s">
        <v>551</v>
      </c>
      <c r="F268" s="160" t="s">
        <v>688</v>
      </c>
      <c r="G268" s="161" t="s">
        <v>585</v>
      </c>
      <c r="H268" s="142">
        <v>80869</v>
      </c>
      <c r="I268" s="143">
        <v>0.32801196997613402</v>
      </c>
      <c r="J268" s="144">
        <v>68974</v>
      </c>
      <c r="K268" s="144">
        <v>890826</v>
      </c>
      <c r="L268" s="143">
        <v>0.27241703850659199</v>
      </c>
      <c r="M268" s="143">
        <v>0.19638865086621601</v>
      </c>
      <c r="N268" s="143">
        <v>2.5175086286543101E-2</v>
      </c>
      <c r="O268" s="145">
        <v>2.6764386276490301E-2</v>
      </c>
      <c r="P268" s="146">
        <v>0.237136004825345</v>
      </c>
      <c r="Q268" s="84">
        <v>2</v>
      </c>
      <c r="R268" s="84">
        <v>2</v>
      </c>
      <c r="S268" s="84">
        <v>3</v>
      </c>
      <c r="T268" s="84">
        <v>2</v>
      </c>
      <c r="U268" s="84">
        <v>2</v>
      </c>
      <c r="V268" s="84">
        <v>2</v>
      </c>
      <c r="W268" s="84">
        <v>3</v>
      </c>
      <c r="X268" s="84">
        <v>3</v>
      </c>
      <c r="Y268" s="84">
        <v>2</v>
      </c>
      <c r="Z268" s="84">
        <v>2</v>
      </c>
      <c r="AA268" s="84">
        <v>1</v>
      </c>
      <c r="AB268" s="84">
        <v>1</v>
      </c>
      <c r="AC268" s="84">
        <v>2</v>
      </c>
      <c r="AD268" s="84">
        <v>1</v>
      </c>
      <c r="AE268" s="84">
        <v>1</v>
      </c>
      <c r="AF268" s="84">
        <v>1</v>
      </c>
      <c r="AG268" s="84">
        <v>0</v>
      </c>
      <c r="AH268" s="84">
        <v>1</v>
      </c>
      <c r="AI268" s="84">
        <v>1</v>
      </c>
    </row>
    <row r="269" spans="1:35" ht="36" customHeight="1" x14ac:dyDescent="0.25">
      <c r="A269" s="155" t="s">
        <v>297</v>
      </c>
      <c r="B269" s="155">
        <v>1141</v>
      </c>
      <c r="C269" s="155" t="s">
        <v>716</v>
      </c>
      <c r="D269" s="162">
        <v>45505</v>
      </c>
      <c r="E269" s="160" t="s">
        <v>553</v>
      </c>
      <c r="F269" s="160" t="s">
        <v>600</v>
      </c>
      <c r="G269" s="161" t="s">
        <v>584</v>
      </c>
      <c r="H269" s="138">
        <v>394314</v>
      </c>
      <c r="I269" s="135">
        <v>0.32876590737331202</v>
      </c>
      <c r="J269" s="139">
        <v>64024</v>
      </c>
      <c r="K269" s="139">
        <v>550253</v>
      </c>
      <c r="L269" s="135">
        <v>0.46168372708745797</v>
      </c>
      <c r="M269" s="135">
        <v>0.40073628445721499</v>
      </c>
      <c r="N269" s="135">
        <v>0.16898091731978801</v>
      </c>
      <c r="O269" s="140">
        <v>7.9966178803388105E-2</v>
      </c>
      <c r="P269" s="136">
        <v>0.21992008619915601</v>
      </c>
      <c r="Q269" s="84">
        <v>3</v>
      </c>
      <c r="R269" s="84">
        <v>4</v>
      </c>
      <c r="S269" s="84">
        <v>4</v>
      </c>
      <c r="T269" s="84">
        <v>2</v>
      </c>
      <c r="U269" s="84">
        <v>3</v>
      </c>
      <c r="V269" s="84">
        <v>1</v>
      </c>
      <c r="W269" s="84">
        <v>2</v>
      </c>
      <c r="X269" s="84">
        <v>1</v>
      </c>
      <c r="Y269" s="84">
        <v>2</v>
      </c>
      <c r="Z269" s="84">
        <v>1</v>
      </c>
      <c r="AA269" s="84">
        <v>3</v>
      </c>
      <c r="AB269" s="84">
        <v>4</v>
      </c>
      <c r="AC269" s="84">
        <v>1</v>
      </c>
      <c r="AD269" s="84">
        <v>3</v>
      </c>
      <c r="AE269" s="84">
        <v>3</v>
      </c>
      <c r="AF269" s="84">
        <v>2</v>
      </c>
      <c r="AG269" s="84">
        <v>3</v>
      </c>
      <c r="AH269" s="84">
        <v>2</v>
      </c>
      <c r="AI269" s="84">
        <v>4</v>
      </c>
    </row>
    <row r="270" spans="1:35" ht="36" customHeight="1" x14ac:dyDescent="0.25">
      <c r="A270" s="155" t="s">
        <v>297</v>
      </c>
      <c r="B270" s="155">
        <v>1143</v>
      </c>
      <c r="C270" s="155" t="s">
        <v>734</v>
      </c>
      <c r="D270" s="162">
        <v>45512</v>
      </c>
      <c r="E270" s="160" t="s">
        <v>553</v>
      </c>
      <c r="F270" s="160" t="s">
        <v>599</v>
      </c>
      <c r="G270" s="161" t="s">
        <v>583</v>
      </c>
      <c r="H270" s="138">
        <v>238384</v>
      </c>
      <c r="I270" s="135">
        <v>0.51232884757366304</v>
      </c>
      <c r="J270" s="139">
        <v>102423</v>
      </c>
      <c r="K270" s="139">
        <v>1270766</v>
      </c>
      <c r="L270" s="135">
        <v>0.67812563412819404</v>
      </c>
      <c r="M270" s="135">
        <v>0.17632270816941401</v>
      </c>
      <c r="N270" s="135">
        <v>0.153887044464488</v>
      </c>
      <c r="O270" s="140">
        <v>3.8208370914813203E-2</v>
      </c>
      <c r="P270" s="136">
        <v>0.23076435932372499</v>
      </c>
      <c r="Q270" s="84">
        <v>2</v>
      </c>
      <c r="R270" s="84">
        <v>3</v>
      </c>
      <c r="S270" s="84">
        <v>3</v>
      </c>
      <c r="T270" s="84">
        <v>1</v>
      </c>
      <c r="U270" s="84">
        <v>3</v>
      </c>
      <c r="V270" s="84">
        <v>0</v>
      </c>
      <c r="W270" s="84">
        <v>2</v>
      </c>
      <c r="X270" s="84">
        <v>2</v>
      </c>
      <c r="Y270" s="84">
        <v>2</v>
      </c>
      <c r="Z270" s="84">
        <v>0</v>
      </c>
      <c r="AA270" s="84">
        <v>2</v>
      </c>
      <c r="AB270" s="84">
        <v>3</v>
      </c>
      <c r="AC270" s="84">
        <v>1</v>
      </c>
      <c r="AD270" s="84">
        <v>3</v>
      </c>
      <c r="AE270" s="84">
        <v>2</v>
      </c>
      <c r="AF270" s="84">
        <v>0</v>
      </c>
      <c r="AG270" s="84">
        <v>3</v>
      </c>
      <c r="AH270" s="84">
        <v>1</v>
      </c>
      <c r="AI270" s="84">
        <v>3</v>
      </c>
    </row>
    <row r="271" spans="1:35" ht="36" customHeight="1" x14ac:dyDescent="0.25">
      <c r="A271" s="155" t="s">
        <v>292</v>
      </c>
      <c r="B271" s="155">
        <v>617</v>
      </c>
      <c r="C271" s="155" t="s">
        <v>781</v>
      </c>
      <c r="D271" s="159">
        <v>45456</v>
      </c>
      <c r="E271" s="160" t="s">
        <v>536</v>
      </c>
      <c r="F271" s="160" t="s">
        <v>620</v>
      </c>
      <c r="G271" s="161" t="s">
        <v>584</v>
      </c>
      <c r="H271" s="142">
        <v>50373</v>
      </c>
      <c r="I271" s="143">
        <v>0.46352212494788902</v>
      </c>
      <c r="J271" s="144">
        <v>92656</v>
      </c>
      <c r="K271" s="144">
        <v>1119212</v>
      </c>
      <c r="L271" s="143">
        <v>0.48596782755198598</v>
      </c>
      <c r="M271" s="143">
        <v>0.142993556400901</v>
      </c>
      <c r="N271" s="143">
        <v>8.2020029500815106E-2</v>
      </c>
      <c r="O271" s="145">
        <v>0.232815775172735</v>
      </c>
      <c r="P271" s="146">
        <v>0.22834407266516599</v>
      </c>
      <c r="Q271" s="84" t="s">
        <v>772</v>
      </c>
      <c r="R271" s="84" t="s">
        <v>772</v>
      </c>
      <c r="S271" s="84" t="s">
        <v>772</v>
      </c>
      <c r="T271" s="84" t="s">
        <v>772</v>
      </c>
      <c r="U271" s="84" t="s">
        <v>772</v>
      </c>
      <c r="V271" s="84" t="s">
        <v>772</v>
      </c>
      <c r="W271" s="84">
        <v>2</v>
      </c>
      <c r="X271" s="84" t="s">
        <v>772</v>
      </c>
      <c r="Y271" s="84" t="s">
        <v>772</v>
      </c>
      <c r="Z271" s="84">
        <v>3</v>
      </c>
      <c r="AA271" s="84">
        <v>3</v>
      </c>
      <c r="AB271" s="84">
        <v>3</v>
      </c>
      <c r="AC271" s="84">
        <v>3</v>
      </c>
      <c r="AD271" s="84">
        <v>2</v>
      </c>
      <c r="AE271" s="84">
        <v>3</v>
      </c>
      <c r="AF271" s="84">
        <v>3</v>
      </c>
      <c r="AG271" s="84">
        <v>3</v>
      </c>
      <c r="AH271" s="84">
        <v>3</v>
      </c>
      <c r="AI271" s="84">
        <v>2</v>
      </c>
    </row>
  </sheetData>
  <autoFilter ref="A2:AI270" xr:uid="{4B9C50AB-C59D-452C-AE2B-66D2C63029A7}"/>
  <mergeCells count="2">
    <mergeCell ref="H1:P1"/>
    <mergeCell ref="Q1:AI1"/>
  </mergeCells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BE24-D174-46D9-88B1-9E33D940B45B}">
  <dimension ref="A1:CS294"/>
  <sheetViews>
    <sheetView zoomScale="80" zoomScaleNormal="80" workbookViewId="0">
      <pane xSplit="9" ySplit="2" topLeftCell="CB3" activePane="bottomRight" state="frozen"/>
      <selection pane="topRight" activeCell="J1" sqref="J1"/>
      <selection pane="bottomLeft" activeCell="A3" sqref="A3"/>
      <selection pane="bottomRight" activeCell="CK8" sqref="CK8"/>
    </sheetView>
  </sheetViews>
  <sheetFormatPr defaultRowHeight="15" x14ac:dyDescent="0.25"/>
  <cols>
    <col min="1" max="1" width="9.28515625" customWidth="1"/>
    <col min="3" max="3" width="19.140625" customWidth="1"/>
    <col min="4" max="5" width="11.5703125" customWidth="1"/>
    <col min="6" max="6" width="22.5703125" customWidth="1"/>
    <col min="7" max="8" width="11.5703125" style="84" customWidth="1"/>
    <col min="9" max="9" width="11.5703125" hidden="1" customWidth="1"/>
    <col min="10" max="10" width="9.28515625" hidden="1" customWidth="1"/>
    <col min="11" max="11" width="10.42578125" hidden="1" customWidth="1"/>
    <col min="12" max="12" width="9.140625" hidden="1" customWidth="1"/>
    <col min="13" max="13" width="9.28515625" hidden="1" customWidth="1"/>
    <col min="14" max="14" width="11.140625" style="15" hidden="1" customWidth="1"/>
    <col min="15" max="26" width="9.140625" style="15" hidden="1" customWidth="1"/>
    <col min="27" max="27" width="9.85546875" style="15" hidden="1" customWidth="1"/>
    <col min="28" max="28" width="11" style="15" hidden="1" customWidth="1"/>
    <col min="29" max="30" width="10.42578125" style="15" hidden="1" customWidth="1"/>
    <col min="31" max="31" width="12.42578125" style="15" hidden="1" customWidth="1"/>
    <col min="32" max="32" width="9.140625" style="15" hidden="1" customWidth="1"/>
    <col min="33" max="33" width="9.28515625" style="15" hidden="1" customWidth="1"/>
    <col min="34" max="34" width="9.140625" style="15" hidden="1" customWidth="1"/>
    <col min="35" max="35" width="11.140625" style="15" hidden="1" customWidth="1"/>
    <col min="36" max="36" width="11.7109375" style="9" hidden="1" customWidth="1"/>
    <col min="37" max="48" width="9.140625" style="9" hidden="1" customWidth="1"/>
    <col min="49" max="49" width="9.85546875" style="9" hidden="1" customWidth="1"/>
    <col min="50" max="50" width="10.7109375" style="9" hidden="1" customWidth="1"/>
    <col min="51" max="51" width="10.5703125" style="9" hidden="1" customWidth="1"/>
    <col min="52" max="52" width="10.140625" style="9" hidden="1" customWidth="1"/>
    <col min="53" max="53" width="11.85546875" style="9" hidden="1" customWidth="1"/>
    <col min="54" max="54" width="12.42578125" style="9" hidden="1" customWidth="1"/>
    <col min="55" max="55" width="9.28515625" style="9" hidden="1" customWidth="1"/>
    <col min="56" max="56" width="9.140625" style="9" hidden="1" customWidth="1"/>
    <col min="57" max="57" width="12.5703125" style="9" hidden="1" customWidth="1"/>
    <col min="58" max="58" width="11.5703125" style="15" hidden="1" customWidth="1"/>
    <col min="59" max="70" width="9.140625" style="15" hidden="1" customWidth="1"/>
    <col min="71" max="71" width="9.85546875" style="15" hidden="1" customWidth="1"/>
    <col min="72" max="72" width="11" style="15" hidden="1" customWidth="1"/>
    <col min="73" max="73" width="11.85546875" style="15" hidden="1" customWidth="1"/>
    <col min="74" max="74" width="11.28515625" style="15" hidden="1" customWidth="1"/>
    <col min="75" max="75" width="11.7109375" style="15" hidden="1" customWidth="1"/>
    <col min="76" max="76" width="9.140625" style="15" hidden="1" customWidth="1"/>
    <col min="77" max="77" width="0" style="15" hidden="1" customWidth="1"/>
    <col min="78" max="78" width="9.140625" style="15" hidden="1" customWidth="1"/>
    <col min="79" max="79" width="12" style="15" hidden="1" customWidth="1"/>
    <col min="80" max="80" width="15.28515625" style="84" bestFit="1" customWidth="1"/>
    <col min="81" max="81" width="13" style="84" bestFit="1" customWidth="1"/>
    <col min="82" max="82" width="12.5703125" style="84" bestFit="1" customWidth="1"/>
    <col min="83" max="83" width="11.42578125" style="84" customWidth="1"/>
    <col min="84" max="84" width="10.42578125" style="84" customWidth="1"/>
    <col min="85" max="86" width="9.28515625" style="91"/>
    <col min="89" max="92" width="11.28515625" bestFit="1" customWidth="1"/>
    <col min="93" max="93" width="10.28515625" bestFit="1" customWidth="1"/>
  </cols>
  <sheetData>
    <row r="1" spans="1:97" s="38" customFormat="1" ht="17.25" thickTop="1" thickBot="1" x14ac:dyDescent="0.3">
      <c r="A1" s="1"/>
      <c r="B1" s="1"/>
      <c r="C1" s="2"/>
      <c r="D1" s="37"/>
      <c r="E1" s="37"/>
      <c r="F1" s="37"/>
      <c r="G1" s="87"/>
      <c r="H1" s="87"/>
      <c r="I1" s="37"/>
      <c r="J1" s="37"/>
      <c r="K1" s="37"/>
      <c r="L1" s="37"/>
      <c r="M1" s="37"/>
      <c r="N1" s="172" t="s">
        <v>0</v>
      </c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4" t="s">
        <v>1</v>
      </c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2" t="s">
        <v>2</v>
      </c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1" t="s">
        <v>701</v>
      </c>
      <c r="CC1" s="171"/>
      <c r="CD1" s="171"/>
      <c r="CE1" s="171"/>
      <c r="CF1" s="171"/>
      <c r="CG1" s="88">
        <f>AVERAGEIFS(CG3:CG288,CG3:CG288,"&gt;0",$A$3:$A$288,"&lt;&gt;VA",$A$3:$A$288,"&lt;&gt;NC",$A$3:$A$288,"&lt;&gt;GA")</f>
        <v>0.35040599501477326</v>
      </c>
      <c r="CH1" s="88">
        <f>AVERAGEIFS(CH3:CH288,CH3:CH288,"&gt;0",$A$3:$A$288,"&lt;&gt;VA",$A$3:$A$288,"&lt;&gt;NC",$A$3:$A$288,"&lt;&gt;GA")</f>
        <v>0.46440955764148767</v>
      </c>
      <c r="CI1" s="88">
        <f>AVERAGEIFS(CI3:CI288,CI3:CI288,"&gt;0",$A$3:$A$288,"&lt;&gt;VA",$A$3:$A$288,"&lt;&gt;NC",$A$3:$A$288,"&lt;&gt;GA")</f>
        <v>0.13632874456136598</v>
      </c>
      <c r="CK1" s="171" t="s">
        <v>754</v>
      </c>
      <c r="CL1" s="171"/>
      <c r="CM1" s="171"/>
      <c r="CN1" s="171"/>
      <c r="CO1" s="171"/>
      <c r="CP1" s="88">
        <f>AVERAGEIFS(CP3:CP288,CP3:CP288,"&gt;0",$A$3:$A$288,"&lt;&gt;VA",$A$3:$A$288,"&lt;&gt;NC",$A$3:$A$288,"&lt;&gt;GA")</f>
        <v>0.34031943786201196</v>
      </c>
      <c r="CQ1" s="88">
        <f>AVERAGEIFS(CQ3:CQ288,CQ3:CQ288,"&gt;0",$A$3:$A$288,"&lt;&gt;VA",$A$3:$A$288,"&lt;&gt;NC",$A$3:$A$288,"&lt;&gt;GA")</f>
        <v>0.46856991279880278</v>
      </c>
      <c r="CR1" s="88">
        <f>AVERAGEIFS(CR3:CR288,CR3:CR288,"&gt;0",$A$3:$A$288,"&lt;&gt;VA",$A$3:$A$288,"&lt;&gt;NC",$A$3:$A$288,"&lt;&gt;GA")</f>
        <v>0.13673118820611319</v>
      </c>
    </row>
    <row r="2" spans="1:97" s="30" customFormat="1" ht="62.25" thickTop="1" thickBot="1" x14ac:dyDescent="0.3">
      <c r="A2" s="3" t="s">
        <v>278</v>
      </c>
      <c r="B2" s="3" t="s">
        <v>280</v>
      </c>
      <c r="C2" s="3" t="s">
        <v>279</v>
      </c>
      <c r="D2" s="27" t="s">
        <v>3</v>
      </c>
      <c r="E2" s="27" t="s">
        <v>281</v>
      </c>
      <c r="F2" s="27" t="s">
        <v>314</v>
      </c>
      <c r="G2" s="27" t="s">
        <v>285</v>
      </c>
      <c r="H2" s="27" t="s">
        <v>286</v>
      </c>
      <c r="I2" s="27" t="s">
        <v>582</v>
      </c>
      <c r="J2" s="27" t="s">
        <v>282</v>
      </c>
      <c r="K2" s="27" t="s">
        <v>284</v>
      </c>
      <c r="L2" s="27" t="s">
        <v>283</v>
      </c>
      <c r="M2" s="27" t="s">
        <v>738</v>
      </c>
      <c r="N2" s="28" t="s">
        <v>4</v>
      </c>
      <c r="O2" s="28" t="s">
        <v>5</v>
      </c>
      <c r="P2" s="28" t="s">
        <v>6</v>
      </c>
      <c r="Q2" s="28" t="s">
        <v>7</v>
      </c>
      <c r="R2" s="28" t="s">
        <v>8</v>
      </c>
      <c r="S2" s="28" t="s">
        <v>9</v>
      </c>
      <c r="T2" s="28" t="s">
        <v>10</v>
      </c>
      <c r="U2" s="31" t="s">
        <v>11</v>
      </c>
      <c r="V2" s="31" t="s">
        <v>12</v>
      </c>
      <c r="W2" s="31" t="s">
        <v>13</v>
      </c>
      <c r="X2" s="31" t="s">
        <v>14</v>
      </c>
      <c r="Y2" s="28" t="s">
        <v>15</v>
      </c>
      <c r="Z2" s="32" t="s">
        <v>16</v>
      </c>
      <c r="AA2" s="32" t="s">
        <v>17</v>
      </c>
      <c r="AB2" s="33" t="s">
        <v>18</v>
      </c>
      <c r="AC2" s="33" t="s">
        <v>19</v>
      </c>
      <c r="AD2" s="31" t="s">
        <v>20</v>
      </c>
      <c r="AE2" s="31" t="s">
        <v>21</v>
      </c>
      <c r="AF2" s="31" t="s">
        <v>22</v>
      </c>
      <c r="AG2" s="31" t="s">
        <v>23</v>
      </c>
      <c r="AH2" s="31" t="s">
        <v>24</v>
      </c>
      <c r="AI2" s="31" t="s">
        <v>25</v>
      </c>
      <c r="AJ2" s="29" t="s">
        <v>4</v>
      </c>
      <c r="AK2" s="29" t="s">
        <v>5</v>
      </c>
      <c r="AL2" s="29" t="s">
        <v>6</v>
      </c>
      <c r="AM2" s="29" t="s">
        <v>7</v>
      </c>
      <c r="AN2" s="29" t="s">
        <v>8</v>
      </c>
      <c r="AO2" s="29" t="s">
        <v>9</v>
      </c>
      <c r="AP2" s="29" t="s">
        <v>10</v>
      </c>
      <c r="AQ2" s="34" t="s">
        <v>11</v>
      </c>
      <c r="AR2" s="34" t="s">
        <v>12</v>
      </c>
      <c r="AS2" s="34" t="s">
        <v>13</v>
      </c>
      <c r="AT2" s="34" t="s">
        <v>14</v>
      </c>
      <c r="AU2" s="29" t="s">
        <v>15</v>
      </c>
      <c r="AV2" s="35" t="s">
        <v>16</v>
      </c>
      <c r="AW2" s="35" t="s">
        <v>17</v>
      </c>
      <c r="AX2" s="36" t="s">
        <v>18</v>
      </c>
      <c r="AY2" s="36" t="s">
        <v>19</v>
      </c>
      <c r="AZ2" s="34" t="s">
        <v>20</v>
      </c>
      <c r="BA2" s="34" t="s">
        <v>21</v>
      </c>
      <c r="BB2" s="34" t="s">
        <v>22</v>
      </c>
      <c r="BC2" s="34" t="s">
        <v>23</v>
      </c>
      <c r="BD2" s="34" t="s">
        <v>24</v>
      </c>
      <c r="BE2" s="34" t="s">
        <v>25</v>
      </c>
      <c r="BF2" s="28" t="s">
        <v>4</v>
      </c>
      <c r="BG2" s="28" t="s">
        <v>5</v>
      </c>
      <c r="BH2" s="28" t="s">
        <v>6</v>
      </c>
      <c r="BI2" s="28" t="s">
        <v>7</v>
      </c>
      <c r="BJ2" s="28" t="s">
        <v>8</v>
      </c>
      <c r="BK2" s="28" t="s">
        <v>9</v>
      </c>
      <c r="BL2" s="28" t="s">
        <v>10</v>
      </c>
      <c r="BM2" s="31" t="s">
        <v>11</v>
      </c>
      <c r="BN2" s="31" t="s">
        <v>12</v>
      </c>
      <c r="BO2" s="31" t="s">
        <v>13</v>
      </c>
      <c r="BP2" s="31" t="s">
        <v>14</v>
      </c>
      <c r="BQ2" s="28" t="s">
        <v>15</v>
      </c>
      <c r="BR2" s="32" t="s">
        <v>16</v>
      </c>
      <c r="BS2" s="32" t="s">
        <v>17</v>
      </c>
      <c r="BT2" s="33" t="s">
        <v>18</v>
      </c>
      <c r="BU2" s="33" t="s">
        <v>19</v>
      </c>
      <c r="BV2" s="31" t="s">
        <v>20</v>
      </c>
      <c r="BW2" s="31" t="s">
        <v>21</v>
      </c>
      <c r="BX2" s="31" t="s">
        <v>22</v>
      </c>
      <c r="BY2" s="31" t="s">
        <v>23</v>
      </c>
      <c r="BZ2" s="31" t="s">
        <v>24</v>
      </c>
      <c r="CA2" s="31" t="s">
        <v>25</v>
      </c>
      <c r="CB2" s="85" t="s">
        <v>700</v>
      </c>
      <c r="CC2" s="82" t="s">
        <v>696</v>
      </c>
      <c r="CD2" s="82" t="s">
        <v>697</v>
      </c>
      <c r="CE2" s="82" t="s">
        <v>698</v>
      </c>
      <c r="CF2" s="82" t="s">
        <v>699</v>
      </c>
      <c r="CG2" s="89" t="s">
        <v>735</v>
      </c>
      <c r="CH2" s="89" t="s">
        <v>736</v>
      </c>
      <c r="CI2" s="30" t="s">
        <v>744</v>
      </c>
      <c r="CK2" s="85" t="s">
        <v>700</v>
      </c>
      <c r="CL2" s="82" t="s">
        <v>696</v>
      </c>
      <c r="CM2" s="82" t="s">
        <v>697</v>
      </c>
      <c r="CN2" s="82" t="s">
        <v>698</v>
      </c>
      <c r="CO2" s="82" t="s">
        <v>699</v>
      </c>
      <c r="CP2" s="89" t="s">
        <v>735</v>
      </c>
      <c r="CQ2" s="89" t="s">
        <v>736</v>
      </c>
      <c r="CR2" s="30" t="s">
        <v>744</v>
      </c>
    </row>
    <row r="3" spans="1:97" ht="37.5" thickTop="1" thickBot="1" x14ac:dyDescent="0.3">
      <c r="A3" s="3" t="s">
        <v>291</v>
      </c>
      <c r="B3" s="3">
        <v>537</v>
      </c>
      <c r="C3" s="3" t="s">
        <v>92</v>
      </c>
      <c r="D3" s="16">
        <v>44791</v>
      </c>
      <c r="E3" s="16" t="s">
        <v>594</v>
      </c>
      <c r="F3" s="16" t="s">
        <v>638</v>
      </c>
      <c r="G3" s="17">
        <v>18074</v>
      </c>
      <c r="H3" s="17">
        <v>21161</v>
      </c>
      <c r="I3" s="17" t="s">
        <v>584</v>
      </c>
      <c r="J3" s="18"/>
      <c r="K3" s="18" t="s">
        <v>598</v>
      </c>
      <c r="L3" s="18"/>
      <c r="M3" s="18" t="s">
        <v>598</v>
      </c>
      <c r="N3" s="19">
        <v>40816</v>
      </c>
      <c r="O3" s="19">
        <v>9780</v>
      </c>
      <c r="P3" s="19">
        <v>5612</v>
      </c>
      <c r="Q3" s="19">
        <v>2391</v>
      </c>
      <c r="R3" s="20">
        <v>0.23961191689533501</v>
      </c>
      <c r="S3" s="20">
        <v>0.1374950999608</v>
      </c>
      <c r="T3" s="20">
        <v>5.8579968639749097E-2</v>
      </c>
      <c r="U3" s="20">
        <v>0.102116816934535</v>
      </c>
      <c r="V3" s="20">
        <v>7.8915131321050602E-2</v>
      </c>
      <c r="W3" s="20">
        <v>2.1070168561348499E-2</v>
      </c>
      <c r="X3" s="20">
        <v>3.7509800078400601E-2</v>
      </c>
      <c r="Y3" s="21">
        <v>36170</v>
      </c>
      <c r="Z3" s="21">
        <v>56220</v>
      </c>
      <c r="AA3" s="21">
        <v>317367</v>
      </c>
      <c r="AB3" s="19">
        <v>103618</v>
      </c>
      <c r="AC3" s="19">
        <v>110647</v>
      </c>
      <c r="AD3" s="20">
        <v>6.7835704221274301E-2</v>
      </c>
      <c r="AE3" s="20">
        <v>0.53000355914106101</v>
      </c>
      <c r="AF3" s="20">
        <v>0.20895983323360801</v>
      </c>
      <c r="AG3" s="20">
        <v>0.104817695767145</v>
      </c>
      <c r="AH3" s="20">
        <v>9.1074909764712705E-2</v>
      </c>
      <c r="AI3" s="22">
        <v>9.1808373062595303E-2</v>
      </c>
      <c r="AJ3" s="23">
        <v>68183</v>
      </c>
      <c r="AK3" s="23">
        <v>21757</v>
      </c>
      <c r="AL3" s="23">
        <v>12999</v>
      </c>
      <c r="AM3" s="23">
        <v>5716</v>
      </c>
      <c r="AN3" s="24">
        <v>0.31909713564964898</v>
      </c>
      <c r="AO3" s="24">
        <v>0.19064869542261301</v>
      </c>
      <c r="AP3" s="24">
        <v>8.3833213557631694E-2</v>
      </c>
      <c r="AQ3" s="24">
        <v>0.128448440227036</v>
      </c>
      <c r="AR3" s="24">
        <v>0.10681548186498099</v>
      </c>
      <c r="AS3" s="24">
        <v>3.3674082982561603E-2</v>
      </c>
      <c r="AT3" s="24">
        <v>5.0159130575070002E-2</v>
      </c>
      <c r="AU3" s="25">
        <v>47208</v>
      </c>
      <c r="AV3" s="25">
        <v>68535</v>
      </c>
      <c r="AW3" s="25">
        <v>436197</v>
      </c>
      <c r="AX3" s="23">
        <v>176111</v>
      </c>
      <c r="AY3" s="23">
        <v>190629</v>
      </c>
      <c r="AZ3" s="24">
        <v>8.2436645070438505E-2</v>
      </c>
      <c r="BA3" s="24">
        <v>0.47324267248381302</v>
      </c>
      <c r="BB3" s="24">
        <v>0.25154590002895899</v>
      </c>
      <c r="BC3" s="24">
        <v>7.6122445503120195E-2</v>
      </c>
      <c r="BD3" s="24">
        <v>9.7381764909630894E-2</v>
      </c>
      <c r="BE3" s="26">
        <v>0.12877673739857201</v>
      </c>
      <c r="BF3" s="19">
        <v>80215</v>
      </c>
      <c r="BG3" s="19">
        <v>27642</v>
      </c>
      <c r="BH3" s="19">
        <v>17085</v>
      </c>
      <c r="BI3" s="19">
        <v>8028</v>
      </c>
      <c r="BJ3" s="20">
        <v>0.34459889048183001</v>
      </c>
      <c r="BK3" s="20">
        <v>0.21299008913544801</v>
      </c>
      <c r="BL3" s="20">
        <v>0.100081032225893</v>
      </c>
      <c r="BM3" s="20">
        <v>0.131608801346382</v>
      </c>
      <c r="BN3" s="20">
        <v>0.11290905690955599</v>
      </c>
      <c r="BO3" s="20">
        <v>4.0316649005796901E-2</v>
      </c>
      <c r="BP3" s="20">
        <v>5.9764383220096001E-2</v>
      </c>
      <c r="BQ3" s="21">
        <v>50962</v>
      </c>
      <c r="BR3" s="21">
        <v>73472</v>
      </c>
      <c r="BS3" s="21">
        <v>537632</v>
      </c>
      <c r="BT3" s="19">
        <v>212917</v>
      </c>
      <c r="BU3" s="19">
        <v>231003</v>
      </c>
      <c r="BV3" s="20">
        <v>8.4943898326578005E-2</v>
      </c>
      <c r="BW3" s="20">
        <v>0.45382033058002402</v>
      </c>
      <c r="BX3" s="20">
        <v>0.26311661351606502</v>
      </c>
      <c r="BY3" s="20">
        <v>7.0078950952718697E-2</v>
      </c>
      <c r="BZ3" s="20">
        <v>0.111254620345017</v>
      </c>
      <c r="CA3" s="22">
        <v>0.14169371163411101</v>
      </c>
      <c r="CB3" s="86">
        <f>IF(SUM(CC3:CF3)=0,"",SUM(CC3:CF3))</f>
        <v>10417444.249999665</v>
      </c>
      <c r="CC3" s="83">
        <v>2502486.33999997</v>
      </c>
      <c r="CD3" s="83">
        <v>5795748.9899996901</v>
      </c>
      <c r="CE3" s="83">
        <v>1526886.83</v>
      </c>
      <c r="CF3" s="83">
        <v>592322.09000000404</v>
      </c>
      <c r="CG3" s="90">
        <f t="shared" ref="CG3:CI18" si="0">IFERROR(CC3/$CB3,"")</f>
        <v>0.24022075664096312</v>
      </c>
      <c r="CH3" s="90">
        <f t="shared" si="0"/>
        <v>0.55635037259737452</v>
      </c>
      <c r="CI3" s="90">
        <f t="shared" si="0"/>
        <v>0.14657019450812508</v>
      </c>
      <c r="CK3" s="86">
        <f>IF(SUM(CL3:CO3)=0,"",SUM(CL3:CO3))</f>
        <v>10971533</v>
      </c>
      <c r="CL3" s="83">
        <v>2306327</v>
      </c>
      <c r="CM3" s="83">
        <v>6315510</v>
      </c>
      <c r="CN3" s="83">
        <v>1753423</v>
      </c>
      <c r="CO3" s="83">
        <v>596273</v>
      </c>
      <c r="CP3" s="90">
        <f>IFERROR(CL3/$CK3,"")</f>
        <v>0.21021009552630429</v>
      </c>
      <c r="CQ3" s="90">
        <f>IFERROR(CM3/$CK3,"")</f>
        <v>0.57562694292584271</v>
      </c>
      <c r="CR3" s="90">
        <f>IFERROR(CN3/$CK3,"")</f>
        <v>0.15981567935857277</v>
      </c>
      <c r="CS3" s="153">
        <f>CK3/CB3-1</f>
        <v>5.3188549581184796E-2</v>
      </c>
    </row>
    <row r="4" spans="1:97" ht="61.5" thickTop="1" thickBot="1" x14ac:dyDescent="0.3">
      <c r="A4" s="3" t="s">
        <v>295</v>
      </c>
      <c r="B4" s="3">
        <v>923</v>
      </c>
      <c r="C4" s="3" t="s">
        <v>138</v>
      </c>
      <c r="D4" s="16">
        <v>41760</v>
      </c>
      <c r="E4" s="16" t="s">
        <v>549</v>
      </c>
      <c r="F4" s="16" t="s">
        <v>414</v>
      </c>
      <c r="G4" s="17">
        <v>19199</v>
      </c>
      <c r="H4" s="17">
        <v>23890</v>
      </c>
      <c r="I4" s="17" t="s">
        <v>584</v>
      </c>
      <c r="J4" s="18"/>
      <c r="K4" s="18" t="s">
        <v>598</v>
      </c>
      <c r="L4" s="18"/>
      <c r="M4" s="18" t="s">
        <v>598</v>
      </c>
      <c r="N4" s="10">
        <v>10156</v>
      </c>
      <c r="O4" s="11">
        <v>2832</v>
      </c>
      <c r="P4" s="11">
        <v>1581</v>
      </c>
      <c r="Q4" s="11">
        <v>509</v>
      </c>
      <c r="R4" s="12">
        <v>0.27884994092162302</v>
      </c>
      <c r="S4" s="12">
        <v>0.15567152422213501</v>
      </c>
      <c r="T4" s="12">
        <v>5.0118156754627802E-2</v>
      </c>
      <c r="U4" s="12">
        <v>0.12317841669948799</v>
      </c>
      <c r="V4" s="12">
        <v>0.105553367467507</v>
      </c>
      <c r="W4" s="12">
        <v>2.4025206774320601E-2</v>
      </c>
      <c r="X4" s="12">
        <v>2.6092949980307201E-2</v>
      </c>
      <c r="Y4" s="13">
        <v>43102</v>
      </c>
      <c r="Z4" s="13">
        <v>59647</v>
      </c>
      <c r="AA4" s="13">
        <v>326338</v>
      </c>
      <c r="AB4" s="11">
        <v>22936</v>
      </c>
      <c r="AC4" s="11">
        <v>25355</v>
      </c>
      <c r="AD4" s="12">
        <v>0.10546738751308</v>
      </c>
      <c r="AE4" s="12">
        <v>0.30115929033497701</v>
      </c>
      <c r="AF4" s="12">
        <v>9.2823508894314594E-2</v>
      </c>
      <c r="AG4" s="12">
        <v>4.8875130798744303E-2</v>
      </c>
      <c r="AH4" s="12">
        <v>0.28466166724799402</v>
      </c>
      <c r="AI4" s="14">
        <v>0.21546913149633801</v>
      </c>
      <c r="AJ4" s="4">
        <v>43498</v>
      </c>
      <c r="AK4" s="5">
        <v>10838</v>
      </c>
      <c r="AL4" s="5">
        <v>5746</v>
      </c>
      <c r="AM4" s="5">
        <v>1717</v>
      </c>
      <c r="AN4" s="6">
        <v>0.24916088096004399</v>
      </c>
      <c r="AO4" s="6">
        <v>0.132098027495517</v>
      </c>
      <c r="AP4" s="6">
        <v>3.9473079222033199E-2</v>
      </c>
      <c r="AQ4" s="6">
        <v>0.11706285346452699</v>
      </c>
      <c r="AR4" s="6">
        <v>9.2624948273483804E-2</v>
      </c>
      <c r="AS4" s="6">
        <v>2.1610188974205701E-2</v>
      </c>
      <c r="AT4" s="6">
        <v>1.7862890247827501E-2</v>
      </c>
      <c r="AU4" s="7">
        <v>39984</v>
      </c>
      <c r="AV4" s="7">
        <v>55228</v>
      </c>
      <c r="AW4" s="7">
        <v>311524</v>
      </c>
      <c r="AX4" s="5">
        <v>102473</v>
      </c>
      <c r="AY4" s="5">
        <v>110262</v>
      </c>
      <c r="AZ4" s="6">
        <v>7.6010266118880093E-2</v>
      </c>
      <c r="BA4" s="6">
        <v>0.21509664292980701</v>
      </c>
      <c r="BB4" s="6">
        <v>8.6949733100426502E-2</v>
      </c>
      <c r="BC4" s="6">
        <v>2.7343788119797399E-2</v>
      </c>
      <c r="BD4" s="6">
        <v>0.28824178076176199</v>
      </c>
      <c r="BE4" s="8">
        <v>0.25203712197359301</v>
      </c>
      <c r="BF4" s="10">
        <v>80632</v>
      </c>
      <c r="BG4" s="11">
        <v>23750</v>
      </c>
      <c r="BH4" s="11">
        <v>13409</v>
      </c>
      <c r="BI4" s="11">
        <v>4591</v>
      </c>
      <c r="BJ4" s="12">
        <v>0.29454807024506402</v>
      </c>
      <c r="BK4" s="12">
        <v>0.16629873995436101</v>
      </c>
      <c r="BL4" s="12">
        <v>5.6937692231372197E-2</v>
      </c>
      <c r="BM4" s="12">
        <v>0.12824933029070301</v>
      </c>
      <c r="BN4" s="12">
        <v>0.10936104772298801</v>
      </c>
      <c r="BO4" s="12">
        <v>2.8586665343784099E-2</v>
      </c>
      <c r="BP4" s="12">
        <v>2.8351026887588102E-2</v>
      </c>
      <c r="BQ4" s="13">
        <v>45077</v>
      </c>
      <c r="BR4" s="13">
        <v>62429</v>
      </c>
      <c r="BS4" s="13">
        <v>475390</v>
      </c>
      <c r="BT4" s="11">
        <v>182920</v>
      </c>
      <c r="BU4" s="11">
        <v>195148</v>
      </c>
      <c r="BV4" s="12">
        <v>6.6848895692105795E-2</v>
      </c>
      <c r="BW4" s="12">
        <v>0.243766649487903</v>
      </c>
      <c r="BX4" s="12">
        <v>8.5141045265689899E-2</v>
      </c>
      <c r="BY4" s="12">
        <v>2.64924557183468E-2</v>
      </c>
      <c r="BZ4" s="12">
        <v>0.18988628908812599</v>
      </c>
      <c r="CA4" s="14">
        <v>0.27466652088344601</v>
      </c>
      <c r="CB4" s="86">
        <f>IF(SUM(CC4:CF4)=0,"",SUM(CC4:CF4))</f>
        <v>21622031.968332559</v>
      </c>
      <c r="CC4" s="83">
        <v>7386355.23833308</v>
      </c>
      <c r="CD4" s="83">
        <v>9948058.1249995306</v>
      </c>
      <c r="CE4" s="83">
        <v>2993823.5766666098</v>
      </c>
      <c r="CF4" s="83">
        <v>1293795.0283333401</v>
      </c>
      <c r="CG4" s="90">
        <f t="shared" si="0"/>
        <v>0.34161244646900307</v>
      </c>
      <c r="CH4" s="90">
        <f t="shared" si="0"/>
        <v>0.46008895646668962</v>
      </c>
      <c r="CI4" s="90">
        <f t="shared" si="0"/>
        <v>0.13846171262031884</v>
      </c>
      <c r="CK4" s="86">
        <f t="shared" ref="CK4:CK67" si="1">IF(SUM(CL4:CO4)=0,"",SUM(CL4:CO4))</f>
        <v>21270867</v>
      </c>
      <c r="CL4" s="83">
        <v>7087989</v>
      </c>
      <c r="CM4" s="83">
        <v>9992709</v>
      </c>
      <c r="CN4" s="83">
        <v>2921052</v>
      </c>
      <c r="CO4" s="83">
        <v>1269117</v>
      </c>
      <c r="CP4" s="90">
        <f t="shared" ref="CP4:CR67" si="2">IFERROR(CL4/$CK4,"")</f>
        <v>0.33322520421946128</v>
      </c>
      <c r="CQ4" s="90">
        <f t="shared" si="2"/>
        <v>0.46978381276136982</v>
      </c>
      <c r="CR4" s="90">
        <f t="shared" si="2"/>
        <v>0.1373264192757164</v>
      </c>
    </row>
    <row r="5" spans="1:97" ht="37.5" thickTop="1" thickBot="1" x14ac:dyDescent="0.3">
      <c r="A5" s="3" t="s">
        <v>291</v>
      </c>
      <c r="B5" s="3">
        <v>536</v>
      </c>
      <c r="C5" s="3" t="s">
        <v>91</v>
      </c>
      <c r="D5" s="16">
        <v>43986</v>
      </c>
      <c r="E5" s="16" t="s">
        <v>531</v>
      </c>
      <c r="F5" s="16" t="s">
        <v>373</v>
      </c>
      <c r="G5" s="17">
        <v>12480</v>
      </c>
      <c r="H5" s="17">
        <v>15022</v>
      </c>
      <c r="I5" s="17" t="s">
        <v>583</v>
      </c>
      <c r="J5" s="18"/>
      <c r="K5" s="18" t="s">
        <v>598</v>
      </c>
      <c r="L5" s="18"/>
      <c r="M5" s="18" t="s">
        <v>598</v>
      </c>
      <c r="N5" s="10">
        <v>7663</v>
      </c>
      <c r="O5" s="11">
        <v>5847</v>
      </c>
      <c r="P5" s="11">
        <v>5295</v>
      </c>
      <c r="Q5" s="11">
        <v>4062</v>
      </c>
      <c r="R5" s="12">
        <v>0.76301709513245497</v>
      </c>
      <c r="S5" s="12">
        <v>0.690982643873157</v>
      </c>
      <c r="T5" s="12">
        <v>0.53007960328852899</v>
      </c>
      <c r="U5" s="12">
        <v>7.2034451259297902E-2</v>
      </c>
      <c r="V5" s="12">
        <v>0.16090304058462701</v>
      </c>
      <c r="W5" s="12">
        <v>0.18661098786376101</v>
      </c>
      <c r="X5" s="12">
        <v>0.34346861542476798</v>
      </c>
      <c r="Y5" s="13">
        <v>155923</v>
      </c>
      <c r="Z5" s="13">
        <v>178727</v>
      </c>
      <c r="AA5" s="13">
        <v>1754447</v>
      </c>
      <c r="AB5" s="11">
        <v>22140</v>
      </c>
      <c r="AC5" s="11">
        <v>25523</v>
      </c>
      <c r="AD5" s="12">
        <v>0.15280036133694699</v>
      </c>
      <c r="AE5" s="12">
        <v>0.73430294430649201</v>
      </c>
      <c r="AF5" s="12">
        <v>9.8328816621499504E-2</v>
      </c>
      <c r="AG5" s="12">
        <v>0.12705510388437199</v>
      </c>
      <c r="AH5" s="12">
        <v>1.3188798554652201E-2</v>
      </c>
      <c r="AI5" s="14">
        <v>0.22375790424570899</v>
      </c>
      <c r="AJ5" s="4">
        <v>23355</v>
      </c>
      <c r="AK5" s="5">
        <v>17852</v>
      </c>
      <c r="AL5" s="5">
        <v>15817</v>
      </c>
      <c r="AM5" s="5">
        <v>11644</v>
      </c>
      <c r="AN5" s="6">
        <v>0.76437593663027203</v>
      </c>
      <c r="AO5" s="6">
        <v>0.677242560479555</v>
      </c>
      <c r="AP5" s="6">
        <v>0.49856561764076202</v>
      </c>
      <c r="AQ5" s="6">
        <v>8.7133376150717201E-2</v>
      </c>
      <c r="AR5" s="6">
        <v>0.17867694283879301</v>
      </c>
      <c r="AS5" s="6">
        <v>0.168743309783772</v>
      </c>
      <c r="AT5" s="6">
        <v>0.32982230785699002</v>
      </c>
      <c r="AU5" s="7">
        <v>149448</v>
      </c>
      <c r="AV5" s="7">
        <v>182792</v>
      </c>
      <c r="AW5" s="7">
        <v>2348650</v>
      </c>
      <c r="AX5" s="5">
        <v>63402</v>
      </c>
      <c r="AY5" s="5">
        <v>71261</v>
      </c>
      <c r="AZ5" s="6">
        <v>0.123955080281379</v>
      </c>
      <c r="BA5" s="6">
        <v>0.69906734779959701</v>
      </c>
      <c r="BB5" s="6">
        <v>0.117866944260433</v>
      </c>
      <c r="BC5" s="6">
        <v>8.8719598750827994E-2</v>
      </c>
      <c r="BD5" s="6">
        <v>1.2539036623450401E-2</v>
      </c>
      <c r="BE5" s="8">
        <v>0.24888804769565601</v>
      </c>
      <c r="BF5" s="10">
        <v>46739</v>
      </c>
      <c r="BG5" s="11">
        <v>35663</v>
      </c>
      <c r="BH5" s="11">
        <v>31471</v>
      </c>
      <c r="BI5" s="11">
        <v>22489</v>
      </c>
      <c r="BJ5" s="12">
        <v>0.76302445495196702</v>
      </c>
      <c r="BK5" s="12">
        <v>0.67333490232995996</v>
      </c>
      <c r="BL5" s="12">
        <v>0.48116134277584</v>
      </c>
      <c r="BM5" s="12">
        <v>8.9689552622007299E-2</v>
      </c>
      <c r="BN5" s="12">
        <v>0.19217355955411999</v>
      </c>
      <c r="BO5" s="12">
        <v>0.162219987590663</v>
      </c>
      <c r="BP5" s="12">
        <v>0.31894135518517702</v>
      </c>
      <c r="BQ5" s="13">
        <v>143200</v>
      </c>
      <c r="BR5" s="13">
        <v>181009</v>
      </c>
      <c r="BS5" s="13">
        <v>2385297</v>
      </c>
      <c r="BT5" s="11">
        <v>122601</v>
      </c>
      <c r="BU5" s="11">
        <v>137384</v>
      </c>
      <c r="BV5" s="12">
        <v>0.120578135578013</v>
      </c>
      <c r="BW5" s="12">
        <v>0.68372386381216499</v>
      </c>
      <c r="BX5" s="12">
        <v>0.12461562303733199</v>
      </c>
      <c r="BY5" s="12">
        <v>7.9387606952634998E-2</v>
      </c>
      <c r="BZ5" s="12">
        <v>1.2438723990832E-2</v>
      </c>
      <c r="CA5" s="14">
        <v>0.26238774561382</v>
      </c>
      <c r="CB5" s="86">
        <f>IF(SUM(CC5:CF5)=0,"",SUM(CC5:CF5))</f>
        <v>12527886.439285422</v>
      </c>
      <c r="CC5" s="83">
        <v>4822166.32928563</v>
      </c>
      <c r="CD5" s="83">
        <v>6079837.3999997796</v>
      </c>
      <c r="CE5" s="83">
        <v>1042206.70000001</v>
      </c>
      <c r="CF5" s="83">
        <v>583676.01000000199</v>
      </c>
      <c r="CG5" s="90">
        <f t="shared" si="0"/>
        <v>0.38491459454518184</v>
      </c>
      <c r="CH5" s="90">
        <f t="shared" si="0"/>
        <v>0.48530431924529543</v>
      </c>
      <c r="CI5" s="90">
        <f t="shared" si="0"/>
        <v>8.3190944063143701E-2</v>
      </c>
      <c r="CK5" s="86">
        <f t="shared" si="1"/>
        <v>12344573</v>
      </c>
      <c r="CL5" s="83">
        <v>4563418</v>
      </c>
      <c r="CM5" s="83">
        <v>6151268</v>
      </c>
      <c r="CN5" s="83">
        <v>1034830</v>
      </c>
      <c r="CO5" s="83">
        <v>595057</v>
      </c>
      <c r="CP5" s="90">
        <f t="shared" si="2"/>
        <v>0.36966997562410625</v>
      </c>
      <c r="CQ5" s="90">
        <f t="shared" si="2"/>
        <v>0.49829734896460171</v>
      </c>
      <c r="CR5" s="90">
        <f t="shared" si="2"/>
        <v>8.3828739965327276E-2</v>
      </c>
    </row>
    <row r="6" spans="1:97" ht="25.5" thickTop="1" thickBot="1" x14ac:dyDescent="0.3">
      <c r="A6" s="3" t="s">
        <v>311</v>
      </c>
      <c r="B6" s="3" t="s">
        <v>713</v>
      </c>
      <c r="C6" s="3" t="s">
        <v>713</v>
      </c>
      <c r="D6" s="16">
        <v>45575</v>
      </c>
      <c r="E6" s="39" t="s">
        <v>714</v>
      </c>
      <c r="F6" s="16" t="s">
        <v>715</v>
      </c>
      <c r="G6" s="17"/>
      <c r="H6" s="17">
        <v>26000</v>
      </c>
      <c r="I6" s="17" t="s">
        <v>585</v>
      </c>
      <c r="J6" s="18"/>
      <c r="K6" s="18"/>
      <c r="L6" s="18"/>
      <c r="M6" s="18" t="s">
        <v>598</v>
      </c>
      <c r="N6" s="42">
        <v>26281</v>
      </c>
      <c r="O6" s="43">
        <v>11072</v>
      </c>
      <c r="P6" s="43">
        <v>8064</v>
      </c>
      <c r="Q6" s="43">
        <v>4035</v>
      </c>
      <c r="R6" s="44">
        <v>0.421292949278947</v>
      </c>
      <c r="S6" s="44">
        <v>0.30683763935923303</v>
      </c>
      <c r="T6" s="44">
        <v>0.15353297058711601</v>
      </c>
      <c r="U6" s="44">
        <v>0.114455309919714</v>
      </c>
      <c r="V6" s="44">
        <v>0.15330466877211699</v>
      </c>
      <c r="W6" s="44">
        <v>7.4997146227312503E-2</v>
      </c>
      <c r="X6" s="44">
        <v>7.8535824359803705E-2</v>
      </c>
      <c r="Y6" s="45">
        <v>59899</v>
      </c>
      <c r="Z6" s="45">
        <v>91310</v>
      </c>
      <c r="AA6" s="45">
        <v>750551</v>
      </c>
      <c r="AB6" s="43">
        <v>58240</v>
      </c>
      <c r="AC6" s="43">
        <v>56321</v>
      </c>
      <c r="AD6" s="44">
        <v>-3.2949862637362597E-2</v>
      </c>
      <c r="AE6" s="44">
        <v>0.41018211920529801</v>
      </c>
      <c r="AF6" s="44">
        <v>4.2445054945054898E-2</v>
      </c>
      <c r="AG6" s="44">
        <v>2.9035027472527501E-2</v>
      </c>
      <c r="AH6" s="44">
        <v>0.32366071428571402</v>
      </c>
      <c r="AI6" s="46">
        <v>0.233361950549451</v>
      </c>
      <c r="AJ6" s="42">
        <v>57523</v>
      </c>
      <c r="AK6" s="43">
        <v>19618</v>
      </c>
      <c r="AL6" s="43">
        <v>13138</v>
      </c>
      <c r="AM6" s="43">
        <v>5913</v>
      </c>
      <c r="AN6" s="44">
        <v>0.341046190219564</v>
      </c>
      <c r="AO6" s="44">
        <v>0.228395598282426</v>
      </c>
      <c r="AP6" s="44">
        <v>0.102793665142639</v>
      </c>
      <c r="AQ6" s="44">
        <v>0.112650591937138</v>
      </c>
      <c r="AR6" s="44">
        <v>0.12560193313978801</v>
      </c>
      <c r="AS6" s="44">
        <v>5.00495453992316E-2</v>
      </c>
      <c r="AT6" s="44">
        <v>5.2744119743407002E-2</v>
      </c>
      <c r="AU6" s="45">
        <v>50354</v>
      </c>
      <c r="AV6" s="45">
        <v>75989</v>
      </c>
      <c r="AW6" s="45">
        <v>555024</v>
      </c>
      <c r="AX6" s="43">
        <v>135590</v>
      </c>
      <c r="AY6" s="43">
        <v>132351</v>
      </c>
      <c r="AZ6" s="44">
        <v>-2.3888192344568199E-2</v>
      </c>
      <c r="BA6" s="44">
        <v>0.30302833798067602</v>
      </c>
      <c r="BB6" s="44">
        <v>5.39715318238808E-2</v>
      </c>
      <c r="BC6" s="44">
        <v>2.16977653219264E-2</v>
      </c>
      <c r="BD6" s="44">
        <v>0.423342429382698</v>
      </c>
      <c r="BE6" s="46">
        <v>0.22437495390515499</v>
      </c>
      <c r="BF6" s="70">
        <v>82944</v>
      </c>
      <c r="BG6" s="71">
        <v>26694</v>
      </c>
      <c r="BH6" s="71">
        <v>17601</v>
      </c>
      <c r="BI6" s="71">
        <v>7890</v>
      </c>
      <c r="BJ6" s="72">
        <v>0.32183159722222199</v>
      </c>
      <c r="BK6" s="72">
        <v>0.212203414351852</v>
      </c>
      <c r="BL6" s="72">
        <v>9.5124421296296294E-2</v>
      </c>
      <c r="BM6" s="72">
        <v>0.10962818287037</v>
      </c>
      <c r="BN6" s="72">
        <v>0.117078993055556</v>
      </c>
      <c r="BO6" s="72">
        <v>4.6380690586419797E-2</v>
      </c>
      <c r="BP6" s="72">
        <v>4.8743730709876497E-2</v>
      </c>
      <c r="BQ6" s="73">
        <v>46537</v>
      </c>
      <c r="BR6" s="73">
        <v>73059</v>
      </c>
      <c r="BS6" s="73">
        <v>546996</v>
      </c>
      <c r="BT6" s="71">
        <v>196154</v>
      </c>
      <c r="BU6" s="71">
        <v>191695</v>
      </c>
      <c r="BV6" s="72">
        <v>-2.27321390336164E-2</v>
      </c>
      <c r="BW6" s="72">
        <v>0.27676791985981503</v>
      </c>
      <c r="BX6" s="72">
        <v>5.3932114563047397E-2</v>
      </c>
      <c r="BY6" s="72">
        <v>2.0030180368486E-2</v>
      </c>
      <c r="BZ6" s="72">
        <v>0.47291413889087103</v>
      </c>
      <c r="CA6" s="74">
        <v>0.22411982421974599</v>
      </c>
      <c r="CB6" s="98">
        <v>16500000</v>
      </c>
      <c r="CC6" s="83"/>
      <c r="CD6" s="83"/>
      <c r="CE6" s="83"/>
      <c r="CF6" s="83"/>
      <c r="CG6" s="99">
        <v>0.37</v>
      </c>
      <c r="CH6" s="99">
        <v>0.46</v>
      </c>
      <c r="CI6" s="90">
        <f t="shared" si="0"/>
        <v>0</v>
      </c>
      <c r="CK6" s="98">
        <v>16500000</v>
      </c>
      <c r="CL6" s="83"/>
      <c r="CM6" s="83"/>
      <c r="CN6" s="83"/>
      <c r="CO6" s="83"/>
      <c r="CP6" s="99">
        <v>0.37</v>
      </c>
      <c r="CQ6" s="99">
        <v>0.46</v>
      </c>
      <c r="CR6" s="90">
        <f t="shared" ref="CR6" si="3">IFERROR(CN6/$CB6,"")</f>
        <v>0</v>
      </c>
    </row>
    <row r="7" spans="1:97" ht="37.5" thickTop="1" thickBot="1" x14ac:dyDescent="0.3">
      <c r="A7" s="3" t="s">
        <v>295</v>
      </c>
      <c r="B7" s="3">
        <v>929</v>
      </c>
      <c r="C7" s="3" t="s">
        <v>144</v>
      </c>
      <c r="D7" s="16">
        <v>42691</v>
      </c>
      <c r="E7" s="16" t="s">
        <v>550</v>
      </c>
      <c r="F7" s="16" t="s">
        <v>420</v>
      </c>
      <c r="G7" s="17">
        <v>15667</v>
      </c>
      <c r="H7" s="17">
        <v>20060</v>
      </c>
      <c r="I7" s="17" t="s">
        <v>583</v>
      </c>
      <c r="J7" s="18"/>
      <c r="K7" s="18" t="s">
        <v>598</v>
      </c>
      <c r="L7" s="18"/>
      <c r="M7" s="18" t="s">
        <v>598</v>
      </c>
      <c r="N7" s="10">
        <v>29662</v>
      </c>
      <c r="O7" s="11">
        <v>6375</v>
      </c>
      <c r="P7" s="11">
        <v>3920</v>
      </c>
      <c r="Q7" s="11">
        <v>1623</v>
      </c>
      <c r="R7" s="12">
        <v>0.21492144831771301</v>
      </c>
      <c r="S7" s="12">
        <v>0.13215561998516601</v>
      </c>
      <c r="T7" s="12">
        <v>5.4716472254062398E-2</v>
      </c>
      <c r="U7" s="12">
        <v>8.2765828332546698E-2</v>
      </c>
      <c r="V7" s="12">
        <v>7.7439147731103802E-2</v>
      </c>
      <c r="W7" s="12">
        <v>2.1980985773042999E-2</v>
      </c>
      <c r="X7" s="12">
        <v>3.2735486481019503E-2</v>
      </c>
      <c r="Y7" s="13">
        <v>35988</v>
      </c>
      <c r="Z7" s="13">
        <v>54278</v>
      </c>
      <c r="AA7" s="13">
        <v>328785</v>
      </c>
      <c r="AB7" s="11">
        <v>72072</v>
      </c>
      <c r="AC7" s="11">
        <v>75435</v>
      </c>
      <c r="AD7" s="12">
        <v>4.6661671661671698E-2</v>
      </c>
      <c r="AE7" s="12">
        <v>0.50528878198626404</v>
      </c>
      <c r="AF7" s="12">
        <v>0.156135531135531</v>
      </c>
      <c r="AG7" s="12">
        <v>0.100024975024975</v>
      </c>
      <c r="AH7" s="12">
        <v>0.196858696858697</v>
      </c>
      <c r="AI7" s="14">
        <v>0.112151737151737</v>
      </c>
      <c r="AJ7" s="4">
        <v>62956</v>
      </c>
      <c r="AK7" s="5">
        <v>19924</v>
      </c>
      <c r="AL7" s="5">
        <v>14109</v>
      </c>
      <c r="AM7" s="5">
        <v>6089</v>
      </c>
      <c r="AN7" s="6">
        <v>0.31647499841158899</v>
      </c>
      <c r="AO7" s="6">
        <v>0.22410890145498399</v>
      </c>
      <c r="AP7" s="6">
        <v>9.6718342969693102E-2</v>
      </c>
      <c r="AQ7" s="6">
        <v>9.2366096956604596E-2</v>
      </c>
      <c r="AR7" s="6">
        <v>0.12739055848529099</v>
      </c>
      <c r="AS7" s="6">
        <v>3.80900946692928E-2</v>
      </c>
      <c r="AT7" s="6">
        <v>5.8628248300400303E-2</v>
      </c>
      <c r="AU7" s="7">
        <v>44231</v>
      </c>
      <c r="AV7" s="7">
        <v>71136</v>
      </c>
      <c r="AW7" s="7">
        <v>664420</v>
      </c>
      <c r="AX7" s="5">
        <v>151638</v>
      </c>
      <c r="AY7" s="5">
        <v>158886</v>
      </c>
      <c r="AZ7" s="6">
        <v>4.7798045344834401E-2</v>
      </c>
      <c r="BA7" s="6">
        <v>0.55085860475219295</v>
      </c>
      <c r="BB7" s="6">
        <v>0.135671797306744</v>
      </c>
      <c r="BC7" s="6">
        <v>8.5803030902544195E-2</v>
      </c>
      <c r="BD7" s="6">
        <v>0.16221527585433701</v>
      </c>
      <c r="BE7" s="8">
        <v>0.158957517245018</v>
      </c>
      <c r="BF7" s="10">
        <v>82831</v>
      </c>
      <c r="BG7" s="11">
        <v>27266</v>
      </c>
      <c r="BH7" s="11">
        <v>19127</v>
      </c>
      <c r="BI7" s="11">
        <v>8401</v>
      </c>
      <c r="BJ7" s="12">
        <v>0.32917627458318699</v>
      </c>
      <c r="BK7" s="12">
        <v>0.23091596141541201</v>
      </c>
      <c r="BL7" s="12">
        <v>0.101423380135457</v>
      </c>
      <c r="BM7" s="12">
        <v>9.8260313167775407E-2</v>
      </c>
      <c r="BN7" s="12">
        <v>0.129492581279956</v>
      </c>
      <c r="BO7" s="12">
        <v>4.0830123987396001E-2</v>
      </c>
      <c r="BP7" s="12">
        <v>6.0593256148060499E-2</v>
      </c>
      <c r="BQ7" s="13">
        <v>46794</v>
      </c>
      <c r="BR7" s="13">
        <v>73232</v>
      </c>
      <c r="BS7" s="13">
        <v>715220</v>
      </c>
      <c r="BT7" s="11">
        <v>201735</v>
      </c>
      <c r="BU7" s="11">
        <v>211035</v>
      </c>
      <c r="BV7" s="12">
        <v>4.6100081790467699E-2</v>
      </c>
      <c r="BW7" s="12">
        <v>0.51450433599727896</v>
      </c>
      <c r="BX7" s="12">
        <v>0.124301682900835</v>
      </c>
      <c r="BY7" s="12">
        <v>7.6773985674275694E-2</v>
      </c>
      <c r="BZ7" s="12">
        <v>0.20449599722408099</v>
      </c>
      <c r="CA7" s="14">
        <v>0.181956527127172</v>
      </c>
      <c r="CB7" s="86">
        <f t="shared" ref="CB7:CB19" si="4">IF(SUM(CC7:CF7)=0,"",SUM(CC7:CF7))</f>
        <v>16822065.29999942</v>
      </c>
      <c r="CC7" s="83">
        <v>5054787.8699998399</v>
      </c>
      <c r="CD7" s="83">
        <v>8438502.5299995802</v>
      </c>
      <c r="CE7" s="83">
        <v>2307306.5999999898</v>
      </c>
      <c r="CF7" s="83">
        <v>1021468.3000000099</v>
      </c>
      <c r="CG7" s="90">
        <f t="shared" ref="CG7:CI38" si="5">IFERROR(CC7/$CB7,"")</f>
        <v>0.30048556939081755</v>
      </c>
      <c r="CH7" s="90">
        <f t="shared" si="5"/>
        <v>0.50163296714820571</v>
      </c>
      <c r="CI7" s="90">
        <f t="shared" si="0"/>
        <v>0.13715953177283585</v>
      </c>
      <c r="CK7" s="86">
        <f t="shared" si="1"/>
        <v>16704615</v>
      </c>
      <c r="CL7" s="83">
        <v>4911848</v>
      </c>
      <c r="CM7" s="83">
        <v>8487558</v>
      </c>
      <c r="CN7" s="83">
        <v>2319177</v>
      </c>
      <c r="CO7" s="83">
        <v>986032</v>
      </c>
      <c r="CP7" s="90">
        <f t="shared" si="2"/>
        <v>0.29404137718828</v>
      </c>
      <c r="CQ7" s="90">
        <f t="shared" si="2"/>
        <v>0.50809659486315606</v>
      </c>
      <c r="CR7" s="90">
        <f t="shared" si="2"/>
        <v>0.13883450770939648</v>
      </c>
    </row>
    <row r="8" spans="1:97" ht="37.5" thickTop="1" thickBot="1" x14ac:dyDescent="0.3">
      <c r="A8" s="3" t="s">
        <v>292</v>
      </c>
      <c r="B8" s="3">
        <v>604</v>
      </c>
      <c r="C8" s="3" t="s">
        <v>96</v>
      </c>
      <c r="D8" s="16">
        <v>37576</v>
      </c>
      <c r="E8" s="16" t="s">
        <v>535</v>
      </c>
      <c r="F8" s="16" t="s">
        <v>376</v>
      </c>
      <c r="G8" s="17">
        <v>12653</v>
      </c>
      <c r="H8" s="17">
        <v>15000</v>
      </c>
      <c r="I8" s="17" t="s">
        <v>584</v>
      </c>
      <c r="J8" s="18"/>
      <c r="K8" s="18" t="s">
        <v>598</v>
      </c>
      <c r="L8" s="18"/>
      <c r="M8" s="18" t="s">
        <v>598</v>
      </c>
      <c r="N8" s="10">
        <v>32483</v>
      </c>
      <c r="O8" s="11">
        <v>11350</v>
      </c>
      <c r="P8" s="11">
        <v>8060</v>
      </c>
      <c r="Q8" s="11">
        <v>4510</v>
      </c>
      <c r="R8" s="12">
        <v>0.34941353938983499</v>
      </c>
      <c r="S8" s="12">
        <v>0.248129790967583</v>
      </c>
      <c r="T8" s="12">
        <v>0.138841855739925</v>
      </c>
      <c r="U8" s="12">
        <v>0.101283748422252</v>
      </c>
      <c r="V8" s="12">
        <v>0.10928793522765801</v>
      </c>
      <c r="W8" s="12">
        <v>5.0364806206323297E-2</v>
      </c>
      <c r="X8" s="12">
        <v>8.8477049533602206E-2</v>
      </c>
      <c r="Y8" s="13">
        <v>50373</v>
      </c>
      <c r="Z8" s="13">
        <v>84258</v>
      </c>
      <c r="AA8" s="13">
        <v>926716</v>
      </c>
      <c r="AB8" s="11">
        <v>70705</v>
      </c>
      <c r="AC8" s="11">
        <v>73737</v>
      </c>
      <c r="AD8" s="12">
        <v>4.2882398698818998E-2</v>
      </c>
      <c r="AE8" s="12">
        <v>0.47921934260429799</v>
      </c>
      <c r="AF8" s="12">
        <v>0.127713740188105</v>
      </c>
      <c r="AG8" s="12">
        <v>3.4226716639558702E-2</v>
      </c>
      <c r="AH8" s="12">
        <v>0.248483134148929</v>
      </c>
      <c r="AI8" s="14">
        <v>0.23972844919029801</v>
      </c>
      <c r="AJ8" s="4">
        <v>71373</v>
      </c>
      <c r="AK8" s="5">
        <v>21822</v>
      </c>
      <c r="AL8" s="5">
        <v>14304</v>
      </c>
      <c r="AM8" s="5">
        <v>7498</v>
      </c>
      <c r="AN8" s="6">
        <v>0.305745870287083</v>
      </c>
      <c r="AO8" s="6">
        <v>0.20041192047412901</v>
      </c>
      <c r="AP8" s="6">
        <v>0.105053731803343</v>
      </c>
      <c r="AQ8" s="6">
        <v>0.10533394981295401</v>
      </c>
      <c r="AR8" s="6">
        <v>9.5358188670785896E-2</v>
      </c>
      <c r="AS8" s="6">
        <v>4.0967873005197997E-2</v>
      </c>
      <c r="AT8" s="6">
        <v>6.4085858798145004E-2</v>
      </c>
      <c r="AU8" s="7">
        <v>45069</v>
      </c>
      <c r="AV8" s="7">
        <v>73176</v>
      </c>
      <c r="AW8" s="7">
        <v>689835</v>
      </c>
      <c r="AX8" s="5">
        <v>171787</v>
      </c>
      <c r="AY8" s="5">
        <v>179006</v>
      </c>
      <c r="AZ8" s="6">
        <v>4.2022970306251302E-2</v>
      </c>
      <c r="BA8" s="6">
        <v>0.39928603380375599</v>
      </c>
      <c r="BB8" s="6">
        <v>0.14355568232753399</v>
      </c>
      <c r="BC8" s="6">
        <v>3.3966481747745803E-2</v>
      </c>
      <c r="BD8" s="6">
        <v>0.33328482364789003</v>
      </c>
      <c r="BE8" s="8">
        <v>0.22628021910854701</v>
      </c>
      <c r="BF8" s="10">
        <v>105369</v>
      </c>
      <c r="BG8" s="11">
        <v>33150</v>
      </c>
      <c r="BH8" s="11">
        <v>21443</v>
      </c>
      <c r="BI8" s="11">
        <v>10594</v>
      </c>
      <c r="BJ8" s="12">
        <v>0.31460866099137302</v>
      </c>
      <c r="BK8" s="12">
        <v>0.203503876851825</v>
      </c>
      <c r="BL8" s="12">
        <v>0.100541905114407</v>
      </c>
      <c r="BM8" s="12">
        <v>0.111104784139548</v>
      </c>
      <c r="BN8" s="12">
        <v>0.102961971737418</v>
      </c>
      <c r="BO8" s="12">
        <v>4.4111645740208198E-2</v>
      </c>
      <c r="BP8" s="12">
        <v>5.6430259374199203E-2</v>
      </c>
      <c r="BQ8" s="13">
        <v>47322</v>
      </c>
      <c r="BR8" s="13">
        <v>72440</v>
      </c>
      <c r="BS8" s="13">
        <v>658704</v>
      </c>
      <c r="BT8" s="11">
        <v>262125</v>
      </c>
      <c r="BU8" s="11">
        <v>274041</v>
      </c>
      <c r="BV8" s="12">
        <v>4.5459227467811197E-2</v>
      </c>
      <c r="BW8" s="12">
        <v>0.37635483833890798</v>
      </c>
      <c r="BX8" s="12">
        <v>0.161579399141631</v>
      </c>
      <c r="BY8" s="12">
        <v>3.1042441583214099E-2</v>
      </c>
      <c r="BZ8" s="12">
        <v>0.32419647114926098</v>
      </c>
      <c r="CA8" s="14">
        <v>0.22892131616595099</v>
      </c>
      <c r="CB8" s="86">
        <f t="shared" si="4"/>
        <v>11237253.606666427</v>
      </c>
      <c r="CC8" s="83">
        <v>8031481.3666664297</v>
      </c>
      <c r="CD8" s="83">
        <v>132572.46</v>
      </c>
      <c r="CE8" s="83">
        <v>2196676.5599999898</v>
      </c>
      <c r="CF8" s="83">
        <v>876523.220000008</v>
      </c>
      <c r="CG8" s="90">
        <f t="shared" si="5"/>
        <v>0.71471924082071137</v>
      </c>
      <c r="CH8" s="90">
        <f t="shared" si="5"/>
        <v>1.179758548132724E-2</v>
      </c>
      <c r="CI8" s="90">
        <f t="shared" si="0"/>
        <v>0.1954816218347894</v>
      </c>
      <c r="CK8" s="86">
        <f t="shared" si="1"/>
        <v>11046004</v>
      </c>
      <c r="CL8" s="83">
        <v>7892051</v>
      </c>
      <c r="CM8" s="83">
        <v>162642</v>
      </c>
      <c r="CN8" s="83">
        <v>2107341</v>
      </c>
      <c r="CO8" s="83">
        <v>883970</v>
      </c>
      <c r="CP8" s="90">
        <f t="shared" si="2"/>
        <v>0.71447113363348413</v>
      </c>
      <c r="CQ8" s="90">
        <f t="shared" si="2"/>
        <v>1.472405767732838E-2</v>
      </c>
      <c r="CR8" s="90">
        <f t="shared" si="2"/>
        <v>0.19077858382090029</v>
      </c>
    </row>
    <row r="9" spans="1:97" ht="37.5" thickTop="1" thickBot="1" x14ac:dyDescent="0.3">
      <c r="A9" s="3" t="s">
        <v>296</v>
      </c>
      <c r="B9" s="3">
        <v>1001</v>
      </c>
      <c r="C9" s="3" t="s">
        <v>154</v>
      </c>
      <c r="D9" s="16">
        <v>39709</v>
      </c>
      <c r="E9" s="16" t="s">
        <v>551</v>
      </c>
      <c r="F9" s="16" t="s">
        <v>425</v>
      </c>
      <c r="G9" s="17">
        <v>18648</v>
      </c>
      <c r="H9" s="17">
        <v>22179</v>
      </c>
      <c r="I9" s="17" t="s">
        <v>584</v>
      </c>
      <c r="J9" s="18"/>
      <c r="K9" s="18" t="s">
        <v>598</v>
      </c>
      <c r="L9" s="18"/>
      <c r="M9" s="18" t="s">
        <v>598</v>
      </c>
      <c r="N9" s="10">
        <v>45417</v>
      </c>
      <c r="O9" s="11">
        <v>11229</v>
      </c>
      <c r="P9" s="11">
        <v>7242</v>
      </c>
      <c r="Q9" s="11">
        <v>3123</v>
      </c>
      <c r="R9" s="12">
        <v>0.247242222075434</v>
      </c>
      <c r="S9" s="12">
        <v>0.15945571041680401</v>
      </c>
      <c r="T9" s="12">
        <v>6.8762798071206804E-2</v>
      </c>
      <c r="U9" s="12">
        <v>8.7786511658629995E-2</v>
      </c>
      <c r="V9" s="12">
        <v>9.0692912345597496E-2</v>
      </c>
      <c r="W9" s="12">
        <v>3.34896624611929E-2</v>
      </c>
      <c r="X9" s="12">
        <v>3.5273135610013898E-2</v>
      </c>
      <c r="Y9" s="13">
        <v>39075</v>
      </c>
      <c r="Z9" s="13">
        <v>60521</v>
      </c>
      <c r="AA9" s="13">
        <v>359974</v>
      </c>
      <c r="AB9" s="11">
        <v>101820</v>
      </c>
      <c r="AC9" s="11">
        <v>104958</v>
      </c>
      <c r="AD9" s="12">
        <v>3.0819092516205099E-2</v>
      </c>
      <c r="AE9" s="12">
        <v>0.31867395118611203</v>
      </c>
      <c r="AF9" s="12">
        <v>0.40029463759575701</v>
      </c>
      <c r="AG9" s="12">
        <v>4.5167943429581602E-2</v>
      </c>
      <c r="AH9" s="12">
        <v>4.2918876448634798E-2</v>
      </c>
      <c r="AI9" s="14">
        <v>0.22277548615203299</v>
      </c>
      <c r="AJ9" s="4">
        <v>104841</v>
      </c>
      <c r="AK9" s="5">
        <v>31237</v>
      </c>
      <c r="AL9" s="5">
        <v>20464</v>
      </c>
      <c r="AM9" s="5">
        <v>9250</v>
      </c>
      <c r="AN9" s="6">
        <v>0.29794641409372302</v>
      </c>
      <c r="AO9" s="6">
        <v>0.195190812754552</v>
      </c>
      <c r="AP9" s="6">
        <v>8.8228841769918298E-2</v>
      </c>
      <c r="AQ9" s="6">
        <v>0.102755601339171</v>
      </c>
      <c r="AR9" s="6">
        <v>0.106961970984634</v>
      </c>
      <c r="AS9" s="6">
        <v>4.1787087112866099E-2</v>
      </c>
      <c r="AT9" s="6">
        <v>4.6441754657052102E-2</v>
      </c>
      <c r="AU9" s="7">
        <v>43730</v>
      </c>
      <c r="AV9" s="7">
        <v>67808</v>
      </c>
      <c r="AW9" s="7">
        <v>519532</v>
      </c>
      <c r="AX9" s="5">
        <v>239036</v>
      </c>
      <c r="AY9" s="5">
        <v>248005</v>
      </c>
      <c r="AZ9" s="6">
        <v>3.7521544871902103E-2</v>
      </c>
      <c r="BA9" s="6">
        <v>0.37928964420321698</v>
      </c>
      <c r="BB9" s="6">
        <v>0.36082431098244599</v>
      </c>
      <c r="BC9" s="6">
        <v>4.8959152596261699E-2</v>
      </c>
      <c r="BD9" s="6">
        <v>4.1131879716862697E-2</v>
      </c>
      <c r="BE9" s="8">
        <v>0.22448501480948499</v>
      </c>
      <c r="BF9" s="10">
        <v>160824</v>
      </c>
      <c r="BG9" s="11">
        <v>52154</v>
      </c>
      <c r="BH9" s="11">
        <v>34067</v>
      </c>
      <c r="BI9" s="11">
        <v>15343</v>
      </c>
      <c r="BJ9" s="12">
        <v>0.32429239417002398</v>
      </c>
      <c r="BK9" s="12">
        <v>0.21182783664129701</v>
      </c>
      <c r="BL9" s="12">
        <v>9.5402427498383305E-2</v>
      </c>
      <c r="BM9" s="12">
        <v>0.112464557528727</v>
      </c>
      <c r="BN9" s="12">
        <v>0.11642540914291399</v>
      </c>
      <c r="BO9" s="12">
        <v>4.6553996915883203E-2</v>
      </c>
      <c r="BP9" s="12">
        <v>4.8848430582500102E-2</v>
      </c>
      <c r="BQ9" s="13">
        <v>48044</v>
      </c>
      <c r="BR9" s="13">
        <v>71484</v>
      </c>
      <c r="BS9" s="13">
        <v>609118</v>
      </c>
      <c r="BT9" s="11">
        <v>373097</v>
      </c>
      <c r="BU9" s="11">
        <v>386373</v>
      </c>
      <c r="BV9" s="12">
        <v>3.5583239747304297E-2</v>
      </c>
      <c r="BW9" s="12">
        <v>0.37755355479664698</v>
      </c>
      <c r="BX9" s="12">
        <v>0.375090124016007</v>
      </c>
      <c r="BY9" s="12">
        <v>4.2672548961798097E-2</v>
      </c>
      <c r="BZ9" s="12">
        <v>4.1943516029343597E-2</v>
      </c>
      <c r="CA9" s="14">
        <v>0.23771566107473399</v>
      </c>
      <c r="CB9" s="86">
        <f t="shared" si="4"/>
        <v>31039332.905221131</v>
      </c>
      <c r="CC9" s="83">
        <v>11463463.705888599</v>
      </c>
      <c r="CD9" s="83">
        <v>13640823.085999301</v>
      </c>
      <c r="CE9" s="83">
        <v>4271851.8033332303</v>
      </c>
      <c r="CF9" s="83">
        <v>1663194.31</v>
      </c>
      <c r="CG9" s="90">
        <f t="shared" si="5"/>
        <v>0.36932055662705071</v>
      </c>
      <c r="CH9" s="90">
        <f t="shared" si="5"/>
        <v>0.43946895146399156</v>
      </c>
      <c r="CI9" s="90">
        <f t="shared" si="0"/>
        <v>0.13762704940783896</v>
      </c>
      <c r="CK9" s="86">
        <f t="shared" si="1"/>
        <v>30569461</v>
      </c>
      <c r="CL9" s="83">
        <v>11145742</v>
      </c>
      <c r="CM9" s="83">
        <v>13497478</v>
      </c>
      <c r="CN9" s="83">
        <v>4250855</v>
      </c>
      <c r="CO9" s="83">
        <v>1675386</v>
      </c>
      <c r="CP9" s="90">
        <f t="shared" si="2"/>
        <v>0.36460381162755862</v>
      </c>
      <c r="CQ9" s="90">
        <f t="shared" si="2"/>
        <v>0.44153470681082668</v>
      </c>
      <c r="CR9" s="90">
        <f t="shared" si="2"/>
        <v>0.13905560847147419</v>
      </c>
    </row>
    <row r="10" spans="1:97" ht="37.5" thickTop="1" thickBot="1" x14ac:dyDescent="0.3">
      <c r="A10" s="3" t="s">
        <v>305</v>
      </c>
      <c r="B10" s="3">
        <v>1904</v>
      </c>
      <c r="C10" s="3" t="s">
        <v>254</v>
      </c>
      <c r="D10" s="16">
        <v>44077</v>
      </c>
      <c r="E10" s="16" t="s">
        <v>570</v>
      </c>
      <c r="F10" s="16" t="s">
        <v>505</v>
      </c>
      <c r="G10" s="17">
        <v>20869</v>
      </c>
      <c r="H10" s="17">
        <v>22889</v>
      </c>
      <c r="I10" s="17" t="s">
        <v>585</v>
      </c>
      <c r="J10" s="18"/>
      <c r="K10" s="18" t="s">
        <v>598</v>
      </c>
      <c r="L10" s="18"/>
      <c r="M10" s="18" t="s">
        <v>598</v>
      </c>
      <c r="N10" s="10">
        <v>36042</v>
      </c>
      <c r="O10" s="11">
        <v>13768</v>
      </c>
      <c r="P10" s="11">
        <v>10524</v>
      </c>
      <c r="Q10" s="11">
        <v>5638</v>
      </c>
      <c r="R10" s="12">
        <v>0.381998779202042</v>
      </c>
      <c r="S10" s="12">
        <v>0.29199267521225197</v>
      </c>
      <c r="T10" s="12">
        <v>0.15642861106486899</v>
      </c>
      <c r="U10" s="12">
        <v>9.0006103989789699E-2</v>
      </c>
      <c r="V10" s="12">
        <v>0.13556406414738401</v>
      </c>
      <c r="W10" s="12">
        <v>6.8392431052660796E-2</v>
      </c>
      <c r="X10" s="12">
        <v>8.8036180012208004E-2</v>
      </c>
      <c r="Y10" s="13">
        <v>53931</v>
      </c>
      <c r="Z10" s="13">
        <v>89586</v>
      </c>
      <c r="AA10" s="13">
        <v>968930</v>
      </c>
      <c r="AB10" s="11">
        <v>87321</v>
      </c>
      <c r="AC10" s="11">
        <v>87358</v>
      </c>
      <c r="AD10" s="12">
        <v>4.2372396101739601E-4</v>
      </c>
      <c r="AE10" s="12">
        <v>0.43952848046807802</v>
      </c>
      <c r="AF10" s="12">
        <v>4.4491015906826498E-2</v>
      </c>
      <c r="AG10" s="12">
        <v>3.6875436607459802E-2</v>
      </c>
      <c r="AH10" s="12">
        <v>0.46284398941835297</v>
      </c>
      <c r="AI10" s="14">
        <v>0.245004065459626</v>
      </c>
      <c r="AJ10" s="4">
        <v>107853</v>
      </c>
      <c r="AK10" s="5">
        <v>33726</v>
      </c>
      <c r="AL10" s="5">
        <v>23231</v>
      </c>
      <c r="AM10" s="5">
        <v>10749</v>
      </c>
      <c r="AN10" s="6">
        <v>0.31270340185252099</v>
      </c>
      <c r="AO10" s="6">
        <v>0.21539502841830999</v>
      </c>
      <c r="AP10" s="6">
        <v>9.9663430780785003E-2</v>
      </c>
      <c r="AQ10" s="6">
        <v>9.7308373434211407E-2</v>
      </c>
      <c r="AR10" s="6">
        <v>0.115731597637525</v>
      </c>
      <c r="AS10" s="6">
        <v>4.4885167774656197E-2</v>
      </c>
      <c r="AT10" s="6">
        <v>5.4778263006128702E-2</v>
      </c>
      <c r="AU10" s="7">
        <v>46229</v>
      </c>
      <c r="AV10" s="7">
        <v>72732</v>
      </c>
      <c r="AW10" s="7">
        <v>556193</v>
      </c>
      <c r="AX10" s="5">
        <v>273611</v>
      </c>
      <c r="AY10" s="5">
        <v>274651</v>
      </c>
      <c r="AZ10" s="6">
        <v>3.8010167719865098E-3</v>
      </c>
      <c r="BA10" s="6">
        <v>0.35375104058121198</v>
      </c>
      <c r="BB10" s="6">
        <v>5.2450376629594599E-2</v>
      </c>
      <c r="BC10" s="6">
        <v>4.4435347994049898E-2</v>
      </c>
      <c r="BD10" s="6">
        <v>0.54742316646626099</v>
      </c>
      <c r="BE10" s="8">
        <v>0.21688090025620299</v>
      </c>
      <c r="BF10" s="10">
        <v>191461</v>
      </c>
      <c r="BG10" s="11">
        <v>62094</v>
      </c>
      <c r="BH10" s="11">
        <v>42244</v>
      </c>
      <c r="BI10" s="11">
        <v>18852</v>
      </c>
      <c r="BJ10" s="12">
        <v>0.32431670157368903</v>
      </c>
      <c r="BK10" s="12">
        <v>0.22064023482589101</v>
      </c>
      <c r="BL10" s="12">
        <v>9.8463916933474699E-2</v>
      </c>
      <c r="BM10" s="12">
        <v>0.103676466747797</v>
      </c>
      <c r="BN10" s="12">
        <v>0.12217631789241699</v>
      </c>
      <c r="BO10" s="12">
        <v>4.7492700863361201E-2</v>
      </c>
      <c r="BP10" s="12">
        <v>5.0971216070113498E-2</v>
      </c>
      <c r="BQ10" s="13">
        <v>48088</v>
      </c>
      <c r="BR10" s="13">
        <v>72517</v>
      </c>
      <c r="BS10" s="13">
        <v>493854</v>
      </c>
      <c r="BT10" s="11">
        <v>471517</v>
      </c>
      <c r="BU10" s="11">
        <v>474743</v>
      </c>
      <c r="BV10" s="12">
        <v>6.8417469571616703E-3</v>
      </c>
      <c r="BW10" s="12">
        <v>0.37223574863673897</v>
      </c>
      <c r="BX10" s="12">
        <v>5.8388138709739003E-2</v>
      </c>
      <c r="BY10" s="12">
        <v>5.5794382811224202E-2</v>
      </c>
      <c r="BZ10" s="12">
        <v>0.483876509224482</v>
      </c>
      <c r="CA10" s="14">
        <v>0.21311638816840101</v>
      </c>
      <c r="CB10" s="86">
        <f t="shared" si="4"/>
        <v>17089008.829999402</v>
      </c>
      <c r="CC10" s="83">
        <v>5988744.9199997904</v>
      </c>
      <c r="CD10" s="83">
        <v>6955342.8799996804</v>
      </c>
      <c r="CE10" s="83">
        <v>2969171.2799999202</v>
      </c>
      <c r="CF10" s="83">
        <v>1175749.75000001</v>
      </c>
      <c r="CG10" s="90">
        <f t="shared" si="5"/>
        <v>0.35044425218428538</v>
      </c>
      <c r="CH10" s="90">
        <f t="shared" si="5"/>
        <v>0.40700680473578549</v>
      </c>
      <c r="CI10" s="90">
        <f t="shared" si="0"/>
        <v>0.17374742499913753</v>
      </c>
      <c r="CK10" s="86">
        <f t="shared" si="1"/>
        <v>16817708</v>
      </c>
      <c r="CL10" s="83">
        <v>5763972</v>
      </c>
      <c r="CM10" s="83">
        <v>6972180</v>
      </c>
      <c r="CN10" s="83">
        <v>2911662</v>
      </c>
      <c r="CO10" s="83">
        <v>1169894</v>
      </c>
      <c r="CP10" s="90">
        <f t="shared" si="2"/>
        <v>0.34273231524771391</v>
      </c>
      <c r="CQ10" s="90">
        <f t="shared" si="2"/>
        <v>0.41457373382865254</v>
      </c>
      <c r="CR10" s="90">
        <f t="shared" si="2"/>
        <v>0.17313072625592024</v>
      </c>
    </row>
    <row r="11" spans="1:97" ht="37.5" thickTop="1" thickBot="1" x14ac:dyDescent="0.3">
      <c r="A11" s="3" t="s">
        <v>295</v>
      </c>
      <c r="B11" s="3">
        <v>937</v>
      </c>
      <c r="C11" s="3" t="s">
        <v>152</v>
      </c>
      <c r="D11" s="16">
        <v>44700</v>
      </c>
      <c r="E11" s="16" t="s">
        <v>595</v>
      </c>
      <c r="F11" s="16" t="s">
        <v>639</v>
      </c>
      <c r="G11" s="17">
        <v>26865</v>
      </c>
      <c r="H11" s="17">
        <v>36000</v>
      </c>
      <c r="I11" s="17" t="s">
        <v>585</v>
      </c>
      <c r="J11" s="18"/>
      <c r="K11" s="18" t="s">
        <v>598</v>
      </c>
      <c r="L11" s="18"/>
      <c r="M11" s="18" t="s">
        <v>598</v>
      </c>
      <c r="N11" s="10">
        <v>27342</v>
      </c>
      <c r="O11" s="11">
        <v>8890</v>
      </c>
      <c r="P11" s="11">
        <v>5836</v>
      </c>
      <c r="Q11" s="11">
        <v>2428</v>
      </c>
      <c r="R11" s="12">
        <v>0.325140809011777</v>
      </c>
      <c r="S11" s="12">
        <v>0.21344451759198299</v>
      </c>
      <c r="T11" s="12">
        <v>8.8801111842586503E-2</v>
      </c>
      <c r="U11" s="12">
        <v>0.11169629141979399</v>
      </c>
      <c r="V11" s="12">
        <v>0.124643405749397</v>
      </c>
      <c r="W11" s="12">
        <v>4.3230195303928E-2</v>
      </c>
      <c r="X11" s="12">
        <v>4.5570916538658503E-2</v>
      </c>
      <c r="Y11" s="13">
        <v>51105</v>
      </c>
      <c r="Z11" s="13">
        <v>71517</v>
      </c>
      <c r="AA11" s="13">
        <v>621925</v>
      </c>
      <c r="AB11" s="11">
        <v>65243</v>
      </c>
      <c r="AC11" s="11">
        <v>66916</v>
      </c>
      <c r="AD11" s="12">
        <v>2.5642597673313599E-2</v>
      </c>
      <c r="AE11" s="12">
        <v>0.34185233246090602</v>
      </c>
      <c r="AF11" s="12">
        <v>6.2857318026454903E-2</v>
      </c>
      <c r="AG11" s="12">
        <v>3.4486458317367401E-2</v>
      </c>
      <c r="AH11" s="12">
        <v>0.21743328786229901</v>
      </c>
      <c r="AI11" s="14">
        <v>0.238799564704259</v>
      </c>
      <c r="AJ11" s="4">
        <v>57919</v>
      </c>
      <c r="AK11" s="5">
        <v>17065</v>
      </c>
      <c r="AL11" s="5">
        <v>11256</v>
      </c>
      <c r="AM11" s="5">
        <v>4583</v>
      </c>
      <c r="AN11" s="6">
        <v>0.29463561180268999</v>
      </c>
      <c r="AO11" s="6">
        <v>0.194340371898686</v>
      </c>
      <c r="AP11" s="6">
        <v>7.9127747371328896E-2</v>
      </c>
      <c r="AQ11" s="6">
        <v>0.100295239904004</v>
      </c>
      <c r="AR11" s="6">
        <v>0.115212624527357</v>
      </c>
      <c r="AS11" s="6">
        <v>3.6136673630414902E-2</v>
      </c>
      <c r="AT11" s="6">
        <v>4.2991073740914001E-2</v>
      </c>
      <c r="AU11" s="7">
        <v>47357</v>
      </c>
      <c r="AV11" s="7">
        <v>67848</v>
      </c>
      <c r="AW11" s="7">
        <v>507951</v>
      </c>
      <c r="AX11" s="5">
        <v>140682</v>
      </c>
      <c r="AY11" s="5">
        <v>145127</v>
      </c>
      <c r="AZ11" s="6">
        <v>3.1596081943674401E-2</v>
      </c>
      <c r="BA11" s="6">
        <v>0.30623394626330203</v>
      </c>
      <c r="BB11" s="6">
        <v>5.9979243968666898E-2</v>
      </c>
      <c r="BC11" s="6">
        <v>3.2200281485904397E-2</v>
      </c>
      <c r="BD11" s="6">
        <v>0.31128360415689299</v>
      </c>
      <c r="BE11" s="8">
        <v>0.24284556659700601</v>
      </c>
      <c r="BF11" s="10">
        <v>81663</v>
      </c>
      <c r="BG11" s="11">
        <v>23714</v>
      </c>
      <c r="BH11" s="11">
        <v>15132</v>
      </c>
      <c r="BI11" s="11">
        <v>5743</v>
      </c>
      <c r="BJ11" s="12">
        <v>0.29038854805726</v>
      </c>
      <c r="BK11" s="12">
        <v>0.18529811542559099</v>
      </c>
      <c r="BL11" s="12">
        <v>7.0325606455800105E-2</v>
      </c>
      <c r="BM11" s="12">
        <v>0.10509043263166901</v>
      </c>
      <c r="BN11" s="12">
        <v>0.11497250896979</v>
      </c>
      <c r="BO11" s="12">
        <v>3.3344354236312601E-2</v>
      </c>
      <c r="BP11" s="12">
        <v>3.69812522194874E-2</v>
      </c>
      <c r="BQ11" s="13">
        <v>48203</v>
      </c>
      <c r="BR11" s="13">
        <v>66625</v>
      </c>
      <c r="BS11" s="13">
        <v>473512</v>
      </c>
      <c r="BT11" s="11">
        <v>199851</v>
      </c>
      <c r="BU11" s="11">
        <v>206167</v>
      </c>
      <c r="BV11" s="12">
        <v>3.1603544640757403E-2</v>
      </c>
      <c r="BW11" s="12">
        <v>0.27844746699900402</v>
      </c>
      <c r="BX11" s="12">
        <v>6.0019714687442098E-2</v>
      </c>
      <c r="BY11" s="12">
        <v>3.3685095396070099E-2</v>
      </c>
      <c r="BZ11" s="12">
        <v>0.28551270696669001</v>
      </c>
      <c r="CA11" s="14">
        <v>0.24455719511035701</v>
      </c>
      <c r="CB11" s="86">
        <f t="shared" si="4"/>
        <v>20242586.553332441</v>
      </c>
      <c r="CC11" s="83">
        <v>7318219.0833329801</v>
      </c>
      <c r="CD11" s="83">
        <v>9415048.70999947</v>
      </c>
      <c r="CE11" s="83">
        <v>2360653.2099999799</v>
      </c>
      <c r="CF11" s="83">
        <v>1148665.5500000101</v>
      </c>
      <c r="CG11" s="90">
        <f t="shared" si="5"/>
        <v>0.36152588820860032</v>
      </c>
      <c r="CH11" s="90">
        <f t="shared" si="5"/>
        <v>0.46511095235749483</v>
      </c>
      <c r="CI11" s="90">
        <f t="shared" si="0"/>
        <v>0.1166181606179847</v>
      </c>
      <c r="CK11" s="86">
        <f t="shared" si="1"/>
        <v>22774699</v>
      </c>
      <c r="CL11" s="83">
        <v>7946150</v>
      </c>
      <c r="CM11" s="83">
        <v>10996876</v>
      </c>
      <c r="CN11" s="83">
        <v>2645871</v>
      </c>
      <c r="CO11" s="83">
        <v>1185802</v>
      </c>
      <c r="CP11" s="90">
        <f t="shared" si="2"/>
        <v>0.34890252556136964</v>
      </c>
      <c r="CQ11" s="90">
        <f t="shared" si="2"/>
        <v>0.4828549435494186</v>
      </c>
      <c r="CR11" s="90">
        <f t="shared" si="2"/>
        <v>0.11617589325768916</v>
      </c>
      <c r="CS11" s="153">
        <f>CK11/CB11-1</f>
        <v>0.12508838433252056</v>
      </c>
    </row>
    <row r="12" spans="1:97" ht="49.5" thickTop="1" thickBot="1" x14ac:dyDescent="0.3">
      <c r="A12" s="3" t="s">
        <v>296</v>
      </c>
      <c r="B12" s="3">
        <v>1009</v>
      </c>
      <c r="C12" s="3" t="s">
        <v>162</v>
      </c>
      <c r="D12" s="16">
        <v>41144</v>
      </c>
      <c r="E12" s="16" t="s">
        <v>551</v>
      </c>
      <c r="F12" s="16" t="s">
        <v>433</v>
      </c>
      <c r="G12" s="17">
        <v>22017</v>
      </c>
      <c r="H12" s="17">
        <v>26179</v>
      </c>
      <c r="I12" s="17" t="s">
        <v>585</v>
      </c>
      <c r="J12" s="18"/>
      <c r="K12" s="18" t="s">
        <v>598</v>
      </c>
      <c r="L12" s="18"/>
      <c r="M12" s="18" t="s">
        <v>598</v>
      </c>
      <c r="N12" s="10">
        <v>54861</v>
      </c>
      <c r="O12" s="11">
        <v>14816</v>
      </c>
      <c r="P12" s="11">
        <v>7756</v>
      </c>
      <c r="Q12" s="11">
        <v>2574</v>
      </c>
      <c r="R12" s="12">
        <v>0.27006434443411498</v>
      </c>
      <c r="S12" s="12">
        <v>0.141375476203496</v>
      </c>
      <c r="T12" s="12">
        <v>4.6918576037622402E-2</v>
      </c>
      <c r="U12" s="12">
        <v>0.12868886823061901</v>
      </c>
      <c r="V12" s="12">
        <v>9.4456900165873797E-2</v>
      </c>
      <c r="W12" s="12">
        <v>2.97843641202311E-2</v>
      </c>
      <c r="X12" s="12">
        <v>1.7134211917391201E-2</v>
      </c>
      <c r="Y12" s="13">
        <v>43461</v>
      </c>
      <c r="Z12" s="13">
        <v>58513</v>
      </c>
      <c r="AA12" s="13">
        <v>309490</v>
      </c>
      <c r="AB12" s="11">
        <v>122855</v>
      </c>
      <c r="AC12" s="11">
        <v>125705</v>
      </c>
      <c r="AD12" s="12">
        <v>2.3198079036262299E-2</v>
      </c>
      <c r="AE12" s="12">
        <v>0.30641376167692003</v>
      </c>
      <c r="AF12" s="12">
        <v>0.32913597330186001</v>
      </c>
      <c r="AG12" s="12">
        <v>3.5497130763908702E-2</v>
      </c>
      <c r="AH12" s="12">
        <v>6.7534898864515094E-2</v>
      </c>
      <c r="AI12" s="14">
        <v>0.23760530706930899</v>
      </c>
      <c r="AJ12" s="4">
        <v>115955</v>
      </c>
      <c r="AK12" s="5">
        <v>35670</v>
      </c>
      <c r="AL12" s="5">
        <v>20749</v>
      </c>
      <c r="AM12" s="5">
        <v>8391</v>
      </c>
      <c r="AN12" s="6">
        <v>0.30761933508688699</v>
      </c>
      <c r="AO12" s="6">
        <v>0.17894010607563299</v>
      </c>
      <c r="AP12" s="6">
        <v>7.2364279246259294E-2</v>
      </c>
      <c r="AQ12" s="6">
        <v>0.128679229011254</v>
      </c>
      <c r="AR12" s="6">
        <v>0.106575826829373</v>
      </c>
      <c r="AS12" s="6">
        <v>4.0067267474451301E-2</v>
      </c>
      <c r="AT12" s="6">
        <v>3.2297011771808E-2</v>
      </c>
      <c r="AU12" s="7">
        <v>48071</v>
      </c>
      <c r="AV12" s="7">
        <v>66307</v>
      </c>
      <c r="AW12" s="7">
        <v>459209</v>
      </c>
      <c r="AX12" s="5">
        <v>262438</v>
      </c>
      <c r="AY12" s="5">
        <v>269342</v>
      </c>
      <c r="AZ12" s="6">
        <v>2.6307165882989501E-2</v>
      </c>
      <c r="BA12" s="6">
        <v>0.34406101658755101</v>
      </c>
      <c r="BB12" s="6">
        <v>0.314077991754243</v>
      </c>
      <c r="BC12" s="6">
        <v>3.8786303812709998E-2</v>
      </c>
      <c r="BD12" s="6">
        <v>5.9789359772593899E-2</v>
      </c>
      <c r="BE12" s="8">
        <v>0.24517409826320899</v>
      </c>
      <c r="BF12" s="10">
        <v>185855</v>
      </c>
      <c r="BG12" s="11">
        <v>58997</v>
      </c>
      <c r="BH12" s="11">
        <v>36000</v>
      </c>
      <c r="BI12" s="11">
        <v>15439</v>
      </c>
      <c r="BJ12" s="12">
        <v>0.31743563530709401</v>
      </c>
      <c r="BK12" s="12">
        <v>0.19369938930887001</v>
      </c>
      <c r="BL12" s="12">
        <v>8.3070135320545593E-2</v>
      </c>
      <c r="BM12" s="12">
        <v>0.123736245998224</v>
      </c>
      <c r="BN12" s="12">
        <v>0.110629253988324</v>
      </c>
      <c r="BO12" s="12">
        <v>4.2527777030480801E-2</v>
      </c>
      <c r="BP12" s="12">
        <v>4.0542358290064799E-2</v>
      </c>
      <c r="BQ12" s="13">
        <v>48254</v>
      </c>
      <c r="BR12" s="13">
        <v>68961</v>
      </c>
      <c r="BS12" s="13">
        <v>544409</v>
      </c>
      <c r="BT12" s="11">
        <v>440863</v>
      </c>
      <c r="BU12" s="11">
        <v>455133</v>
      </c>
      <c r="BV12" s="12">
        <v>3.2368332112243499E-2</v>
      </c>
      <c r="BW12" s="12">
        <v>0.34934347496532803</v>
      </c>
      <c r="BX12" s="12">
        <v>0.36687134098348001</v>
      </c>
      <c r="BY12" s="12">
        <v>4.1123886558863003E-2</v>
      </c>
      <c r="BZ12" s="12">
        <v>5.4295778960811003E-2</v>
      </c>
      <c r="CA12" s="14">
        <v>0.234868882169744</v>
      </c>
      <c r="CB12" s="86">
        <f t="shared" si="4"/>
        <v>21884933.643475436</v>
      </c>
      <c r="CC12" s="83">
        <v>6977779.63216649</v>
      </c>
      <c r="CD12" s="83">
        <v>10135144.009999501</v>
      </c>
      <c r="CE12" s="83">
        <v>3360659.4213094502</v>
      </c>
      <c r="CF12" s="83">
        <v>1411350.58</v>
      </c>
      <c r="CG12" s="90">
        <f t="shared" si="5"/>
        <v>0.31883942377164931</v>
      </c>
      <c r="CH12" s="90">
        <f t="shared" si="5"/>
        <v>0.46311056615979712</v>
      </c>
      <c r="CI12" s="90">
        <f t="shared" si="0"/>
        <v>0.15356041174524487</v>
      </c>
      <c r="CK12" s="86">
        <f t="shared" si="1"/>
        <v>21603037</v>
      </c>
      <c r="CL12" s="83">
        <v>6800554</v>
      </c>
      <c r="CM12" s="83">
        <v>10045659</v>
      </c>
      <c r="CN12" s="83">
        <v>3326873</v>
      </c>
      <c r="CO12" s="83">
        <v>1429951</v>
      </c>
      <c r="CP12" s="90">
        <f t="shared" si="2"/>
        <v>0.31479620203400105</v>
      </c>
      <c r="CQ12" s="90">
        <f t="shared" si="2"/>
        <v>0.46501142408819651</v>
      </c>
      <c r="CR12" s="90">
        <f t="shared" si="2"/>
        <v>0.15400024542845528</v>
      </c>
    </row>
    <row r="13" spans="1:97" ht="37.5" thickTop="1" thickBot="1" x14ac:dyDescent="0.3">
      <c r="A13" s="3" t="s">
        <v>295</v>
      </c>
      <c r="B13" s="3">
        <v>912</v>
      </c>
      <c r="C13" s="3" t="s">
        <v>127</v>
      </c>
      <c r="D13" s="16">
        <v>38960</v>
      </c>
      <c r="E13" s="16" t="s">
        <v>545</v>
      </c>
      <c r="F13" s="16" t="s">
        <v>403</v>
      </c>
      <c r="G13" s="17">
        <v>17419</v>
      </c>
      <c r="H13" s="17">
        <v>20790</v>
      </c>
      <c r="I13" s="17" t="s">
        <v>584</v>
      </c>
      <c r="J13" s="18"/>
      <c r="K13" s="18" t="s">
        <v>519</v>
      </c>
      <c r="L13" s="18"/>
      <c r="M13" s="18" t="s">
        <v>598</v>
      </c>
      <c r="N13" s="10">
        <v>73744</v>
      </c>
      <c r="O13" s="11">
        <v>24108</v>
      </c>
      <c r="P13" s="11">
        <v>16397</v>
      </c>
      <c r="Q13" s="11">
        <v>8478</v>
      </c>
      <c r="R13" s="12">
        <v>0.32691473204599703</v>
      </c>
      <c r="S13" s="12">
        <v>0.22235029290518599</v>
      </c>
      <c r="T13" s="12">
        <v>0.114965285311347</v>
      </c>
      <c r="U13" s="12">
        <v>0.104564439140811</v>
      </c>
      <c r="V13" s="12">
        <v>0.107385007593838</v>
      </c>
      <c r="W13" s="12">
        <v>4.4315469733130802E-2</v>
      </c>
      <c r="X13" s="12">
        <v>7.0649815578216493E-2</v>
      </c>
      <c r="Y13" s="13">
        <v>51503</v>
      </c>
      <c r="Z13" s="13">
        <v>78289</v>
      </c>
      <c r="AA13" s="13">
        <v>634378</v>
      </c>
      <c r="AB13" s="11">
        <v>194352</v>
      </c>
      <c r="AC13" s="11">
        <v>201894</v>
      </c>
      <c r="AD13" s="12">
        <v>3.8805877994566598E-2</v>
      </c>
      <c r="AE13" s="12">
        <v>0.31756805702447</v>
      </c>
      <c r="AF13" s="12">
        <v>0.41955318185560198</v>
      </c>
      <c r="AG13" s="12">
        <v>2.4162344611838301E-2</v>
      </c>
      <c r="AH13" s="12">
        <v>0.330662920885815</v>
      </c>
      <c r="AI13" s="14">
        <v>0.24810138305754501</v>
      </c>
      <c r="AJ13" s="4">
        <v>161891</v>
      </c>
      <c r="AK13" s="5">
        <v>54174</v>
      </c>
      <c r="AL13" s="5">
        <v>36753</v>
      </c>
      <c r="AM13" s="5">
        <v>18923</v>
      </c>
      <c r="AN13" s="6">
        <v>0.33463256141477898</v>
      </c>
      <c r="AO13" s="6">
        <v>0.22702312049465401</v>
      </c>
      <c r="AP13" s="6">
        <v>0.116887288360687</v>
      </c>
      <c r="AQ13" s="6">
        <v>0.107609440920125</v>
      </c>
      <c r="AR13" s="6">
        <v>0.11013583213396699</v>
      </c>
      <c r="AS13" s="6">
        <v>4.5542988801106903E-2</v>
      </c>
      <c r="AT13" s="6">
        <v>7.1344299559580202E-2</v>
      </c>
      <c r="AU13" s="7">
        <v>52353</v>
      </c>
      <c r="AV13" s="7">
        <v>79268</v>
      </c>
      <c r="AW13" s="7">
        <v>650376</v>
      </c>
      <c r="AX13" s="5">
        <v>432032</v>
      </c>
      <c r="AY13" s="5">
        <v>447112</v>
      </c>
      <c r="AZ13" s="6">
        <v>3.4904821865047002E-2</v>
      </c>
      <c r="BA13" s="6">
        <v>0.315950920245399</v>
      </c>
      <c r="BB13" s="6">
        <v>0.40930532923487201</v>
      </c>
      <c r="BC13" s="6">
        <v>2.0054070068883802E-2</v>
      </c>
      <c r="BD13" s="6">
        <v>0.36431097696466902</v>
      </c>
      <c r="BE13" s="8">
        <v>0.25144433745648498</v>
      </c>
      <c r="BF13" s="10">
        <v>268959</v>
      </c>
      <c r="BG13" s="11">
        <v>82535</v>
      </c>
      <c r="BH13" s="11">
        <v>54897</v>
      </c>
      <c r="BI13" s="11">
        <v>27064</v>
      </c>
      <c r="BJ13" s="12">
        <v>0.30686833309166101</v>
      </c>
      <c r="BK13" s="12">
        <v>0.204109176491584</v>
      </c>
      <c r="BL13" s="12">
        <v>0.100625002323774</v>
      </c>
      <c r="BM13" s="12">
        <v>0.10275915660007701</v>
      </c>
      <c r="BN13" s="12">
        <v>0.10348417416781</v>
      </c>
      <c r="BO13" s="12">
        <v>3.9872248186526599E-2</v>
      </c>
      <c r="BP13" s="12">
        <v>6.0752754137247698E-2</v>
      </c>
      <c r="BQ13" s="13">
        <v>49746</v>
      </c>
      <c r="BR13" s="13">
        <v>73921</v>
      </c>
      <c r="BS13" s="13">
        <v>562209</v>
      </c>
      <c r="BT13" s="11">
        <v>724329</v>
      </c>
      <c r="BU13" s="11">
        <v>749324</v>
      </c>
      <c r="BV13" s="12">
        <v>3.4507799632487499E-2</v>
      </c>
      <c r="BW13" s="12">
        <v>0.28289937076240201</v>
      </c>
      <c r="BX13" s="12">
        <v>0.38467326311662198</v>
      </c>
      <c r="BY13" s="12">
        <v>1.6248141383266398E-2</v>
      </c>
      <c r="BZ13" s="12">
        <v>0.423386334110604</v>
      </c>
      <c r="CA13" s="14">
        <v>0.24803921974682799</v>
      </c>
      <c r="CB13" s="86">
        <f t="shared" si="4"/>
        <v>23469007.442837402</v>
      </c>
      <c r="CC13" s="83">
        <v>9081573.4599212408</v>
      </c>
      <c r="CD13" s="83">
        <v>11279003.6162495</v>
      </c>
      <c r="CE13" s="83">
        <v>1825465.76999999</v>
      </c>
      <c r="CF13" s="83">
        <v>1282964.5966666699</v>
      </c>
      <c r="CG13" s="90">
        <f t="shared" si="5"/>
        <v>0.38696027013672796</v>
      </c>
      <c r="CH13" s="90">
        <f t="shared" si="5"/>
        <v>0.48059142014085399</v>
      </c>
      <c r="CI13" s="90">
        <f t="shared" si="0"/>
        <v>7.7781975843938422E-2</v>
      </c>
      <c r="CK13" s="86">
        <f t="shared" si="1"/>
        <v>23653462</v>
      </c>
      <c r="CL13" s="83">
        <v>9026160</v>
      </c>
      <c r="CM13" s="83">
        <v>11435175</v>
      </c>
      <c r="CN13" s="83">
        <v>1823607</v>
      </c>
      <c r="CO13" s="83">
        <v>1368520</v>
      </c>
      <c r="CP13" s="90">
        <f t="shared" si="2"/>
        <v>0.38159995352900139</v>
      </c>
      <c r="CQ13" s="90">
        <f t="shared" si="2"/>
        <v>0.48344614416274456</v>
      </c>
      <c r="CR13" s="90">
        <f t="shared" si="2"/>
        <v>7.7096832590510422E-2</v>
      </c>
    </row>
    <row r="14" spans="1:97" ht="37.5" thickTop="1" thickBot="1" x14ac:dyDescent="0.3">
      <c r="A14" s="3" t="s">
        <v>295</v>
      </c>
      <c r="B14" s="3">
        <v>926</v>
      </c>
      <c r="C14" s="3" t="s">
        <v>141</v>
      </c>
      <c r="D14" s="16">
        <v>42292</v>
      </c>
      <c r="E14" s="16" t="s">
        <v>545</v>
      </c>
      <c r="F14" s="16" t="s">
        <v>417</v>
      </c>
      <c r="G14" s="17">
        <v>13076</v>
      </c>
      <c r="H14" s="17">
        <v>19105</v>
      </c>
      <c r="I14" s="17" t="s">
        <v>583</v>
      </c>
      <c r="J14" s="18"/>
      <c r="K14" s="18" t="s">
        <v>519</v>
      </c>
      <c r="L14" s="18"/>
      <c r="M14" s="18" t="s">
        <v>598</v>
      </c>
      <c r="N14" s="10">
        <v>32910</v>
      </c>
      <c r="O14" s="11">
        <v>15232</v>
      </c>
      <c r="P14" s="11">
        <v>11816</v>
      </c>
      <c r="Q14" s="11">
        <v>7468</v>
      </c>
      <c r="R14" s="12">
        <v>0.46283804314797899</v>
      </c>
      <c r="S14" s="12">
        <v>0.35903980553023401</v>
      </c>
      <c r="T14" s="12">
        <v>0.226921908234579</v>
      </c>
      <c r="U14" s="12">
        <v>0.103798237617745</v>
      </c>
      <c r="V14" s="12">
        <v>0.13211789729565501</v>
      </c>
      <c r="W14" s="12">
        <v>7.6754785779398399E-2</v>
      </c>
      <c r="X14" s="12">
        <v>0.15016712245518099</v>
      </c>
      <c r="Y14" s="13">
        <v>66779</v>
      </c>
      <c r="Z14" s="13">
        <v>112209</v>
      </c>
      <c r="AA14" s="13">
        <v>657311</v>
      </c>
      <c r="AB14" s="11">
        <v>57707</v>
      </c>
      <c r="AC14" s="11">
        <v>59453</v>
      </c>
      <c r="AD14" s="12">
        <v>3.0256294730275399E-2</v>
      </c>
      <c r="AE14" s="12">
        <v>0.56746977872589599</v>
      </c>
      <c r="AF14" s="12">
        <v>0.55887500649834498</v>
      </c>
      <c r="AG14" s="12">
        <v>2.5490841665655802E-2</v>
      </c>
      <c r="AH14" s="12">
        <v>3.5662917843589201E-2</v>
      </c>
      <c r="AI14" s="14">
        <v>0.232744727676019</v>
      </c>
      <c r="AJ14" s="4">
        <v>121139</v>
      </c>
      <c r="AK14" s="5">
        <v>49602</v>
      </c>
      <c r="AL14" s="5">
        <v>36055</v>
      </c>
      <c r="AM14" s="5">
        <v>20707</v>
      </c>
      <c r="AN14" s="6">
        <v>0.409463508861721</v>
      </c>
      <c r="AO14" s="6">
        <v>0.29763329728658799</v>
      </c>
      <c r="AP14" s="6">
        <v>0.170935867061805</v>
      </c>
      <c r="AQ14" s="6">
        <v>0.111830211575133</v>
      </c>
      <c r="AR14" s="6">
        <v>0.126697430224783</v>
      </c>
      <c r="AS14" s="6">
        <v>6.3439519890373899E-2</v>
      </c>
      <c r="AT14" s="6">
        <v>0.107496347171431</v>
      </c>
      <c r="AU14" s="7">
        <v>58669</v>
      </c>
      <c r="AV14" s="7">
        <v>94460</v>
      </c>
      <c r="AW14" s="7">
        <v>528459</v>
      </c>
      <c r="AX14" s="5">
        <v>249680</v>
      </c>
      <c r="AY14" s="5">
        <v>277511</v>
      </c>
      <c r="AZ14" s="6">
        <v>0.111466677347004</v>
      </c>
      <c r="BA14" s="6">
        <v>0.47486740786279202</v>
      </c>
      <c r="BB14" s="6">
        <v>0.65625200256328098</v>
      </c>
      <c r="BC14" s="6">
        <v>2.05503043896187E-2</v>
      </c>
      <c r="BD14" s="6">
        <v>0.123742390259532</v>
      </c>
      <c r="BE14" s="8">
        <v>0.217706664530599</v>
      </c>
      <c r="BF14" s="10">
        <v>223839</v>
      </c>
      <c r="BG14" s="11">
        <v>77029</v>
      </c>
      <c r="BH14" s="11">
        <v>54693</v>
      </c>
      <c r="BI14" s="11">
        <v>31074</v>
      </c>
      <c r="BJ14" s="12">
        <v>0.34412680542711499</v>
      </c>
      <c r="BK14" s="12">
        <v>0.244340798520365</v>
      </c>
      <c r="BL14" s="12">
        <v>0.138822993312157</v>
      </c>
      <c r="BM14" s="12">
        <v>9.9786006906749894E-2</v>
      </c>
      <c r="BN14" s="12">
        <v>0.105517805208208</v>
      </c>
      <c r="BO14" s="12">
        <v>5.0308480649037902E-2</v>
      </c>
      <c r="BP14" s="12">
        <v>8.8514512663119493E-2</v>
      </c>
      <c r="BQ14" s="13">
        <v>50207</v>
      </c>
      <c r="BR14" s="13">
        <v>83093</v>
      </c>
      <c r="BS14" s="13">
        <v>496918</v>
      </c>
      <c r="BT14" s="11">
        <v>523439</v>
      </c>
      <c r="BU14" s="11">
        <v>561627</v>
      </c>
      <c r="BV14" s="12">
        <v>7.2955970036623199E-2</v>
      </c>
      <c r="BW14" s="12">
        <v>0.373696305007372</v>
      </c>
      <c r="BX14" s="12">
        <v>0.66611200158948802</v>
      </c>
      <c r="BY14" s="12">
        <v>1.39252138262529E-2</v>
      </c>
      <c r="BZ14" s="12">
        <v>0.18376735398012001</v>
      </c>
      <c r="CA14" s="14">
        <v>0.23698272387040301</v>
      </c>
      <c r="CB14" s="86">
        <f t="shared" si="4"/>
        <v>24477329.849999156</v>
      </c>
      <c r="CC14" s="83">
        <v>11695716.5399995</v>
      </c>
      <c r="CD14" s="83">
        <v>9946478.7199996505</v>
      </c>
      <c r="CE14" s="83">
        <v>1609901.33</v>
      </c>
      <c r="CF14" s="83">
        <v>1225233.26000001</v>
      </c>
      <c r="CG14" s="90">
        <f t="shared" si="5"/>
        <v>0.47781831644516176</v>
      </c>
      <c r="CH14" s="90">
        <f t="shared" si="5"/>
        <v>0.40635472827114733</v>
      </c>
      <c r="CI14" s="90">
        <f t="shared" si="0"/>
        <v>6.577111718744337E-2</v>
      </c>
      <c r="CK14" s="86">
        <f t="shared" si="1"/>
        <v>23546347</v>
      </c>
      <c r="CL14" s="83">
        <v>11189596</v>
      </c>
      <c r="CM14" s="83">
        <v>9699196</v>
      </c>
      <c r="CN14" s="83">
        <v>1482372</v>
      </c>
      <c r="CO14" s="83">
        <v>1175183</v>
      </c>
      <c r="CP14" s="90">
        <f t="shared" si="2"/>
        <v>0.47521579461986185</v>
      </c>
      <c r="CQ14" s="90">
        <f t="shared" si="2"/>
        <v>0.41191935207614155</v>
      </c>
      <c r="CR14" s="90">
        <f t="shared" si="2"/>
        <v>6.2955497937748045E-2</v>
      </c>
    </row>
    <row r="15" spans="1:97" ht="61.5" thickTop="1" thickBot="1" x14ac:dyDescent="0.3">
      <c r="A15" s="3" t="s">
        <v>292</v>
      </c>
      <c r="B15" s="3">
        <v>602</v>
      </c>
      <c r="C15" s="3" t="s">
        <v>94</v>
      </c>
      <c r="D15" s="16">
        <v>37452</v>
      </c>
      <c r="E15" s="16" t="s">
        <v>535</v>
      </c>
      <c r="F15" s="16" t="s">
        <v>374</v>
      </c>
      <c r="G15" s="17">
        <v>10374</v>
      </c>
      <c r="H15" s="17">
        <v>12950</v>
      </c>
      <c r="I15" s="17" t="s">
        <v>584</v>
      </c>
      <c r="J15" s="18"/>
      <c r="K15" s="18" t="s">
        <v>598</v>
      </c>
      <c r="L15" s="18"/>
      <c r="M15" s="18" t="s">
        <v>519</v>
      </c>
      <c r="N15" s="10">
        <v>31911</v>
      </c>
      <c r="O15" s="11">
        <v>15386</v>
      </c>
      <c r="P15" s="11">
        <v>11444</v>
      </c>
      <c r="Q15" s="11">
        <v>5735</v>
      </c>
      <c r="R15" s="12">
        <v>0.48215348939237301</v>
      </c>
      <c r="S15" s="12">
        <v>0.35862241860173599</v>
      </c>
      <c r="T15" s="12">
        <v>0.17971859233493201</v>
      </c>
      <c r="U15" s="12">
        <v>0.12353107079063599</v>
      </c>
      <c r="V15" s="12">
        <v>0.17890382626680501</v>
      </c>
      <c r="W15" s="12">
        <v>7.9439691642380406E-2</v>
      </c>
      <c r="X15" s="12">
        <v>0.10027890069255101</v>
      </c>
      <c r="Y15" s="13">
        <v>71280</v>
      </c>
      <c r="Z15" s="13">
        <v>102164</v>
      </c>
      <c r="AA15" s="13">
        <v>1287732</v>
      </c>
      <c r="AB15" s="11">
        <v>70189</v>
      </c>
      <c r="AC15" s="11">
        <v>72766</v>
      </c>
      <c r="AD15" s="12">
        <v>3.6715154796335601E-2</v>
      </c>
      <c r="AE15" s="12">
        <v>0.59189648105861004</v>
      </c>
      <c r="AF15" s="12">
        <v>4.8112952171992802E-2</v>
      </c>
      <c r="AG15" s="12">
        <v>5.3840345353260502E-2</v>
      </c>
      <c r="AH15" s="12">
        <v>0.168772884640043</v>
      </c>
      <c r="AI15" s="14">
        <v>0.267520551653393</v>
      </c>
      <c r="AJ15" s="4">
        <v>79315</v>
      </c>
      <c r="AK15" s="5">
        <v>28410</v>
      </c>
      <c r="AL15" s="5">
        <v>19445</v>
      </c>
      <c r="AM15" s="5">
        <v>9072</v>
      </c>
      <c r="AN15" s="6">
        <v>0.35819201916409299</v>
      </c>
      <c r="AO15" s="6">
        <v>0.24516169703082599</v>
      </c>
      <c r="AP15" s="6">
        <v>0.11437937338460601</v>
      </c>
      <c r="AQ15" s="6">
        <v>0.113030322133266</v>
      </c>
      <c r="AR15" s="6">
        <v>0.130782323646221</v>
      </c>
      <c r="AS15" s="6">
        <v>5.2033032843724403E-2</v>
      </c>
      <c r="AT15" s="6">
        <v>6.2346340540881298E-2</v>
      </c>
      <c r="AU15" s="7">
        <v>52259</v>
      </c>
      <c r="AV15" s="7">
        <v>79137</v>
      </c>
      <c r="AW15" s="7">
        <v>747990</v>
      </c>
      <c r="AX15" s="5">
        <v>189076</v>
      </c>
      <c r="AY15" s="5">
        <v>195769</v>
      </c>
      <c r="AZ15" s="6">
        <v>3.5398464109670201E-2</v>
      </c>
      <c r="BA15" s="6">
        <v>0.45963019283033502</v>
      </c>
      <c r="BB15" s="6">
        <v>7.9930821468615798E-2</v>
      </c>
      <c r="BC15" s="6">
        <v>5.3237851445979402E-2</v>
      </c>
      <c r="BD15" s="6">
        <v>0.34565465738644802</v>
      </c>
      <c r="BE15" s="8">
        <v>0.22062556855444401</v>
      </c>
      <c r="BF15" s="10">
        <v>116909</v>
      </c>
      <c r="BG15" s="11">
        <v>39357</v>
      </c>
      <c r="BH15" s="11">
        <v>26264</v>
      </c>
      <c r="BI15" s="11">
        <v>11751</v>
      </c>
      <c r="BJ15" s="12">
        <v>0.33664645151356998</v>
      </c>
      <c r="BK15" s="12">
        <v>0.22465336287197701</v>
      </c>
      <c r="BL15" s="12">
        <v>0.100514075049825</v>
      </c>
      <c r="BM15" s="12">
        <v>0.11199308864159301</v>
      </c>
      <c r="BN15" s="12">
        <v>0.124139287822152</v>
      </c>
      <c r="BO15" s="12">
        <v>4.78320745194981E-2</v>
      </c>
      <c r="BP15" s="12">
        <v>5.2682000530326997E-2</v>
      </c>
      <c r="BQ15" s="13">
        <v>50322</v>
      </c>
      <c r="BR15" s="13">
        <v>74488</v>
      </c>
      <c r="BS15" s="13">
        <v>652494</v>
      </c>
      <c r="BT15" s="11">
        <v>283841</v>
      </c>
      <c r="BU15" s="11">
        <v>295723</v>
      </c>
      <c r="BV15" s="12">
        <v>4.1861464693261401E-2</v>
      </c>
      <c r="BW15" s="12">
        <v>0.40814580166466502</v>
      </c>
      <c r="BX15" s="12">
        <v>9.2939356893472005E-2</v>
      </c>
      <c r="BY15" s="12">
        <v>5.6214570833670999E-2</v>
      </c>
      <c r="BZ15" s="12">
        <v>0.39562994775243898</v>
      </c>
      <c r="CA15" s="14">
        <v>0.224386188041897</v>
      </c>
      <c r="CB15" s="86">
        <f t="shared" si="4"/>
        <v>11574669.647083104</v>
      </c>
      <c r="CC15" s="83">
        <v>8560962.2270831093</v>
      </c>
      <c r="CD15" s="83">
        <v>111727.41</v>
      </c>
      <c r="CE15" s="83">
        <v>2230192.04999999</v>
      </c>
      <c r="CF15" s="83">
        <v>671787.96000000404</v>
      </c>
      <c r="CG15" s="90">
        <f t="shared" si="5"/>
        <v>0.73962907695085112</v>
      </c>
      <c r="CH15" s="90">
        <f t="shared" si="5"/>
        <v>9.6527515174617603E-3</v>
      </c>
      <c r="CI15" s="90">
        <f t="shared" si="0"/>
        <v>0.19267867835537006</v>
      </c>
      <c r="CK15" s="86">
        <f t="shared" si="1"/>
        <v>11484642</v>
      </c>
      <c r="CL15" s="83">
        <v>8486352</v>
      </c>
      <c r="CM15" s="83">
        <v>133680</v>
      </c>
      <c r="CN15" s="83">
        <v>2179036</v>
      </c>
      <c r="CO15" s="83">
        <v>685574</v>
      </c>
      <c r="CP15" s="90">
        <f t="shared" si="2"/>
        <v>0.73893047776325982</v>
      </c>
      <c r="CQ15" s="90">
        <f t="shared" si="2"/>
        <v>1.1639892649679458E-2</v>
      </c>
      <c r="CR15" s="90">
        <f t="shared" si="2"/>
        <v>0.18973477797566524</v>
      </c>
    </row>
    <row r="16" spans="1:97" ht="49.5" thickTop="1" thickBot="1" x14ac:dyDescent="0.3">
      <c r="A16" s="3" t="s">
        <v>292</v>
      </c>
      <c r="B16" s="3">
        <v>603</v>
      </c>
      <c r="C16" s="3" t="s">
        <v>95</v>
      </c>
      <c r="D16" s="16">
        <v>37534</v>
      </c>
      <c r="E16" s="16" t="s">
        <v>535</v>
      </c>
      <c r="F16" s="16" t="s">
        <v>375</v>
      </c>
      <c r="G16" s="17">
        <v>12619</v>
      </c>
      <c r="H16" s="17">
        <v>15564</v>
      </c>
      <c r="I16" s="17" t="s">
        <v>584</v>
      </c>
      <c r="J16" s="18"/>
      <c r="K16" s="18" t="s">
        <v>598</v>
      </c>
      <c r="L16" s="18"/>
      <c r="M16" s="18" t="s">
        <v>598</v>
      </c>
      <c r="N16" s="10">
        <v>31001</v>
      </c>
      <c r="O16" s="11">
        <v>7691</v>
      </c>
      <c r="P16" s="11">
        <v>4619</v>
      </c>
      <c r="Q16" s="11">
        <v>1588</v>
      </c>
      <c r="R16" s="12">
        <v>0.24808877132995699</v>
      </c>
      <c r="S16" s="12">
        <v>0.14899519370342901</v>
      </c>
      <c r="T16" s="12">
        <v>5.1224154059546501E-2</v>
      </c>
      <c r="U16" s="12">
        <v>9.9093577626528206E-2</v>
      </c>
      <c r="V16" s="12">
        <v>9.7771039643882507E-2</v>
      </c>
      <c r="W16" s="12">
        <v>2.9450662881842501E-2</v>
      </c>
      <c r="X16" s="12">
        <v>2.1773491177703899E-2</v>
      </c>
      <c r="Y16" s="13">
        <v>42446</v>
      </c>
      <c r="Z16" s="13">
        <v>58124</v>
      </c>
      <c r="AA16" s="13">
        <v>300769</v>
      </c>
      <c r="AB16" s="11">
        <v>76745</v>
      </c>
      <c r="AC16" s="11">
        <v>80002</v>
      </c>
      <c r="AD16" s="12">
        <v>4.2439246856472698E-2</v>
      </c>
      <c r="AE16" s="12">
        <v>0.30373822182990201</v>
      </c>
      <c r="AF16" s="12">
        <v>0.146224509740048</v>
      </c>
      <c r="AG16" s="12">
        <v>7.7516450583099902E-2</v>
      </c>
      <c r="AH16" s="12">
        <v>0.44022411883510298</v>
      </c>
      <c r="AI16" s="14">
        <v>0.2007427193954</v>
      </c>
      <c r="AJ16" s="4">
        <v>72244</v>
      </c>
      <c r="AK16" s="5">
        <v>22909</v>
      </c>
      <c r="AL16" s="5">
        <v>14248</v>
      </c>
      <c r="AM16" s="5">
        <v>5753</v>
      </c>
      <c r="AN16" s="6">
        <v>0.31710591883063</v>
      </c>
      <c r="AO16" s="6">
        <v>0.197220530424672</v>
      </c>
      <c r="AP16" s="6">
        <v>7.9632910691545294E-2</v>
      </c>
      <c r="AQ16" s="6">
        <v>0.119885388405958</v>
      </c>
      <c r="AR16" s="6">
        <v>0.11758761973312699</v>
      </c>
      <c r="AS16" s="6">
        <v>4.16366757100936E-2</v>
      </c>
      <c r="AT16" s="6">
        <v>3.7996234981451701E-2</v>
      </c>
      <c r="AU16" s="7">
        <v>48698</v>
      </c>
      <c r="AV16" s="7">
        <v>68353</v>
      </c>
      <c r="AW16" s="7">
        <v>518178</v>
      </c>
      <c r="AX16" s="5">
        <v>173274</v>
      </c>
      <c r="AY16" s="5">
        <v>180355</v>
      </c>
      <c r="AZ16" s="6">
        <v>4.0865911792883E-2</v>
      </c>
      <c r="BA16" s="6">
        <v>0.39299068717369801</v>
      </c>
      <c r="BB16" s="6">
        <v>0.100886457287302</v>
      </c>
      <c r="BC16" s="6">
        <v>6.1122845897249402E-2</v>
      </c>
      <c r="BD16" s="6">
        <v>0.41452843473342799</v>
      </c>
      <c r="BE16" s="8">
        <v>0.214065583988365</v>
      </c>
      <c r="BF16" s="10">
        <v>111454</v>
      </c>
      <c r="BG16" s="11">
        <v>36781</v>
      </c>
      <c r="BH16" s="11">
        <v>23727</v>
      </c>
      <c r="BI16" s="11">
        <v>9860</v>
      </c>
      <c r="BJ16" s="12">
        <v>0.33001058732750699</v>
      </c>
      <c r="BK16" s="12">
        <v>0.212886033700002</v>
      </c>
      <c r="BL16" s="12">
        <v>8.8466990866187006E-2</v>
      </c>
      <c r="BM16" s="12">
        <v>0.117124553627506</v>
      </c>
      <c r="BN16" s="12">
        <v>0.124419042833815</v>
      </c>
      <c r="BO16" s="12">
        <v>4.4502664776499702E-2</v>
      </c>
      <c r="BP16" s="12">
        <v>4.39643260896872E-2</v>
      </c>
      <c r="BQ16" s="13">
        <v>50344</v>
      </c>
      <c r="BR16" s="13">
        <v>71440</v>
      </c>
      <c r="BS16" s="13">
        <v>569857</v>
      </c>
      <c r="BT16" s="11">
        <v>265467</v>
      </c>
      <c r="BU16" s="11">
        <v>276104</v>
      </c>
      <c r="BV16" s="12">
        <v>4.00690104608106E-2</v>
      </c>
      <c r="BW16" s="12">
        <v>0.39662237955389701</v>
      </c>
      <c r="BX16" s="12">
        <v>9.0956691415505497E-2</v>
      </c>
      <c r="BY16" s="12">
        <v>6.1133775572858401E-2</v>
      </c>
      <c r="BZ16" s="12">
        <v>0.403100950400615</v>
      </c>
      <c r="CA16" s="14">
        <v>0.22289399435711399</v>
      </c>
      <c r="CB16" s="86">
        <f t="shared" si="4"/>
        <v>5377766.1866666023</v>
      </c>
      <c r="CC16" s="83">
        <v>3377902.4666666002</v>
      </c>
      <c r="CD16" s="83">
        <v>96876.189999999799</v>
      </c>
      <c r="CE16" s="83">
        <v>1581121.76</v>
      </c>
      <c r="CF16" s="83">
        <v>321865.770000002</v>
      </c>
      <c r="CG16" s="90">
        <f t="shared" si="5"/>
        <v>0.62812371334432937</v>
      </c>
      <c r="CH16" s="90">
        <f t="shared" si="5"/>
        <v>1.8014206389297918E-2</v>
      </c>
      <c r="CI16" s="90">
        <f t="shared" si="0"/>
        <v>0.2940108783308884</v>
      </c>
      <c r="CK16" s="86">
        <f t="shared" si="1"/>
        <v>5247906</v>
      </c>
      <c r="CL16" s="83">
        <v>3282325</v>
      </c>
      <c r="CM16" s="83">
        <v>111277</v>
      </c>
      <c r="CN16" s="83">
        <v>1534070</v>
      </c>
      <c r="CO16" s="83">
        <v>320234</v>
      </c>
      <c r="CP16" s="90">
        <f t="shared" si="2"/>
        <v>0.62545422879144563</v>
      </c>
      <c r="CQ16" s="90">
        <f t="shared" si="2"/>
        <v>2.1204076444966812E-2</v>
      </c>
      <c r="CR16" s="90">
        <f t="shared" si="2"/>
        <v>0.29232040360479017</v>
      </c>
    </row>
    <row r="17" spans="1:96" ht="49.5" thickTop="1" thickBot="1" x14ac:dyDescent="0.3">
      <c r="A17" s="3" t="s">
        <v>310</v>
      </c>
      <c r="B17" s="3">
        <v>2401</v>
      </c>
      <c r="C17" s="3" t="s">
        <v>266</v>
      </c>
      <c r="D17" s="16">
        <v>43748</v>
      </c>
      <c r="E17" s="16" t="s">
        <v>577</v>
      </c>
      <c r="F17" s="16" t="s">
        <v>514</v>
      </c>
      <c r="G17" s="17">
        <v>18097</v>
      </c>
      <c r="H17" s="17">
        <v>20769</v>
      </c>
      <c r="I17" s="17" t="s">
        <v>584</v>
      </c>
      <c r="J17" s="18"/>
      <c r="K17" s="18" t="s">
        <v>598</v>
      </c>
      <c r="L17" s="18"/>
      <c r="M17" s="18" t="s">
        <v>519</v>
      </c>
      <c r="N17" s="10">
        <v>15931</v>
      </c>
      <c r="O17" s="11">
        <v>7691</v>
      </c>
      <c r="P17" s="11">
        <v>5060</v>
      </c>
      <c r="Q17" s="11">
        <v>2655</v>
      </c>
      <c r="R17" s="12">
        <v>0.48276944322390303</v>
      </c>
      <c r="S17" s="12">
        <v>0.31761973510765201</v>
      </c>
      <c r="T17" s="12">
        <v>0.16665620488356001</v>
      </c>
      <c r="U17" s="12">
        <v>0.16514970811625099</v>
      </c>
      <c r="V17" s="12">
        <v>0.15096353022409101</v>
      </c>
      <c r="W17" s="12">
        <v>9.4972067039106101E-2</v>
      </c>
      <c r="X17" s="12">
        <v>7.1684137844454196E-2</v>
      </c>
      <c r="Y17" s="13">
        <v>71836</v>
      </c>
      <c r="Z17" s="13">
        <v>93633</v>
      </c>
      <c r="AA17" s="13">
        <v>930416</v>
      </c>
      <c r="AB17" s="11">
        <v>38296</v>
      </c>
      <c r="AC17" s="11">
        <v>38185</v>
      </c>
      <c r="AD17" s="12">
        <v>-2.8984750365573398E-3</v>
      </c>
      <c r="AE17" s="12">
        <v>0.399082902685785</v>
      </c>
      <c r="AF17" s="12">
        <v>4.5069981199080802E-2</v>
      </c>
      <c r="AG17" s="12">
        <v>3.21182368915814E-2</v>
      </c>
      <c r="AH17" s="12">
        <v>0.235951535408398</v>
      </c>
      <c r="AI17" s="14">
        <v>0.26206392312513099</v>
      </c>
      <c r="AJ17" s="4">
        <v>51375</v>
      </c>
      <c r="AK17" s="5">
        <v>21564</v>
      </c>
      <c r="AL17" s="5">
        <v>14389</v>
      </c>
      <c r="AM17" s="5">
        <v>7158</v>
      </c>
      <c r="AN17" s="6">
        <v>0.41973722627737198</v>
      </c>
      <c r="AO17" s="6">
        <v>0.28007785888077902</v>
      </c>
      <c r="AP17" s="6">
        <v>0.13932846715328501</v>
      </c>
      <c r="AQ17" s="6">
        <v>0.13965936739659399</v>
      </c>
      <c r="AR17" s="6">
        <v>0.14074939172749401</v>
      </c>
      <c r="AS17" s="6">
        <v>8.1090024330900207E-2</v>
      </c>
      <c r="AT17" s="6">
        <v>5.8238442822384398E-2</v>
      </c>
      <c r="AU17" s="7">
        <v>61222</v>
      </c>
      <c r="AV17" s="7">
        <v>84030</v>
      </c>
      <c r="AW17" s="7">
        <v>739907</v>
      </c>
      <c r="AX17" s="5">
        <v>124077</v>
      </c>
      <c r="AY17" s="5">
        <v>122156</v>
      </c>
      <c r="AZ17" s="6">
        <v>-1.5482321461673E-2</v>
      </c>
      <c r="BA17" s="6">
        <v>0.35095356784373</v>
      </c>
      <c r="BB17" s="6">
        <v>4.2465565737405002E-2</v>
      </c>
      <c r="BC17" s="6">
        <v>2.3243630971090501E-2</v>
      </c>
      <c r="BD17" s="6">
        <v>0.26424720133465501</v>
      </c>
      <c r="BE17" s="8">
        <v>0.25888762623209799</v>
      </c>
      <c r="BF17" s="10">
        <v>75896</v>
      </c>
      <c r="BG17" s="11">
        <v>30716</v>
      </c>
      <c r="BH17" s="11">
        <v>20184</v>
      </c>
      <c r="BI17" s="11">
        <v>9652</v>
      </c>
      <c r="BJ17" s="12">
        <v>0.404711710762096</v>
      </c>
      <c r="BK17" s="12">
        <v>0.26594286918941701</v>
      </c>
      <c r="BL17" s="12">
        <v>0.12717402761673899</v>
      </c>
      <c r="BM17" s="12">
        <v>0.13876884157267799</v>
      </c>
      <c r="BN17" s="12">
        <v>0.13876884157267799</v>
      </c>
      <c r="BO17" s="12">
        <v>7.4364920417413299E-2</v>
      </c>
      <c r="BP17" s="12">
        <v>5.2809107199325397E-2</v>
      </c>
      <c r="BQ17" s="13">
        <v>58931</v>
      </c>
      <c r="BR17" s="13">
        <v>80793</v>
      </c>
      <c r="BS17" s="13">
        <v>680947</v>
      </c>
      <c r="BT17" s="11">
        <v>186968</v>
      </c>
      <c r="BU17" s="11">
        <v>183789</v>
      </c>
      <c r="BV17" s="12">
        <v>-1.7002909588806601E-2</v>
      </c>
      <c r="BW17" s="12">
        <v>0.32497041240554703</v>
      </c>
      <c r="BX17" s="12">
        <v>4.8291686277865703E-2</v>
      </c>
      <c r="BY17" s="12">
        <v>1.9923195413118801E-2</v>
      </c>
      <c r="BZ17" s="12">
        <v>0.27084848744170098</v>
      </c>
      <c r="CA17" s="14">
        <v>0.25185058405716498</v>
      </c>
      <c r="CB17" s="86">
        <f t="shared" si="4"/>
        <v>15489909.58893897</v>
      </c>
      <c r="CC17" s="83">
        <v>4446080.3572726296</v>
      </c>
      <c r="CD17" s="83">
        <v>7816566.0499996701</v>
      </c>
      <c r="CE17" s="83">
        <v>2289588.5316666602</v>
      </c>
      <c r="CF17" s="83">
        <v>937674.65000001004</v>
      </c>
      <c r="CG17" s="90">
        <f t="shared" si="5"/>
        <v>0.28703074938845902</v>
      </c>
      <c r="CH17" s="90">
        <f t="shared" si="5"/>
        <v>0.50462309060740551</v>
      </c>
      <c r="CI17" s="90">
        <f t="shared" si="0"/>
        <v>0.1478116136521293</v>
      </c>
      <c r="CK17" s="86">
        <f t="shared" si="1"/>
        <v>15293631</v>
      </c>
      <c r="CL17" s="83">
        <v>4245198</v>
      </c>
      <c r="CM17" s="83">
        <v>7838246</v>
      </c>
      <c r="CN17" s="83">
        <v>2278097</v>
      </c>
      <c r="CO17" s="83">
        <v>932090</v>
      </c>
      <c r="CP17" s="90">
        <f t="shared" si="2"/>
        <v>0.27757947082677747</v>
      </c>
      <c r="CQ17" s="90">
        <f t="shared" si="2"/>
        <v>0.51251700789694743</v>
      </c>
      <c r="CR17" s="90">
        <f t="shared" si="2"/>
        <v>0.14895723585850867</v>
      </c>
    </row>
    <row r="18" spans="1:96" ht="37.5" thickTop="1" thickBot="1" x14ac:dyDescent="0.3">
      <c r="A18" s="3" t="s">
        <v>296</v>
      </c>
      <c r="B18" s="3">
        <v>1006</v>
      </c>
      <c r="C18" s="3" t="s">
        <v>159</v>
      </c>
      <c r="D18" s="16">
        <v>40108</v>
      </c>
      <c r="E18" s="16" t="s">
        <v>551</v>
      </c>
      <c r="F18" s="16" t="s">
        <v>430</v>
      </c>
      <c r="G18" s="17">
        <v>22347</v>
      </c>
      <c r="H18" s="17">
        <v>33248</v>
      </c>
      <c r="I18" s="17" t="s">
        <v>585</v>
      </c>
      <c r="J18" s="18"/>
      <c r="K18" s="18" t="s">
        <v>598</v>
      </c>
      <c r="L18" s="18"/>
      <c r="M18" s="18" t="s">
        <v>598</v>
      </c>
      <c r="N18" s="10">
        <v>68439</v>
      </c>
      <c r="O18" s="11">
        <v>28996</v>
      </c>
      <c r="P18" s="11">
        <v>20584</v>
      </c>
      <c r="Q18" s="11">
        <v>10760</v>
      </c>
      <c r="R18" s="12">
        <v>0.42367655868729798</v>
      </c>
      <c r="S18" s="12">
        <v>0.30076418416400003</v>
      </c>
      <c r="T18" s="12">
        <v>0.15722029836789</v>
      </c>
      <c r="U18" s="12">
        <v>0.12291237452329799</v>
      </c>
      <c r="V18" s="12">
        <v>0.14354388579610999</v>
      </c>
      <c r="W18" s="12">
        <v>6.1485410365434902E-2</v>
      </c>
      <c r="X18" s="12">
        <v>9.5734888002454693E-2</v>
      </c>
      <c r="Y18" s="13">
        <v>61640</v>
      </c>
      <c r="Z18" s="13">
        <v>93569</v>
      </c>
      <c r="AA18" s="13">
        <v>792314</v>
      </c>
      <c r="AB18" s="11">
        <v>148100</v>
      </c>
      <c r="AC18" s="11">
        <v>163566</v>
      </c>
      <c r="AD18" s="12">
        <v>0.10442943956785999</v>
      </c>
      <c r="AE18" s="12">
        <v>0.44003324926558801</v>
      </c>
      <c r="AF18" s="12">
        <v>0.351627278865631</v>
      </c>
      <c r="AG18" s="12">
        <v>3.1924375422012201E-2</v>
      </c>
      <c r="AH18" s="12">
        <v>6.9392302498312006E-2</v>
      </c>
      <c r="AI18" s="14">
        <v>0.24646860229574599</v>
      </c>
      <c r="AJ18" s="4">
        <v>160333</v>
      </c>
      <c r="AK18" s="5">
        <v>58153</v>
      </c>
      <c r="AL18" s="5">
        <v>41028</v>
      </c>
      <c r="AM18" s="5">
        <v>21291</v>
      </c>
      <c r="AN18" s="6">
        <v>0.36270137775754202</v>
      </c>
      <c r="AO18" s="6">
        <v>0.255892423892773</v>
      </c>
      <c r="AP18" s="6">
        <v>0.13279237586772499</v>
      </c>
      <c r="AQ18" s="6">
        <v>0.106808953864769</v>
      </c>
      <c r="AR18" s="6">
        <v>0.123100048025048</v>
      </c>
      <c r="AS18" s="6">
        <v>5.2871211790461101E-2</v>
      </c>
      <c r="AT18" s="6">
        <v>7.9921164077264198E-2</v>
      </c>
      <c r="AU18" s="7">
        <v>53360</v>
      </c>
      <c r="AV18" s="7">
        <v>84043</v>
      </c>
      <c r="AW18" s="7">
        <v>719646</v>
      </c>
      <c r="AX18" s="5">
        <v>393935</v>
      </c>
      <c r="AY18" s="5">
        <v>429114</v>
      </c>
      <c r="AZ18" s="6">
        <v>8.9301534517115796E-2</v>
      </c>
      <c r="BA18" s="6">
        <v>0.34806407778139298</v>
      </c>
      <c r="BB18" s="6">
        <v>0.43907751278764301</v>
      </c>
      <c r="BC18" s="6">
        <v>3.30739842867478E-2</v>
      </c>
      <c r="BD18" s="6">
        <v>7.7680327972888902E-2</v>
      </c>
      <c r="BE18" s="8">
        <v>0.22220670922867999</v>
      </c>
      <c r="BF18" s="10">
        <v>256597</v>
      </c>
      <c r="BG18" s="11">
        <v>89864</v>
      </c>
      <c r="BH18" s="11">
        <v>61965</v>
      </c>
      <c r="BI18" s="11">
        <v>31646</v>
      </c>
      <c r="BJ18" s="12">
        <v>0.350214538751427</v>
      </c>
      <c r="BK18" s="12">
        <v>0.24148762456303099</v>
      </c>
      <c r="BL18" s="12">
        <v>0.123329579067565</v>
      </c>
      <c r="BM18" s="12">
        <v>0.108726914188397</v>
      </c>
      <c r="BN18" s="12">
        <v>0.118158045495466</v>
      </c>
      <c r="BO18" s="12">
        <v>4.7560961351847501E-2</v>
      </c>
      <c r="BP18" s="12">
        <v>7.5768617715717607E-2</v>
      </c>
      <c r="BQ18" s="13">
        <v>52159</v>
      </c>
      <c r="BR18" s="13">
        <v>82121</v>
      </c>
      <c r="BS18" s="13">
        <v>696528</v>
      </c>
      <c r="BT18" s="11">
        <v>666565</v>
      </c>
      <c r="BU18" s="11">
        <v>717723</v>
      </c>
      <c r="BV18" s="12">
        <v>7.6748704177387106E-2</v>
      </c>
      <c r="BW18" s="12">
        <v>0.31160650444008797</v>
      </c>
      <c r="BX18" s="12">
        <v>0.468108886605207</v>
      </c>
      <c r="BY18" s="12">
        <v>3.2662981104618502E-2</v>
      </c>
      <c r="BZ18" s="12">
        <v>7.4693390742088195E-2</v>
      </c>
      <c r="CA18" s="14">
        <v>0.21371059086510699</v>
      </c>
      <c r="CB18" s="86">
        <f t="shared" si="4"/>
        <v>33750354.516498782</v>
      </c>
      <c r="CC18" s="83">
        <v>12031400.3964996</v>
      </c>
      <c r="CD18" s="83">
        <v>15389698.339999299</v>
      </c>
      <c r="CE18" s="83">
        <v>4359663.1699998798</v>
      </c>
      <c r="CF18" s="83">
        <v>1969592.61</v>
      </c>
      <c r="CG18" s="90">
        <f t="shared" si="5"/>
        <v>0.35648219311646279</v>
      </c>
      <c r="CH18" s="90">
        <f t="shared" si="5"/>
        <v>0.45598627215829929</v>
      </c>
      <c r="CI18" s="90">
        <f t="shared" si="0"/>
        <v>0.12917384817005903</v>
      </c>
      <c r="CK18" s="86">
        <f t="shared" si="1"/>
        <v>32851337</v>
      </c>
      <c r="CL18" s="83">
        <v>11545776</v>
      </c>
      <c r="CM18" s="83">
        <v>15015365</v>
      </c>
      <c r="CN18" s="83">
        <v>4364585</v>
      </c>
      <c r="CO18" s="83">
        <v>1925611</v>
      </c>
      <c r="CP18" s="90">
        <f t="shared" si="2"/>
        <v>0.35145528475751231</v>
      </c>
      <c r="CQ18" s="90">
        <f t="shared" si="2"/>
        <v>0.4570701338578701</v>
      </c>
      <c r="CR18" s="90">
        <f t="shared" si="2"/>
        <v>0.13285867177947736</v>
      </c>
    </row>
    <row r="19" spans="1:96" ht="37.5" thickTop="1" thickBot="1" x14ac:dyDescent="0.3">
      <c r="A19" s="3" t="s">
        <v>295</v>
      </c>
      <c r="B19" s="3">
        <v>931</v>
      </c>
      <c r="C19" s="3" t="s">
        <v>146</v>
      </c>
      <c r="D19" s="16">
        <v>43230</v>
      </c>
      <c r="E19" s="16" t="s">
        <v>545</v>
      </c>
      <c r="F19" s="16" t="s">
        <v>422</v>
      </c>
      <c r="G19" s="17">
        <v>23912</v>
      </c>
      <c r="H19" s="17">
        <v>30000</v>
      </c>
      <c r="I19" s="17" t="s">
        <v>585</v>
      </c>
      <c r="J19" s="18"/>
      <c r="K19" s="18" t="s">
        <v>519</v>
      </c>
      <c r="L19" s="18"/>
      <c r="M19" s="18" t="s">
        <v>598</v>
      </c>
      <c r="N19" s="10">
        <v>85786</v>
      </c>
      <c r="O19" s="11">
        <v>30415</v>
      </c>
      <c r="P19" s="11">
        <v>21475</v>
      </c>
      <c r="Q19" s="11">
        <v>11634</v>
      </c>
      <c r="R19" s="12">
        <v>0.354545030657683</v>
      </c>
      <c r="S19" s="12">
        <v>0.25033222204089201</v>
      </c>
      <c r="T19" s="12">
        <v>0.135616534166414</v>
      </c>
      <c r="U19" s="12">
        <v>0.104212808616791</v>
      </c>
      <c r="V19" s="12">
        <v>0.114715687874478</v>
      </c>
      <c r="W19" s="12">
        <v>5.1313734175739603E-2</v>
      </c>
      <c r="X19" s="12">
        <v>8.4302799990674498E-2</v>
      </c>
      <c r="Y19" s="13">
        <v>53832</v>
      </c>
      <c r="Z19" s="13">
        <v>84413</v>
      </c>
      <c r="AA19" s="13">
        <v>779113</v>
      </c>
      <c r="AB19" s="11">
        <v>199623</v>
      </c>
      <c r="AC19" s="11">
        <v>208813</v>
      </c>
      <c r="AD19" s="12">
        <v>4.6036779329035202E-2</v>
      </c>
      <c r="AE19" s="12">
        <v>0.38426469709940098</v>
      </c>
      <c r="AF19" s="12">
        <v>0.45594946474103698</v>
      </c>
      <c r="AG19" s="12">
        <v>2.2512435941750199E-2</v>
      </c>
      <c r="AH19" s="12">
        <v>0.17389779734800101</v>
      </c>
      <c r="AI19" s="14">
        <v>0.26275028428587899</v>
      </c>
      <c r="AJ19" s="4">
        <v>162992</v>
      </c>
      <c r="AK19" s="5">
        <v>53049</v>
      </c>
      <c r="AL19" s="5">
        <v>35952</v>
      </c>
      <c r="AM19" s="5">
        <v>17499</v>
      </c>
      <c r="AN19" s="6">
        <v>0.32546996171591203</v>
      </c>
      <c r="AO19" s="6">
        <v>0.22057524295670999</v>
      </c>
      <c r="AP19" s="6">
        <v>0.10736109747717699</v>
      </c>
      <c r="AQ19" s="6">
        <v>0.104894718759203</v>
      </c>
      <c r="AR19" s="6">
        <v>0.113214145479533</v>
      </c>
      <c r="AS19" s="6">
        <v>4.3382497300481E-2</v>
      </c>
      <c r="AT19" s="6">
        <v>6.3978600176695793E-2</v>
      </c>
      <c r="AU19" s="7">
        <v>52054</v>
      </c>
      <c r="AV19" s="7">
        <v>77106</v>
      </c>
      <c r="AW19" s="7">
        <v>616482</v>
      </c>
      <c r="AX19" s="5">
        <v>408823</v>
      </c>
      <c r="AY19" s="5">
        <v>424375</v>
      </c>
      <c r="AZ19" s="6">
        <v>3.8040912570965903E-2</v>
      </c>
      <c r="BA19" s="6">
        <v>0.31587576251329802</v>
      </c>
      <c r="BB19" s="6">
        <v>0.38358653989623898</v>
      </c>
      <c r="BC19" s="6">
        <v>2.1664632371466399E-2</v>
      </c>
      <c r="BD19" s="6">
        <v>0.32814445371224199</v>
      </c>
      <c r="BE19" s="8">
        <v>0.25623802966075798</v>
      </c>
      <c r="BF19" s="10">
        <v>250165</v>
      </c>
      <c r="BG19" s="11">
        <v>82858</v>
      </c>
      <c r="BH19" s="11">
        <v>55206</v>
      </c>
      <c r="BI19" s="11">
        <v>26408</v>
      </c>
      <c r="BJ19" s="12">
        <v>0.33121339915655701</v>
      </c>
      <c r="BK19" s="12">
        <v>0.22067835228749</v>
      </c>
      <c r="BL19" s="12">
        <v>0.10556232886295</v>
      </c>
      <c r="BM19" s="12">
        <v>0.110535046869066</v>
      </c>
      <c r="BN19" s="12">
        <v>0.11511602342454</v>
      </c>
      <c r="BO19" s="12">
        <v>4.4466652009673598E-2</v>
      </c>
      <c r="BP19" s="12">
        <v>6.1095676853276798E-2</v>
      </c>
      <c r="BQ19" s="13">
        <v>52423</v>
      </c>
      <c r="BR19" s="13">
        <v>76606</v>
      </c>
      <c r="BS19" s="13">
        <v>616799</v>
      </c>
      <c r="BT19" s="11">
        <v>658998</v>
      </c>
      <c r="BU19" s="11">
        <v>680720</v>
      </c>
      <c r="BV19" s="12">
        <v>3.2962163769844503E-2</v>
      </c>
      <c r="BW19" s="12">
        <v>0.29479471938510199</v>
      </c>
      <c r="BX19" s="12">
        <v>0.370509470438454</v>
      </c>
      <c r="BY19" s="12">
        <v>2.0496268577446401E-2</v>
      </c>
      <c r="BZ19" s="12">
        <v>0.37373558038112398</v>
      </c>
      <c r="CA19" s="14">
        <v>0.25437861723404298</v>
      </c>
      <c r="CB19" s="86">
        <f t="shared" si="4"/>
        <v>26682441.092729129</v>
      </c>
      <c r="CC19" s="83">
        <v>11714713.728332801</v>
      </c>
      <c r="CD19" s="83">
        <v>11779934.232062999</v>
      </c>
      <c r="CE19" s="83">
        <v>1620306.5808333301</v>
      </c>
      <c r="CF19" s="83">
        <v>1567486.5515000001</v>
      </c>
      <c r="CG19" s="90">
        <f t="shared" si="5"/>
        <v>0.43904205344708958</v>
      </c>
      <c r="CH19" s="90">
        <f t="shared" si="5"/>
        <v>0.44148637641977179</v>
      </c>
      <c r="CI19" s="90">
        <f t="shared" si="5"/>
        <v>6.0725575115196558E-2</v>
      </c>
      <c r="CK19" s="86">
        <f t="shared" si="1"/>
        <v>26280293</v>
      </c>
      <c r="CL19" s="83">
        <v>11409191</v>
      </c>
      <c r="CM19" s="83">
        <v>11808702</v>
      </c>
      <c r="CN19" s="83">
        <v>1541180</v>
      </c>
      <c r="CO19" s="83">
        <v>1521220</v>
      </c>
      <c r="CP19" s="90">
        <f t="shared" si="2"/>
        <v>0.43413484773552563</v>
      </c>
      <c r="CQ19" s="90">
        <f t="shared" si="2"/>
        <v>0.44933677109307724</v>
      </c>
      <c r="CR19" s="90">
        <f t="shared" si="2"/>
        <v>5.8643942820576618E-2</v>
      </c>
    </row>
    <row r="20" spans="1:96" ht="25.5" thickTop="1" thickBot="1" x14ac:dyDescent="0.3">
      <c r="A20" s="3" t="s">
        <v>295</v>
      </c>
      <c r="B20" s="3">
        <v>936</v>
      </c>
      <c r="C20" s="3" t="s">
        <v>151</v>
      </c>
      <c r="D20" s="16">
        <v>45239</v>
      </c>
      <c r="E20" s="16" t="s">
        <v>545</v>
      </c>
      <c r="F20" s="16" t="s">
        <v>607</v>
      </c>
      <c r="G20" s="17">
        <v>18284</v>
      </c>
      <c r="H20" s="17">
        <v>23000</v>
      </c>
      <c r="I20" s="17" t="s">
        <v>584</v>
      </c>
      <c r="J20" s="18"/>
      <c r="K20" s="18" t="s">
        <v>598</v>
      </c>
      <c r="L20" s="18"/>
      <c r="M20" s="18" t="s">
        <v>598</v>
      </c>
      <c r="N20" s="10">
        <v>84325</v>
      </c>
      <c r="O20" s="11">
        <v>30196</v>
      </c>
      <c r="P20" s="11">
        <v>22279</v>
      </c>
      <c r="Q20" s="11">
        <v>13557</v>
      </c>
      <c r="R20" s="12">
        <v>0.35809072042691997</v>
      </c>
      <c r="S20" s="12">
        <v>0.26420397272457802</v>
      </c>
      <c r="T20" s="12">
        <v>0.160770827156834</v>
      </c>
      <c r="U20" s="12">
        <v>9.3886747702342094E-2</v>
      </c>
      <c r="V20" s="12">
        <v>0.10343314556774399</v>
      </c>
      <c r="W20" s="12">
        <v>5.9187666765490698E-2</v>
      </c>
      <c r="X20" s="12">
        <v>0.10158316039134301</v>
      </c>
      <c r="Y20" s="13">
        <v>51025</v>
      </c>
      <c r="Z20" s="13">
        <v>89409</v>
      </c>
      <c r="AA20" s="13">
        <v>689234</v>
      </c>
      <c r="AB20" s="11">
        <v>216497</v>
      </c>
      <c r="AC20" s="11">
        <v>228917</v>
      </c>
      <c r="AD20" s="12">
        <v>5.7368000480376199E-2</v>
      </c>
      <c r="AE20" s="12">
        <v>0.38420692984270899</v>
      </c>
      <c r="AF20" s="12">
        <v>0.82261186067243397</v>
      </c>
      <c r="AG20" s="12">
        <v>1.23696864159781E-2</v>
      </c>
      <c r="AH20" s="12">
        <v>3.9903555245569197E-2</v>
      </c>
      <c r="AI20" s="14">
        <v>0.25336609745169703</v>
      </c>
      <c r="AJ20" s="4">
        <v>191164</v>
      </c>
      <c r="AK20" s="5">
        <v>68413</v>
      </c>
      <c r="AL20" s="5">
        <v>49903</v>
      </c>
      <c r="AM20" s="5">
        <v>28555</v>
      </c>
      <c r="AN20" s="6">
        <v>0.35787595990876903</v>
      </c>
      <c r="AO20" s="6">
        <v>0.26104810529179101</v>
      </c>
      <c r="AP20" s="6">
        <v>0.14937435918896899</v>
      </c>
      <c r="AQ20" s="6">
        <v>9.6827854616978098E-2</v>
      </c>
      <c r="AR20" s="6">
        <v>0.111673746102823</v>
      </c>
      <c r="AS20" s="6">
        <v>5.7421899520830301E-2</v>
      </c>
      <c r="AT20" s="6">
        <v>9.1952459668138406E-2</v>
      </c>
      <c r="AU20" s="7">
        <v>51604</v>
      </c>
      <c r="AV20" s="7">
        <v>86131</v>
      </c>
      <c r="AW20" s="7">
        <v>582251</v>
      </c>
      <c r="AX20" s="5">
        <v>479790</v>
      </c>
      <c r="AY20" s="5">
        <v>518360</v>
      </c>
      <c r="AZ20" s="6">
        <v>8.0389337001604902E-2</v>
      </c>
      <c r="BA20" s="6">
        <v>0.37247734819066902</v>
      </c>
      <c r="BB20" s="6">
        <v>0.79470393297067499</v>
      </c>
      <c r="BC20" s="6">
        <v>1.4364617853644301E-2</v>
      </c>
      <c r="BD20" s="6">
        <v>7.7836136643114701E-2</v>
      </c>
      <c r="BE20" s="8">
        <v>0.24252693886908899</v>
      </c>
      <c r="BF20" s="10">
        <v>300780</v>
      </c>
      <c r="BG20" s="11">
        <v>108936</v>
      </c>
      <c r="BH20" s="11">
        <v>78506</v>
      </c>
      <c r="BI20" s="11">
        <v>44319</v>
      </c>
      <c r="BJ20" s="12">
        <v>0.36217833632555402</v>
      </c>
      <c r="BK20" s="12">
        <v>0.26100804574772302</v>
      </c>
      <c r="BL20" s="12">
        <v>0.14734689806503101</v>
      </c>
      <c r="BM20" s="12">
        <v>0.101170290577831</v>
      </c>
      <c r="BN20" s="12">
        <v>0.113661147682692</v>
      </c>
      <c r="BO20" s="12">
        <v>5.4800851120420199E-2</v>
      </c>
      <c r="BP20" s="12">
        <v>9.2546046944610702E-2</v>
      </c>
      <c r="BQ20" s="13">
        <v>52443</v>
      </c>
      <c r="BR20" s="13">
        <v>86888</v>
      </c>
      <c r="BS20" s="13">
        <v>612331</v>
      </c>
      <c r="BT20" s="11">
        <v>770387</v>
      </c>
      <c r="BU20" s="11">
        <v>822029</v>
      </c>
      <c r="BV20" s="12">
        <v>6.7033841432942207E-2</v>
      </c>
      <c r="BW20" s="12">
        <v>0.36597131360880097</v>
      </c>
      <c r="BX20" s="12">
        <v>0.74869773243837201</v>
      </c>
      <c r="BY20" s="12">
        <v>1.41201759635092E-2</v>
      </c>
      <c r="BZ20" s="12">
        <v>0.121020993344903</v>
      </c>
      <c r="CA20" s="14">
        <v>0.245359799685093</v>
      </c>
      <c r="CB20" s="98">
        <v>17500000</v>
      </c>
      <c r="CC20" s="83" t="s">
        <v>598</v>
      </c>
      <c r="CD20" s="83" t="s">
        <v>598</v>
      </c>
      <c r="CE20" s="83" t="s">
        <v>598</v>
      </c>
      <c r="CF20" s="83" t="s">
        <v>598</v>
      </c>
      <c r="CG20" s="90" t="str">
        <f t="shared" si="5"/>
        <v/>
      </c>
      <c r="CH20" s="90" t="str">
        <f t="shared" si="5"/>
        <v/>
      </c>
      <c r="CI20" s="90" t="str">
        <f t="shared" si="5"/>
        <v/>
      </c>
      <c r="CK20" s="98">
        <v>17500000</v>
      </c>
      <c r="CL20" s="83"/>
      <c r="CM20" s="83"/>
      <c r="CN20" s="83"/>
      <c r="CO20" s="83"/>
      <c r="CP20" s="90"/>
      <c r="CQ20" s="90"/>
      <c r="CR20" s="90"/>
    </row>
    <row r="21" spans="1:96" ht="25.5" thickTop="1" thickBot="1" x14ac:dyDescent="0.3">
      <c r="A21" s="3" t="s">
        <v>295</v>
      </c>
      <c r="B21" s="3">
        <v>940</v>
      </c>
      <c r="C21" s="3" t="s">
        <v>613</v>
      </c>
      <c r="D21" s="16">
        <v>45197</v>
      </c>
      <c r="E21" s="16" t="s">
        <v>545</v>
      </c>
      <c r="F21" s="16" t="s">
        <v>612</v>
      </c>
      <c r="G21" s="17">
        <f>H21*0.8</f>
        <v>13600</v>
      </c>
      <c r="H21" s="17">
        <v>17000</v>
      </c>
      <c r="I21" s="17" t="s">
        <v>583</v>
      </c>
      <c r="J21" s="18"/>
      <c r="K21" s="18"/>
      <c r="L21" s="18"/>
      <c r="M21" s="18" t="s">
        <v>598</v>
      </c>
      <c r="N21" s="137">
        <v>61947</v>
      </c>
      <c r="O21" s="138">
        <v>27670</v>
      </c>
      <c r="P21" s="138">
        <v>21465</v>
      </c>
      <c r="Q21" s="138">
        <v>13247</v>
      </c>
      <c r="R21" s="135">
        <v>0.44667215522947001</v>
      </c>
      <c r="S21" s="135">
        <v>0.34650588406218202</v>
      </c>
      <c r="T21" s="135">
        <v>0.21384409253071199</v>
      </c>
      <c r="U21" s="135">
        <v>0.100166271167288</v>
      </c>
      <c r="V21" s="135">
        <v>0.13266179153147001</v>
      </c>
      <c r="W21" s="135">
        <v>7.6452451289005102E-2</v>
      </c>
      <c r="X21" s="135">
        <v>0.137391641241707</v>
      </c>
      <c r="Y21" s="139">
        <v>64586</v>
      </c>
      <c r="Z21" s="139">
        <v>107784</v>
      </c>
      <c r="AA21" s="139">
        <v>978030</v>
      </c>
      <c r="AB21" s="138">
        <v>126888</v>
      </c>
      <c r="AC21" s="138">
        <v>138211</v>
      </c>
      <c r="AD21" s="135">
        <v>8.9236176785826904E-2</v>
      </c>
      <c r="AE21" s="135">
        <v>0.44232704089256403</v>
      </c>
      <c r="AF21" s="135">
        <v>0.193485593594351</v>
      </c>
      <c r="AG21" s="135">
        <v>2.1365298530988001E-2</v>
      </c>
      <c r="AH21" s="135">
        <v>0.276259378349411</v>
      </c>
      <c r="AI21" s="136">
        <v>0.30312559107244202</v>
      </c>
      <c r="AJ21" s="141">
        <v>120259</v>
      </c>
      <c r="AK21" s="142">
        <v>48575</v>
      </c>
      <c r="AL21" s="142">
        <v>35305</v>
      </c>
      <c r="AM21" s="142">
        <v>20541</v>
      </c>
      <c r="AN21" s="143">
        <v>0.40391987294090298</v>
      </c>
      <c r="AO21" s="143">
        <v>0.29357470126975899</v>
      </c>
      <c r="AP21" s="143">
        <v>0.17080634297640901</v>
      </c>
      <c r="AQ21" s="143">
        <v>0.11034517167114299</v>
      </c>
      <c r="AR21" s="143">
        <v>0.12276835829335001</v>
      </c>
      <c r="AS21" s="143">
        <v>6.3221879443534398E-2</v>
      </c>
      <c r="AT21" s="143">
        <v>0.107584463532875</v>
      </c>
      <c r="AU21" s="144">
        <v>58554</v>
      </c>
      <c r="AV21" s="144">
        <v>95297</v>
      </c>
      <c r="AW21" s="144">
        <v>855976</v>
      </c>
      <c r="AX21" s="142">
        <v>266415</v>
      </c>
      <c r="AY21" s="142">
        <v>284044</v>
      </c>
      <c r="AZ21" s="143">
        <v>6.61711990691215E-2</v>
      </c>
      <c r="BA21" s="143">
        <v>0.36816988667983203</v>
      </c>
      <c r="BB21" s="143">
        <v>0.19748512658821801</v>
      </c>
      <c r="BC21" s="143">
        <v>1.9315729219450899E-2</v>
      </c>
      <c r="BD21" s="143">
        <v>0.35376386464726101</v>
      </c>
      <c r="BE21" s="146">
        <v>0.29032524444944902</v>
      </c>
      <c r="BF21" s="137">
        <v>196585</v>
      </c>
      <c r="BG21" s="138">
        <v>69231</v>
      </c>
      <c r="BH21" s="138">
        <v>47826</v>
      </c>
      <c r="BI21" s="138">
        <v>25648</v>
      </c>
      <c r="BJ21" s="135">
        <v>0.35216827326601702</v>
      </c>
      <c r="BK21" s="135">
        <v>0.243284075590711</v>
      </c>
      <c r="BL21" s="135">
        <v>0.13046773660248701</v>
      </c>
      <c r="BM21" s="135">
        <v>0.10888419767530599</v>
      </c>
      <c r="BN21" s="135">
        <v>0.112816338988224</v>
      </c>
      <c r="BO21" s="135">
        <v>5.2572678485133702E-2</v>
      </c>
      <c r="BP21" s="135">
        <v>7.7895058117353796E-2</v>
      </c>
      <c r="BQ21" s="139">
        <v>52980</v>
      </c>
      <c r="BR21" s="139">
        <v>82747</v>
      </c>
      <c r="BS21" s="139">
        <v>693459</v>
      </c>
      <c r="BT21" s="138">
        <v>462227</v>
      </c>
      <c r="BU21" s="138">
        <v>489560</v>
      </c>
      <c r="BV21" s="135">
        <v>5.9133282997315198E-2</v>
      </c>
      <c r="BW21" s="135">
        <v>0.311118309883818</v>
      </c>
      <c r="BX21" s="135">
        <v>0.19847391000525699</v>
      </c>
      <c r="BY21" s="135">
        <v>1.8655336014555601E-2</v>
      </c>
      <c r="BZ21" s="135">
        <v>0.43134866634792002</v>
      </c>
      <c r="CA21" s="136">
        <v>0.27554859408905102</v>
      </c>
      <c r="CB21" s="98">
        <v>18000000</v>
      </c>
      <c r="CC21" s="83" t="s">
        <v>598</v>
      </c>
      <c r="CD21" s="83" t="s">
        <v>598</v>
      </c>
      <c r="CE21" s="83" t="s">
        <v>598</v>
      </c>
      <c r="CF21" s="83" t="s">
        <v>598</v>
      </c>
      <c r="CG21" s="90" t="str">
        <f t="shared" si="5"/>
        <v/>
      </c>
      <c r="CH21" s="90" t="str">
        <f t="shared" si="5"/>
        <v/>
      </c>
      <c r="CI21" s="90" t="str">
        <f t="shared" si="5"/>
        <v/>
      </c>
      <c r="CK21" s="98">
        <v>18000000</v>
      </c>
      <c r="CL21" s="83"/>
      <c r="CM21" s="83"/>
      <c r="CN21" s="83"/>
      <c r="CO21" s="83"/>
      <c r="CP21" s="90"/>
      <c r="CQ21" s="90"/>
      <c r="CR21" s="90"/>
    </row>
    <row r="22" spans="1:96" ht="61.5" thickTop="1" thickBot="1" x14ac:dyDescent="0.3">
      <c r="A22" s="3" t="s">
        <v>291</v>
      </c>
      <c r="B22" s="3">
        <v>533</v>
      </c>
      <c r="C22" s="3" t="s">
        <v>88</v>
      </c>
      <c r="D22" s="16">
        <v>43748</v>
      </c>
      <c r="E22" s="16" t="s">
        <v>534</v>
      </c>
      <c r="F22" s="16" t="s">
        <v>370</v>
      </c>
      <c r="G22" s="17">
        <v>18680</v>
      </c>
      <c r="H22" s="17">
        <v>23240</v>
      </c>
      <c r="I22" s="17" t="s">
        <v>584</v>
      </c>
      <c r="J22" s="18"/>
      <c r="K22" s="18" t="s">
        <v>598</v>
      </c>
      <c r="L22" s="18"/>
      <c r="M22" s="18" t="s">
        <v>519</v>
      </c>
      <c r="N22" s="10">
        <v>51937</v>
      </c>
      <c r="O22" s="11">
        <v>21287</v>
      </c>
      <c r="P22" s="11">
        <v>13454</v>
      </c>
      <c r="Q22" s="11">
        <v>4902</v>
      </c>
      <c r="R22" s="12">
        <v>0.40986194812946503</v>
      </c>
      <c r="S22" s="12">
        <v>0.25904461174114801</v>
      </c>
      <c r="T22" s="12">
        <v>9.4383580106667697E-2</v>
      </c>
      <c r="U22" s="12">
        <v>0.15081733638831701</v>
      </c>
      <c r="V22" s="12">
        <v>0.16466103163448001</v>
      </c>
      <c r="W22" s="12">
        <v>5.7454223386025398E-2</v>
      </c>
      <c r="X22" s="12">
        <v>3.6929356720642299E-2</v>
      </c>
      <c r="Y22" s="13">
        <v>59819</v>
      </c>
      <c r="Z22" s="13">
        <v>75847</v>
      </c>
      <c r="AA22" s="13">
        <v>495103</v>
      </c>
      <c r="AB22" s="11">
        <v>132270</v>
      </c>
      <c r="AC22" s="11">
        <v>137095</v>
      </c>
      <c r="AD22" s="12">
        <v>3.6478415362516101E-2</v>
      </c>
      <c r="AE22" s="12">
        <v>0.27937822920912603</v>
      </c>
      <c r="AF22" s="12">
        <v>0.63910183715128099</v>
      </c>
      <c r="AG22" s="12">
        <v>2.7549708928706399E-2</v>
      </c>
      <c r="AH22" s="12">
        <v>4.2004989793604001E-2</v>
      </c>
      <c r="AI22" s="14">
        <v>0.22090421108339001</v>
      </c>
      <c r="AJ22" s="4">
        <v>80652</v>
      </c>
      <c r="AK22" s="5">
        <v>33683</v>
      </c>
      <c r="AL22" s="5">
        <v>22017</v>
      </c>
      <c r="AM22" s="5">
        <v>8325</v>
      </c>
      <c r="AN22" s="6">
        <v>0.41763378465506101</v>
      </c>
      <c r="AO22" s="6">
        <v>0.27298765064722502</v>
      </c>
      <c r="AP22" s="6">
        <v>0.103221246838268</v>
      </c>
      <c r="AQ22" s="6">
        <v>0.14464613400783599</v>
      </c>
      <c r="AR22" s="6">
        <v>0.16976640380895699</v>
      </c>
      <c r="AS22" s="6">
        <v>6.0345682686108203E-2</v>
      </c>
      <c r="AT22" s="6">
        <v>4.2875564152159901E-2</v>
      </c>
      <c r="AU22" s="7">
        <v>60233</v>
      </c>
      <c r="AV22" s="7">
        <v>77553</v>
      </c>
      <c r="AW22" s="7">
        <v>558872</v>
      </c>
      <c r="AX22" s="5">
        <v>215382</v>
      </c>
      <c r="AY22" s="5">
        <v>223861</v>
      </c>
      <c r="AZ22" s="6">
        <v>3.93672637453455E-2</v>
      </c>
      <c r="BA22" s="6">
        <v>0.26560829775935701</v>
      </c>
      <c r="BB22" s="6">
        <v>0.66163839132332303</v>
      </c>
      <c r="BC22" s="6">
        <v>2.87396346955642E-2</v>
      </c>
      <c r="BD22" s="6">
        <v>4.2612660296589298E-2</v>
      </c>
      <c r="BE22" s="8">
        <v>0.22307806594794399</v>
      </c>
      <c r="BF22" s="10">
        <v>99840</v>
      </c>
      <c r="BG22" s="11">
        <v>38277</v>
      </c>
      <c r="BH22" s="11">
        <v>24921</v>
      </c>
      <c r="BI22" s="11">
        <v>9159</v>
      </c>
      <c r="BJ22" s="12">
        <v>0.38338341346153798</v>
      </c>
      <c r="BK22" s="12">
        <v>0.24960937499999999</v>
      </c>
      <c r="BL22" s="12">
        <v>9.1736778846153805E-2</v>
      </c>
      <c r="BM22" s="12">
        <v>0.13377403846153799</v>
      </c>
      <c r="BN22" s="12">
        <v>0.157872596153846</v>
      </c>
      <c r="BO22" s="12">
        <v>5.3465544871794897E-2</v>
      </c>
      <c r="BP22" s="12">
        <v>3.8271233974358998E-2</v>
      </c>
      <c r="BQ22" s="13">
        <v>55226</v>
      </c>
      <c r="BR22" s="13">
        <v>73082</v>
      </c>
      <c r="BS22" s="13">
        <v>501138</v>
      </c>
      <c r="BT22" s="11">
        <v>270458</v>
      </c>
      <c r="BU22" s="11">
        <v>280341</v>
      </c>
      <c r="BV22" s="12">
        <v>3.6541718122592E-2</v>
      </c>
      <c r="BW22" s="12">
        <v>0.23357648208218801</v>
      </c>
      <c r="BX22" s="12">
        <v>0.66761197672096995</v>
      </c>
      <c r="BY22" s="12">
        <v>2.6244370660139502E-2</v>
      </c>
      <c r="BZ22" s="12">
        <v>4.6576547929807997E-2</v>
      </c>
      <c r="CA22" s="14">
        <v>0.22677827980684601</v>
      </c>
      <c r="CB22" s="86">
        <f>IF(SUM(CC22:CF22)=0,"",SUM(CC22:CF22))</f>
        <v>13666024.306110699</v>
      </c>
      <c r="CC22" s="83">
        <v>3250997.6261110599</v>
      </c>
      <c r="CD22" s="83">
        <v>7996676.0699996296</v>
      </c>
      <c r="CE22" s="83">
        <v>1438731.12</v>
      </c>
      <c r="CF22" s="83">
        <v>979619.49000001</v>
      </c>
      <c r="CG22" s="90">
        <f t="shared" si="5"/>
        <v>0.23788905634079632</v>
      </c>
      <c r="CH22" s="90">
        <f t="shared" si="5"/>
        <v>0.58515014249052322</v>
      </c>
      <c r="CI22" s="90">
        <f t="shared" si="5"/>
        <v>0.10527795705417253</v>
      </c>
      <c r="CK22" s="86">
        <f t="shared" si="1"/>
        <v>13402902</v>
      </c>
      <c r="CL22" s="83">
        <v>3101374</v>
      </c>
      <c r="CM22" s="83">
        <v>7989887</v>
      </c>
      <c r="CN22" s="83">
        <v>1398053</v>
      </c>
      <c r="CO22" s="83">
        <v>913588</v>
      </c>
      <c r="CP22" s="90">
        <f t="shared" si="2"/>
        <v>0.23139570818319793</v>
      </c>
      <c r="CQ22" s="90">
        <f t="shared" si="2"/>
        <v>0.59613112145414482</v>
      </c>
      <c r="CR22" s="90">
        <f t="shared" si="2"/>
        <v>0.10430972337184888</v>
      </c>
    </row>
    <row r="23" spans="1:96" ht="37.5" thickTop="1" thickBot="1" x14ac:dyDescent="0.3">
      <c r="A23" s="3" t="s">
        <v>299</v>
      </c>
      <c r="B23" s="3">
        <v>1302</v>
      </c>
      <c r="C23" s="3" t="s">
        <v>211</v>
      </c>
      <c r="D23" s="16">
        <v>41396</v>
      </c>
      <c r="E23" s="16" t="s">
        <v>560</v>
      </c>
      <c r="F23" s="16" t="s">
        <v>469</v>
      </c>
      <c r="G23" s="17">
        <v>17992</v>
      </c>
      <c r="H23" s="17">
        <v>23200</v>
      </c>
      <c r="I23" s="17" t="s">
        <v>584</v>
      </c>
      <c r="J23" s="18"/>
      <c r="K23" s="18" t="s">
        <v>598</v>
      </c>
      <c r="L23" s="18"/>
      <c r="M23" s="18" t="s">
        <v>598</v>
      </c>
      <c r="N23" s="10">
        <v>64957</v>
      </c>
      <c r="O23" s="11">
        <v>18487</v>
      </c>
      <c r="P23" s="11">
        <v>11756</v>
      </c>
      <c r="Q23" s="11">
        <v>4725</v>
      </c>
      <c r="R23" s="12">
        <v>0.28460366088335398</v>
      </c>
      <c r="S23" s="12">
        <v>0.180981264528842</v>
      </c>
      <c r="T23" s="12">
        <v>7.27404282833259E-2</v>
      </c>
      <c r="U23" s="12">
        <v>0.103622396354511</v>
      </c>
      <c r="V23" s="12">
        <v>0.108240836245516</v>
      </c>
      <c r="W23" s="12">
        <v>3.8456209492433502E-2</v>
      </c>
      <c r="X23" s="12">
        <v>3.4284218790892398E-2</v>
      </c>
      <c r="Y23" s="13">
        <v>44147</v>
      </c>
      <c r="Z23" s="13">
        <v>63524</v>
      </c>
      <c r="AA23" s="13">
        <v>374089</v>
      </c>
      <c r="AB23" s="11">
        <v>145344</v>
      </c>
      <c r="AC23" s="11">
        <v>144936</v>
      </c>
      <c r="AD23" s="12">
        <v>-2.80713342140026E-3</v>
      </c>
      <c r="AE23" s="12">
        <v>0.35063438256658602</v>
      </c>
      <c r="AF23" s="12">
        <v>0.43961911052399799</v>
      </c>
      <c r="AG23" s="12">
        <v>2.9041446499339499E-2</v>
      </c>
      <c r="AH23" s="12">
        <v>3.6568416996917701E-2</v>
      </c>
      <c r="AI23" s="14">
        <v>0.232668703214443</v>
      </c>
      <c r="AJ23" s="4">
        <v>139245</v>
      </c>
      <c r="AK23" s="5">
        <v>45851</v>
      </c>
      <c r="AL23" s="5">
        <v>29993</v>
      </c>
      <c r="AM23" s="5">
        <v>13091</v>
      </c>
      <c r="AN23" s="6">
        <v>0.32928291859671799</v>
      </c>
      <c r="AO23" s="6">
        <v>0.21539732126826799</v>
      </c>
      <c r="AP23" s="6">
        <v>9.4014147725232505E-2</v>
      </c>
      <c r="AQ23" s="6">
        <v>0.11388559732844999</v>
      </c>
      <c r="AR23" s="6">
        <v>0.121383173543036</v>
      </c>
      <c r="AS23" s="6">
        <v>4.99551150849223E-2</v>
      </c>
      <c r="AT23" s="6">
        <v>4.4059032640310199E-2</v>
      </c>
      <c r="AU23" s="7">
        <v>50283</v>
      </c>
      <c r="AV23" s="7">
        <v>70759</v>
      </c>
      <c r="AW23" s="7">
        <v>550548</v>
      </c>
      <c r="AX23" s="5">
        <v>312868</v>
      </c>
      <c r="AY23" s="5">
        <v>312463</v>
      </c>
      <c r="AZ23" s="6">
        <v>-1.2944756255034099E-3</v>
      </c>
      <c r="BA23" s="6">
        <v>0.38035149954531899</v>
      </c>
      <c r="BB23" s="6">
        <v>0.41176150964624098</v>
      </c>
      <c r="BC23" s="6">
        <v>3.5577304166613401E-2</v>
      </c>
      <c r="BD23" s="6">
        <v>3.7031591597734503E-2</v>
      </c>
      <c r="BE23" s="8">
        <v>0.24062543948246501</v>
      </c>
      <c r="BF23" s="10">
        <v>177619</v>
      </c>
      <c r="BG23" s="11">
        <v>64251</v>
      </c>
      <c r="BH23" s="11">
        <v>44146</v>
      </c>
      <c r="BI23" s="11">
        <v>21729</v>
      </c>
      <c r="BJ23" s="12">
        <v>0.36173494952679602</v>
      </c>
      <c r="BK23" s="12">
        <v>0.248543230172448</v>
      </c>
      <c r="BL23" s="12">
        <v>0.122334885344473</v>
      </c>
      <c r="BM23" s="12">
        <v>0.11319171935434801</v>
      </c>
      <c r="BN23" s="12">
        <v>0.126208344827974</v>
      </c>
      <c r="BO23" s="12">
        <v>5.9948541541163997E-2</v>
      </c>
      <c r="BP23" s="12">
        <v>6.2386343803309298E-2</v>
      </c>
      <c r="BQ23" s="13">
        <v>53355</v>
      </c>
      <c r="BR23" s="13">
        <v>78712</v>
      </c>
      <c r="BS23" s="13">
        <v>763609</v>
      </c>
      <c r="BT23" s="11">
        <v>405840</v>
      </c>
      <c r="BU23" s="11">
        <v>406664</v>
      </c>
      <c r="BV23" s="12">
        <v>2.0303567908535399E-3</v>
      </c>
      <c r="BW23" s="12">
        <v>0.40143831763768101</v>
      </c>
      <c r="BX23" s="12">
        <v>0.42848166765227702</v>
      </c>
      <c r="BY23" s="12">
        <v>3.6134930021683401E-2</v>
      </c>
      <c r="BZ23" s="12">
        <v>3.2236842105263203E-2</v>
      </c>
      <c r="CA23" s="14">
        <v>0.25325744135619899</v>
      </c>
      <c r="CB23" s="86">
        <f>IF(SUM(CC23:CF23)=0,"",SUM(CC23:CF23))</f>
        <v>27058863.567832537</v>
      </c>
      <c r="CC23" s="83">
        <v>7664714.8478331296</v>
      </c>
      <c r="CD23" s="83">
        <v>12694799.3699995</v>
      </c>
      <c r="CE23" s="83">
        <v>4909236.1699999096</v>
      </c>
      <c r="CF23" s="83">
        <v>1790113.18</v>
      </c>
      <c r="CG23" s="90">
        <f t="shared" si="5"/>
        <v>0.28326078176264985</v>
      </c>
      <c r="CH23" s="90">
        <f t="shared" si="5"/>
        <v>0.46915493469175196</v>
      </c>
      <c r="CI23" s="90">
        <f t="shared" si="5"/>
        <v>0.18142802478356809</v>
      </c>
      <c r="CK23" s="86">
        <f t="shared" si="1"/>
        <v>26967049</v>
      </c>
      <c r="CL23" s="83">
        <v>7392825</v>
      </c>
      <c r="CM23" s="83">
        <v>13078204</v>
      </c>
      <c r="CN23" s="83">
        <v>4760316</v>
      </c>
      <c r="CO23" s="83">
        <v>1735704</v>
      </c>
      <c r="CP23" s="90">
        <f t="shared" si="2"/>
        <v>0.27414289935839847</v>
      </c>
      <c r="CQ23" s="90">
        <f t="shared" si="2"/>
        <v>0.48496978664591739</v>
      </c>
      <c r="CR23" s="90">
        <f t="shared" si="2"/>
        <v>0.17652343050216582</v>
      </c>
    </row>
    <row r="24" spans="1:96" ht="49.5" thickTop="1" thickBot="1" x14ac:dyDescent="0.3">
      <c r="A24" s="3" t="s">
        <v>296</v>
      </c>
      <c r="B24" s="3">
        <v>1012</v>
      </c>
      <c r="C24" s="3" t="s">
        <v>165</v>
      </c>
      <c r="D24" s="16">
        <v>44539</v>
      </c>
      <c r="E24" s="16" t="s">
        <v>551</v>
      </c>
      <c r="F24" s="16" t="s">
        <v>633</v>
      </c>
      <c r="G24" s="17">
        <v>19387</v>
      </c>
      <c r="H24" s="17">
        <v>22965</v>
      </c>
      <c r="I24" s="17" t="s">
        <v>584</v>
      </c>
      <c r="J24" s="18"/>
      <c r="K24" s="18" t="s">
        <v>598</v>
      </c>
      <c r="L24" s="18"/>
      <c r="M24" s="18" t="s">
        <v>598</v>
      </c>
      <c r="N24" s="10">
        <v>12881</v>
      </c>
      <c r="O24" s="11">
        <v>3337</v>
      </c>
      <c r="P24" s="11">
        <v>2210</v>
      </c>
      <c r="Q24" s="11">
        <v>980</v>
      </c>
      <c r="R24" s="12">
        <v>0.259063737287478</v>
      </c>
      <c r="S24" s="12">
        <v>0.17157053023833599</v>
      </c>
      <c r="T24" s="12">
        <v>7.6081049607949702E-2</v>
      </c>
      <c r="U24" s="12">
        <v>8.7493207049142194E-2</v>
      </c>
      <c r="V24" s="12">
        <v>9.5489480630385801E-2</v>
      </c>
      <c r="W24" s="12">
        <v>3.7885257355795399E-2</v>
      </c>
      <c r="X24" s="12">
        <v>3.8195792252154297E-2</v>
      </c>
      <c r="Y24" s="13">
        <v>48705</v>
      </c>
      <c r="Z24" s="13">
        <v>67623</v>
      </c>
      <c r="AA24" s="13">
        <v>772276</v>
      </c>
      <c r="AB24" s="11">
        <v>27193</v>
      </c>
      <c r="AC24" s="11">
        <v>28764</v>
      </c>
      <c r="AD24" s="12">
        <v>5.7772220792115601E-2</v>
      </c>
      <c r="AE24" s="12">
        <v>0.36466937434399699</v>
      </c>
      <c r="AF24" s="12">
        <v>0.114808958187769</v>
      </c>
      <c r="AG24" s="12">
        <v>1.62541830618174E-2</v>
      </c>
      <c r="AH24" s="12">
        <v>1.0848380097819301E-2</v>
      </c>
      <c r="AI24" s="14">
        <v>0.31636818298826902</v>
      </c>
      <c r="AJ24" s="4">
        <v>24965</v>
      </c>
      <c r="AK24" s="5">
        <v>7853</v>
      </c>
      <c r="AL24" s="5">
        <v>5604</v>
      </c>
      <c r="AM24" s="5">
        <v>2684</v>
      </c>
      <c r="AN24" s="6">
        <v>0.314560384538354</v>
      </c>
      <c r="AO24" s="6">
        <v>0.224474263969557</v>
      </c>
      <c r="AP24" s="6">
        <v>0.107510514720609</v>
      </c>
      <c r="AQ24" s="6">
        <v>9.0086120568796293E-2</v>
      </c>
      <c r="AR24" s="6">
        <v>0.11696374924894901</v>
      </c>
      <c r="AS24" s="6">
        <v>5.4556378930502698E-2</v>
      </c>
      <c r="AT24" s="6">
        <v>5.2954135790106098E-2</v>
      </c>
      <c r="AU24" s="7">
        <v>53425</v>
      </c>
      <c r="AV24" s="7">
        <v>77083</v>
      </c>
      <c r="AW24" s="7">
        <v>1046166</v>
      </c>
      <c r="AX24" s="5">
        <v>53087</v>
      </c>
      <c r="AY24" s="5">
        <v>56404</v>
      </c>
      <c r="AZ24" s="6">
        <v>6.2482340309303601E-2</v>
      </c>
      <c r="BA24" s="6">
        <v>0.38483734351002902</v>
      </c>
      <c r="BB24" s="6">
        <v>9.9949140090794406E-2</v>
      </c>
      <c r="BC24" s="6">
        <v>1.63693559628534E-2</v>
      </c>
      <c r="BD24" s="6">
        <v>9.3054796842918196E-3</v>
      </c>
      <c r="BE24" s="8">
        <v>0.33727654604705498</v>
      </c>
      <c r="BF24" s="10">
        <v>33861</v>
      </c>
      <c r="BG24" s="11">
        <v>10659</v>
      </c>
      <c r="BH24" s="11">
        <v>7451</v>
      </c>
      <c r="BI24" s="11">
        <v>3517</v>
      </c>
      <c r="BJ24" s="12">
        <v>0.31478692300877098</v>
      </c>
      <c r="BK24" s="12">
        <v>0.22004666135081699</v>
      </c>
      <c r="BL24" s="12">
        <v>0.10386580431765199</v>
      </c>
      <c r="BM24" s="12">
        <v>9.47402616579546E-2</v>
      </c>
      <c r="BN24" s="12">
        <v>0.116180857033165</v>
      </c>
      <c r="BO24" s="12">
        <v>5.29813059271729E-2</v>
      </c>
      <c r="BP24" s="12">
        <v>5.0884498390478698E-2</v>
      </c>
      <c r="BQ24" s="13">
        <v>53430</v>
      </c>
      <c r="BR24" s="13">
        <v>76331</v>
      </c>
      <c r="BS24" s="13">
        <v>977369</v>
      </c>
      <c r="BT24" s="11">
        <v>74414</v>
      </c>
      <c r="BU24" s="11">
        <v>80814</v>
      </c>
      <c r="BV24" s="12">
        <v>8.6005321579272695E-2</v>
      </c>
      <c r="BW24" s="12">
        <v>0.35503899835796399</v>
      </c>
      <c r="BX24" s="12">
        <v>0.119654903647163</v>
      </c>
      <c r="BY24" s="12">
        <v>1.7201064315854501E-2</v>
      </c>
      <c r="BZ24" s="12">
        <v>9.5412153627005697E-3</v>
      </c>
      <c r="CA24" s="14">
        <v>0.32430725401134203</v>
      </c>
      <c r="CB24" s="86">
        <f>IF(SUM(CC24:CF24)=0,"",SUM(CC24:CF24))</f>
        <v>11157662.132499738</v>
      </c>
      <c r="CC24" s="83">
        <v>4056204.3024999201</v>
      </c>
      <c r="CD24" s="83">
        <v>4750387.3299998101</v>
      </c>
      <c r="CE24" s="83">
        <v>1628630.27</v>
      </c>
      <c r="CF24" s="83">
        <v>722440.23000000801</v>
      </c>
      <c r="CG24" s="90">
        <f t="shared" si="5"/>
        <v>0.3635353225730969</v>
      </c>
      <c r="CH24" s="90">
        <f t="shared" si="5"/>
        <v>0.42575113617780286</v>
      </c>
      <c r="CI24" s="90">
        <f t="shared" si="5"/>
        <v>0.1459651897198222</v>
      </c>
      <c r="CK24" s="86">
        <f t="shared" si="1"/>
        <v>11594703</v>
      </c>
      <c r="CL24" s="83">
        <v>4141790</v>
      </c>
      <c r="CM24" s="83">
        <v>4989944</v>
      </c>
      <c r="CN24" s="83">
        <v>1694309</v>
      </c>
      <c r="CO24" s="83">
        <v>768660</v>
      </c>
      <c r="CP24" s="90">
        <f t="shared" si="2"/>
        <v>0.35721397952151079</v>
      </c>
      <c r="CQ24" s="90">
        <f t="shared" si="2"/>
        <v>0.4303641067822091</v>
      </c>
      <c r="CR24" s="90">
        <f t="shared" si="2"/>
        <v>0.14612784820792737</v>
      </c>
    </row>
    <row r="25" spans="1:96" ht="49.5" thickTop="1" thickBot="1" x14ac:dyDescent="0.3">
      <c r="A25" s="3" t="s">
        <v>300</v>
      </c>
      <c r="B25" s="3">
        <v>1403</v>
      </c>
      <c r="C25" s="3" t="s">
        <v>215</v>
      </c>
      <c r="D25" s="16">
        <v>41215</v>
      </c>
      <c r="E25" s="16" t="s">
        <v>562</v>
      </c>
      <c r="F25" s="16" t="s">
        <v>473</v>
      </c>
      <c r="G25" s="17">
        <v>17695</v>
      </c>
      <c r="H25" s="17">
        <v>22402</v>
      </c>
      <c r="I25" s="17" t="s">
        <v>584</v>
      </c>
      <c r="J25" s="18"/>
      <c r="K25" s="18" t="s">
        <v>598</v>
      </c>
      <c r="L25" s="18"/>
      <c r="M25" s="18" t="s">
        <v>598</v>
      </c>
      <c r="N25" s="10">
        <v>24842</v>
      </c>
      <c r="O25" s="11">
        <v>8526</v>
      </c>
      <c r="P25" s="11">
        <v>5678</v>
      </c>
      <c r="Q25" s="11">
        <v>2426</v>
      </c>
      <c r="R25" s="12">
        <v>0.34320908139441297</v>
      </c>
      <c r="S25" s="12">
        <v>0.228564527815796</v>
      </c>
      <c r="T25" s="12">
        <v>9.76571934626842E-2</v>
      </c>
      <c r="U25" s="12">
        <v>0.114644553578617</v>
      </c>
      <c r="V25" s="12">
        <v>0.130907334353112</v>
      </c>
      <c r="W25" s="12">
        <v>6.7426133161581206E-2</v>
      </c>
      <c r="X25" s="12">
        <v>3.0231060301103001E-2</v>
      </c>
      <c r="Y25" s="13">
        <v>53254</v>
      </c>
      <c r="Z25" s="13">
        <v>71090</v>
      </c>
      <c r="AA25" s="13">
        <v>529977</v>
      </c>
      <c r="AB25" s="11">
        <v>62029</v>
      </c>
      <c r="AC25" s="11">
        <v>65561</v>
      </c>
      <c r="AD25" s="12">
        <v>5.6941108191329901E-2</v>
      </c>
      <c r="AE25" s="12">
        <v>0.29887123445251301</v>
      </c>
      <c r="AF25" s="12">
        <v>6.8193909300488506E-2</v>
      </c>
      <c r="AG25" s="12">
        <v>2.9470086572409699E-2</v>
      </c>
      <c r="AH25" s="12">
        <v>1.6959809121539899E-2</v>
      </c>
      <c r="AI25" s="14">
        <v>0.21570555707814101</v>
      </c>
      <c r="AJ25" s="4">
        <v>63536</v>
      </c>
      <c r="AK25" s="5">
        <v>22531</v>
      </c>
      <c r="AL25" s="5">
        <v>14158</v>
      </c>
      <c r="AM25" s="5">
        <v>5739</v>
      </c>
      <c r="AN25" s="6">
        <v>0.35461785444472399</v>
      </c>
      <c r="AO25" s="6">
        <v>0.222834298665324</v>
      </c>
      <c r="AP25" s="6">
        <v>9.0326743893225897E-2</v>
      </c>
      <c r="AQ25" s="6">
        <v>0.13178355577940101</v>
      </c>
      <c r="AR25" s="6">
        <v>0.132507554772098</v>
      </c>
      <c r="AS25" s="6">
        <v>6.1901913875598097E-2</v>
      </c>
      <c r="AT25" s="6">
        <v>2.84248300176278E-2</v>
      </c>
      <c r="AU25" s="7">
        <v>55886</v>
      </c>
      <c r="AV25" s="7">
        <v>72006</v>
      </c>
      <c r="AW25" s="7">
        <v>544898</v>
      </c>
      <c r="AX25" s="5">
        <v>161718</v>
      </c>
      <c r="AY25" s="5">
        <v>169804</v>
      </c>
      <c r="AZ25" s="6">
        <v>5.00006183603557E-2</v>
      </c>
      <c r="BA25" s="6">
        <v>0.28906794622244403</v>
      </c>
      <c r="BB25" s="6">
        <v>6.7234321473181702E-2</v>
      </c>
      <c r="BC25" s="6">
        <v>2.5266204133120598E-2</v>
      </c>
      <c r="BD25" s="6">
        <v>1.89589285051757E-2</v>
      </c>
      <c r="BE25" s="8">
        <v>0.233220791748599</v>
      </c>
      <c r="BF25" s="10">
        <v>92791</v>
      </c>
      <c r="BG25" s="11">
        <v>31353</v>
      </c>
      <c r="BH25" s="11">
        <v>19493</v>
      </c>
      <c r="BI25" s="11">
        <v>8072</v>
      </c>
      <c r="BJ25" s="12">
        <v>0.33788837279477502</v>
      </c>
      <c r="BK25" s="12">
        <v>0.21007425289090501</v>
      </c>
      <c r="BL25" s="12">
        <v>8.6991195266782298E-2</v>
      </c>
      <c r="BM25" s="12">
        <v>0.12781411990387001</v>
      </c>
      <c r="BN25" s="12">
        <v>0.123083057624123</v>
      </c>
      <c r="BO25" s="12">
        <v>5.9100559321485897E-2</v>
      </c>
      <c r="BP25" s="12">
        <v>2.7890635945296401E-2</v>
      </c>
      <c r="BQ25" s="13">
        <v>53691</v>
      </c>
      <c r="BR25" s="13">
        <v>69400</v>
      </c>
      <c r="BS25" s="13">
        <v>507278</v>
      </c>
      <c r="BT25" s="11">
        <v>232992</v>
      </c>
      <c r="BU25" s="11">
        <v>245209</v>
      </c>
      <c r="BV25" s="12">
        <v>5.2435276747699502E-2</v>
      </c>
      <c r="BW25" s="12">
        <v>0.28991346056237899</v>
      </c>
      <c r="BX25" s="12">
        <v>6.9444444444444406E-2</v>
      </c>
      <c r="BY25" s="12">
        <v>2.66790276060981E-2</v>
      </c>
      <c r="BZ25" s="12">
        <v>2.3515828869660801E-2</v>
      </c>
      <c r="CA25" s="14">
        <v>0.23299512429611299</v>
      </c>
      <c r="CB25" s="86">
        <f>IF(SUM(CC25:CF25)=0,"",SUM(CC25:CF25))</f>
        <v>15541852.38999955</v>
      </c>
      <c r="CC25" s="83">
        <v>3648990.2899999302</v>
      </c>
      <c r="CD25" s="83">
        <v>7438957.68999968</v>
      </c>
      <c r="CE25" s="83">
        <v>3341930.5299999299</v>
      </c>
      <c r="CF25" s="83">
        <v>1111973.8800000099</v>
      </c>
      <c r="CG25" s="90">
        <f t="shared" si="5"/>
        <v>0.23478477329690015</v>
      </c>
      <c r="CH25" s="90">
        <f t="shared" si="5"/>
        <v>0.47864035144139566</v>
      </c>
      <c r="CI25" s="90">
        <f t="shared" si="5"/>
        <v>0.21502781303921692</v>
      </c>
      <c r="CK25" s="86">
        <f t="shared" si="1"/>
        <v>15167261</v>
      </c>
      <c r="CL25" s="83">
        <v>3517062</v>
      </c>
      <c r="CM25" s="83">
        <v>7353813</v>
      </c>
      <c r="CN25" s="83">
        <v>3215143</v>
      </c>
      <c r="CO25" s="83">
        <v>1081243</v>
      </c>
      <c r="CP25" s="90">
        <f t="shared" si="2"/>
        <v>0.23188511096367367</v>
      </c>
      <c r="CQ25" s="90">
        <f t="shared" si="2"/>
        <v>0.48484779156895896</v>
      </c>
      <c r="CR25" s="90">
        <f t="shared" si="2"/>
        <v>0.21197914376234445</v>
      </c>
    </row>
    <row r="26" spans="1:96" ht="25.5" thickTop="1" thickBot="1" x14ac:dyDescent="0.3">
      <c r="A26" s="3" t="s">
        <v>313</v>
      </c>
      <c r="B26" s="3">
        <v>2705</v>
      </c>
      <c r="C26" s="3" t="s">
        <v>724</v>
      </c>
      <c r="D26" s="16">
        <v>45176</v>
      </c>
      <c r="E26" s="16" t="s">
        <v>580</v>
      </c>
      <c r="F26" s="16" t="s">
        <v>618</v>
      </c>
      <c r="G26" s="17">
        <f>H26*0.8</f>
        <v>22404.800000000003</v>
      </c>
      <c r="H26" s="17">
        <v>28006</v>
      </c>
      <c r="I26" s="17" t="s">
        <v>585</v>
      </c>
      <c r="J26" s="18"/>
      <c r="K26" s="18"/>
      <c r="L26" s="18"/>
      <c r="M26" s="18" t="s">
        <v>598</v>
      </c>
      <c r="N26" s="137">
        <v>21934</v>
      </c>
      <c r="O26" s="138">
        <v>10639</v>
      </c>
      <c r="P26" s="138">
        <v>6734</v>
      </c>
      <c r="Q26" s="138">
        <v>2595</v>
      </c>
      <c r="R26" s="135">
        <v>0.48504604723260702</v>
      </c>
      <c r="S26" s="135">
        <v>0.30701194492568601</v>
      </c>
      <c r="T26" s="135">
        <v>0.11830947387617401</v>
      </c>
      <c r="U26" s="135">
        <v>0.17803410230692099</v>
      </c>
      <c r="V26" s="135">
        <v>0.18870247104951199</v>
      </c>
      <c r="W26" s="135">
        <v>6.9891492659797605E-2</v>
      </c>
      <c r="X26" s="135">
        <v>4.8417981216376402E-2</v>
      </c>
      <c r="Y26" s="139">
        <v>72636</v>
      </c>
      <c r="Z26" s="139">
        <v>87626</v>
      </c>
      <c r="AA26" s="139">
        <v>635747</v>
      </c>
      <c r="AB26" s="138">
        <v>61033</v>
      </c>
      <c r="AC26" s="138">
        <v>64704</v>
      </c>
      <c r="AD26" s="135">
        <v>6.0147788901086303E-2</v>
      </c>
      <c r="AE26" s="135">
        <v>0.30759011380157403</v>
      </c>
      <c r="AF26" s="135">
        <v>9.35723297232645E-2</v>
      </c>
      <c r="AG26" s="135">
        <v>5.2774728425605801E-2</v>
      </c>
      <c r="AH26" s="135">
        <v>0.18912719348549101</v>
      </c>
      <c r="AI26" s="136">
        <v>0.214900135992004</v>
      </c>
      <c r="AJ26" s="141">
        <v>58751</v>
      </c>
      <c r="AK26" s="142">
        <v>24953</v>
      </c>
      <c r="AL26" s="142">
        <v>16242</v>
      </c>
      <c r="AM26" s="142">
        <v>6534</v>
      </c>
      <c r="AN26" s="143">
        <v>0.424724685537267</v>
      </c>
      <c r="AO26" s="143">
        <v>0.27645486885329601</v>
      </c>
      <c r="AP26" s="143">
        <v>0.11121512825313599</v>
      </c>
      <c r="AQ26" s="143">
        <v>0.14826981668397099</v>
      </c>
      <c r="AR26" s="143">
        <v>0.16523974060016</v>
      </c>
      <c r="AS26" s="143">
        <v>6.7011625334036901E-2</v>
      </c>
      <c r="AT26" s="143">
        <v>4.4203502919099198E-2</v>
      </c>
      <c r="AU26" s="144">
        <v>62925</v>
      </c>
      <c r="AV26" s="144">
        <v>80946</v>
      </c>
      <c r="AW26" s="144">
        <v>608708</v>
      </c>
      <c r="AX26" s="142">
        <v>153169</v>
      </c>
      <c r="AY26" s="142">
        <v>161782</v>
      </c>
      <c r="AZ26" s="143">
        <v>5.6232005170759103E-2</v>
      </c>
      <c r="BA26" s="143">
        <v>0.31293105992778403</v>
      </c>
      <c r="BB26" s="143">
        <v>0.110681665350038</v>
      </c>
      <c r="BC26" s="143">
        <v>4.5002578850811797E-2</v>
      </c>
      <c r="BD26" s="143">
        <v>0.185611971090756</v>
      </c>
      <c r="BE26" s="146">
        <v>0.22232305492625801</v>
      </c>
      <c r="BF26" s="137">
        <v>107853</v>
      </c>
      <c r="BG26" s="138">
        <v>41002</v>
      </c>
      <c r="BH26" s="138">
        <v>26371</v>
      </c>
      <c r="BI26" s="138">
        <v>10569</v>
      </c>
      <c r="BJ26" s="135">
        <v>0.38016559576460601</v>
      </c>
      <c r="BK26" s="135">
        <v>0.24450872947437699</v>
      </c>
      <c r="BL26" s="135">
        <v>9.7994492503685596E-2</v>
      </c>
      <c r="BM26" s="135">
        <v>0.135656866290228</v>
      </c>
      <c r="BN26" s="135">
        <v>0.14651423697069199</v>
      </c>
      <c r="BO26" s="135">
        <v>6.0656634493245397E-2</v>
      </c>
      <c r="BP26" s="135">
        <v>3.7337858010440102E-2</v>
      </c>
      <c r="BQ26" s="139">
        <v>57047</v>
      </c>
      <c r="BR26" s="139">
        <v>75326</v>
      </c>
      <c r="BS26" s="139">
        <v>525965</v>
      </c>
      <c r="BT26" s="138">
        <v>286575</v>
      </c>
      <c r="BU26" s="138">
        <v>301386</v>
      </c>
      <c r="BV26" s="135">
        <v>5.1682805548285797E-2</v>
      </c>
      <c r="BW26" s="135">
        <v>0.28104250894619598</v>
      </c>
      <c r="BX26" s="135">
        <v>0.130457995289191</v>
      </c>
      <c r="BY26" s="135">
        <v>3.7784175172293502E-2</v>
      </c>
      <c r="BZ26" s="135">
        <v>0.19717700427462301</v>
      </c>
      <c r="CA26" s="136">
        <v>0.22069964232748801</v>
      </c>
      <c r="CB26" s="98">
        <v>14000000</v>
      </c>
      <c r="CC26" s="83" t="s">
        <v>598</v>
      </c>
      <c r="CD26" s="83" t="s">
        <v>598</v>
      </c>
      <c r="CE26" s="83" t="s">
        <v>598</v>
      </c>
      <c r="CF26" s="83" t="s">
        <v>598</v>
      </c>
      <c r="CG26" s="90" t="str">
        <f t="shared" si="5"/>
        <v/>
      </c>
      <c r="CH26" s="90" t="str">
        <f t="shared" si="5"/>
        <v/>
      </c>
      <c r="CI26" s="90" t="str">
        <f t="shared" si="5"/>
        <v/>
      </c>
      <c r="CK26" s="98">
        <v>14000000</v>
      </c>
      <c r="CL26" s="83"/>
      <c r="CM26" s="83"/>
      <c r="CN26" s="83"/>
      <c r="CO26" s="83"/>
      <c r="CP26" s="90"/>
      <c r="CQ26" s="90"/>
      <c r="CR26" s="90"/>
    </row>
    <row r="27" spans="1:96" ht="37.5" thickTop="1" thickBot="1" x14ac:dyDescent="0.3">
      <c r="A27" s="3" t="s">
        <v>288</v>
      </c>
      <c r="B27" s="3">
        <v>213</v>
      </c>
      <c r="C27" s="3" t="s">
        <v>39</v>
      </c>
      <c r="D27" s="16">
        <v>38026</v>
      </c>
      <c r="E27" s="16" t="s">
        <v>523</v>
      </c>
      <c r="F27" s="16" t="s">
        <v>326</v>
      </c>
      <c r="G27" s="17">
        <v>9031</v>
      </c>
      <c r="H27" s="17">
        <v>9214</v>
      </c>
      <c r="I27" s="17" t="s">
        <v>583</v>
      </c>
      <c r="J27" s="18"/>
      <c r="K27" s="18" t="s">
        <v>598</v>
      </c>
      <c r="L27" s="18"/>
      <c r="M27" s="18" t="s">
        <v>598</v>
      </c>
      <c r="N27" s="10">
        <v>40378</v>
      </c>
      <c r="O27" s="11">
        <v>14539</v>
      </c>
      <c r="P27" s="11">
        <v>9496</v>
      </c>
      <c r="Q27" s="11">
        <v>4516</v>
      </c>
      <c r="R27" s="12">
        <v>0.360072316608054</v>
      </c>
      <c r="S27" s="12">
        <v>0.23517757194511901</v>
      </c>
      <c r="T27" s="12">
        <v>0.111843082866908</v>
      </c>
      <c r="U27" s="12">
        <v>0.124894744662935</v>
      </c>
      <c r="V27" s="12">
        <v>0.123334489078211</v>
      </c>
      <c r="W27" s="12">
        <v>6.0874733765912098E-2</v>
      </c>
      <c r="X27" s="12">
        <v>5.0968349100995597E-2</v>
      </c>
      <c r="Y27" s="13">
        <v>52981</v>
      </c>
      <c r="Z27" s="13">
        <v>74814</v>
      </c>
      <c r="AA27" s="13">
        <v>471769</v>
      </c>
      <c r="AB27" s="11">
        <v>104531</v>
      </c>
      <c r="AC27" s="11">
        <v>106070</v>
      </c>
      <c r="AD27" s="12">
        <v>1.47229051668883E-2</v>
      </c>
      <c r="AE27" s="12">
        <v>0.37068411695277398</v>
      </c>
      <c r="AF27" s="12">
        <v>5.2013278357616398E-2</v>
      </c>
      <c r="AG27" s="12">
        <v>2.9197080291970798E-2</v>
      </c>
      <c r="AH27" s="12">
        <v>0.49205498847231899</v>
      </c>
      <c r="AI27" s="14">
        <v>0.21178406405755201</v>
      </c>
      <c r="AJ27" s="4">
        <v>95243</v>
      </c>
      <c r="AK27" s="5">
        <v>30680</v>
      </c>
      <c r="AL27" s="5">
        <v>18808</v>
      </c>
      <c r="AM27" s="5">
        <v>7615</v>
      </c>
      <c r="AN27" s="6">
        <v>0.32212341064435202</v>
      </c>
      <c r="AO27" s="6">
        <v>0.19747383009774999</v>
      </c>
      <c r="AP27" s="6">
        <v>7.9953382400806405E-2</v>
      </c>
      <c r="AQ27" s="6">
        <v>0.124649580546602</v>
      </c>
      <c r="AR27" s="6">
        <v>0.117520447696944</v>
      </c>
      <c r="AS27" s="6">
        <v>4.4664699767962002E-2</v>
      </c>
      <c r="AT27" s="6">
        <v>3.5288682632844397E-2</v>
      </c>
      <c r="AU27" s="7">
        <v>51201</v>
      </c>
      <c r="AV27" s="7">
        <v>68085</v>
      </c>
      <c r="AW27" s="7">
        <v>402256</v>
      </c>
      <c r="AX27" s="5">
        <v>248751</v>
      </c>
      <c r="AY27" s="5">
        <v>250372</v>
      </c>
      <c r="AZ27" s="6">
        <v>6.5165567173599299E-3</v>
      </c>
      <c r="BA27" s="6">
        <v>0.27767656600948298</v>
      </c>
      <c r="BB27" s="6">
        <v>6.8393694899718999E-2</v>
      </c>
      <c r="BC27" s="6">
        <v>3.1457159971216203E-2</v>
      </c>
      <c r="BD27" s="6">
        <v>0.49976080498168901</v>
      </c>
      <c r="BE27" s="8">
        <v>0.213595121225643</v>
      </c>
      <c r="BF27" s="10">
        <v>169602</v>
      </c>
      <c r="BG27" s="11">
        <v>58801</v>
      </c>
      <c r="BH27" s="11">
        <v>35620</v>
      </c>
      <c r="BI27" s="11">
        <v>13504</v>
      </c>
      <c r="BJ27" s="12">
        <v>0.34669992099149799</v>
      </c>
      <c r="BK27" s="12">
        <v>0.21002110824164799</v>
      </c>
      <c r="BL27" s="12">
        <v>7.9621702574262099E-2</v>
      </c>
      <c r="BM27" s="12">
        <v>0.13667881274985</v>
      </c>
      <c r="BN27" s="12">
        <v>0.130399405667386</v>
      </c>
      <c r="BO27" s="12">
        <v>4.58779967217368E-2</v>
      </c>
      <c r="BP27" s="12">
        <v>3.3743705852525299E-2</v>
      </c>
      <c r="BQ27" s="13">
        <v>54211</v>
      </c>
      <c r="BR27" s="13">
        <v>70413</v>
      </c>
      <c r="BS27" s="13">
        <v>435834</v>
      </c>
      <c r="BT27" s="11">
        <v>459721</v>
      </c>
      <c r="BU27" s="11">
        <v>464570</v>
      </c>
      <c r="BV27" s="12">
        <v>1.05477017582403E-2</v>
      </c>
      <c r="BW27" s="12">
        <v>0.27160673738434898</v>
      </c>
      <c r="BX27" s="12">
        <v>8.2830673386684497E-2</v>
      </c>
      <c r="BY27" s="12">
        <v>3.1392953552263202E-2</v>
      </c>
      <c r="BZ27" s="12">
        <v>0.45051455121693401</v>
      </c>
      <c r="CA27" s="14">
        <v>0.20868744303610201</v>
      </c>
      <c r="CB27" s="86">
        <f t="shared" ref="CB27:CB33" si="6">IF(SUM(CC27:CF27)=0,"",SUM(CC27:CF27))</f>
        <v>7833865.3733331505</v>
      </c>
      <c r="CC27" s="83">
        <v>5454311.0199998096</v>
      </c>
      <c r="CD27" s="83">
        <v>196872.27</v>
      </c>
      <c r="CE27" s="83">
        <v>1731669.32333334</v>
      </c>
      <c r="CF27" s="83">
        <v>451012.76000000199</v>
      </c>
      <c r="CG27" s="90">
        <f t="shared" si="5"/>
        <v>0.69624773468363943</v>
      </c>
      <c r="CH27" s="90">
        <f t="shared" si="5"/>
        <v>2.5130923320454617E-2</v>
      </c>
      <c r="CI27" s="90">
        <f t="shared" si="5"/>
        <v>0.22104915527754976</v>
      </c>
      <c r="CK27" s="86">
        <f t="shared" si="1"/>
        <v>7791208</v>
      </c>
      <c r="CL27" s="83">
        <v>5399335</v>
      </c>
      <c r="CM27" s="83">
        <v>236747</v>
      </c>
      <c r="CN27" s="83">
        <v>1703238</v>
      </c>
      <c r="CO27" s="83">
        <v>451888</v>
      </c>
      <c r="CP27" s="90">
        <f t="shared" si="2"/>
        <v>0.69300357531206969</v>
      </c>
      <c r="CQ27" s="90">
        <f t="shared" si="2"/>
        <v>3.0386430448269382E-2</v>
      </c>
      <c r="CR27" s="90">
        <f t="shared" si="2"/>
        <v>0.21861025915365115</v>
      </c>
    </row>
    <row r="28" spans="1:96" ht="61.5" thickTop="1" thickBot="1" x14ac:dyDescent="0.3">
      <c r="A28" s="3" t="s">
        <v>307</v>
      </c>
      <c r="B28" s="3">
        <v>2104</v>
      </c>
      <c r="C28" s="3" t="s">
        <v>260</v>
      </c>
      <c r="D28" s="16">
        <v>43566</v>
      </c>
      <c r="E28" s="16" t="s">
        <v>574</v>
      </c>
      <c r="F28" s="16" t="s">
        <v>649</v>
      </c>
      <c r="G28" s="17">
        <v>22480</v>
      </c>
      <c r="H28" s="17">
        <v>30049</v>
      </c>
      <c r="I28" s="17" t="s">
        <v>585</v>
      </c>
      <c r="J28" s="18"/>
      <c r="K28" s="18" t="s">
        <v>598</v>
      </c>
      <c r="L28" s="18"/>
      <c r="M28" s="18" t="s">
        <v>519</v>
      </c>
      <c r="N28" s="10">
        <v>27852</v>
      </c>
      <c r="O28" s="11">
        <v>11858</v>
      </c>
      <c r="P28" s="11">
        <v>8470</v>
      </c>
      <c r="Q28" s="11">
        <v>4059</v>
      </c>
      <c r="R28" s="12">
        <v>0.42575039494470801</v>
      </c>
      <c r="S28" s="12">
        <v>0.30410742496050602</v>
      </c>
      <c r="T28" s="12">
        <v>0.145734597156398</v>
      </c>
      <c r="U28" s="12">
        <v>0.121642969984202</v>
      </c>
      <c r="V28" s="12">
        <v>0.158372827804107</v>
      </c>
      <c r="W28" s="12">
        <v>7.3567427832830698E-2</v>
      </c>
      <c r="X28" s="12">
        <v>7.2167169323567398E-2</v>
      </c>
      <c r="Y28" s="13">
        <v>62788</v>
      </c>
      <c r="Z28" s="13">
        <v>87552</v>
      </c>
      <c r="AA28" s="13">
        <v>794433</v>
      </c>
      <c r="AB28" s="11">
        <v>62799</v>
      </c>
      <c r="AC28" s="11">
        <v>67303</v>
      </c>
      <c r="AD28" s="12">
        <v>7.1720887275275105E-2</v>
      </c>
      <c r="AE28" s="12">
        <v>0.46111111111111103</v>
      </c>
      <c r="AF28" s="12">
        <v>6.5701683147820794E-2</v>
      </c>
      <c r="AG28" s="12">
        <v>4.9634548320833097E-2</v>
      </c>
      <c r="AH28" s="12">
        <v>0.16364910269271801</v>
      </c>
      <c r="AI28" s="14">
        <v>0.21005111546362201</v>
      </c>
      <c r="AJ28" s="4">
        <v>62692</v>
      </c>
      <c r="AK28" s="5">
        <v>23706</v>
      </c>
      <c r="AL28" s="5">
        <v>16718</v>
      </c>
      <c r="AM28" s="5">
        <v>8220</v>
      </c>
      <c r="AN28" s="6">
        <v>0.37813437121163801</v>
      </c>
      <c r="AO28" s="6">
        <v>0.26666879346647099</v>
      </c>
      <c r="AP28" s="6">
        <v>0.13111720793721701</v>
      </c>
      <c r="AQ28" s="6">
        <v>0.11146557774516699</v>
      </c>
      <c r="AR28" s="6">
        <v>0.135551585529254</v>
      </c>
      <c r="AS28" s="6">
        <v>6.10763733809737E-2</v>
      </c>
      <c r="AT28" s="6">
        <v>7.0040834556243201E-2</v>
      </c>
      <c r="AU28" s="7">
        <v>56429</v>
      </c>
      <c r="AV28" s="7">
        <v>82694</v>
      </c>
      <c r="AW28" s="7">
        <v>711052</v>
      </c>
      <c r="AX28" s="5">
        <v>146905</v>
      </c>
      <c r="AY28" s="5">
        <v>153916</v>
      </c>
      <c r="AZ28" s="6">
        <v>4.7724720057179801E-2</v>
      </c>
      <c r="BA28" s="6">
        <v>0.45629502537441502</v>
      </c>
      <c r="BB28" s="6">
        <v>6.0617405806473602E-2</v>
      </c>
      <c r="BC28" s="6">
        <v>4.3034614206460001E-2</v>
      </c>
      <c r="BD28" s="6">
        <v>0.176283993056737</v>
      </c>
      <c r="BE28" s="8">
        <v>0.21272931486334701</v>
      </c>
      <c r="BF28" s="10">
        <v>105735</v>
      </c>
      <c r="BG28" s="11">
        <v>37684</v>
      </c>
      <c r="BH28" s="11">
        <v>25788</v>
      </c>
      <c r="BI28" s="11">
        <v>12151</v>
      </c>
      <c r="BJ28" s="12">
        <v>0.356400435049889</v>
      </c>
      <c r="BK28" s="12">
        <v>0.243892750744787</v>
      </c>
      <c r="BL28" s="12">
        <v>0.11491937390646401</v>
      </c>
      <c r="BM28" s="12">
        <v>0.112507684305102</v>
      </c>
      <c r="BN28" s="12">
        <v>0.128973376838322</v>
      </c>
      <c r="BO28" s="12">
        <v>5.5922825932756402E-2</v>
      </c>
      <c r="BP28" s="12">
        <v>5.8996547973707902E-2</v>
      </c>
      <c r="BQ28" s="13">
        <v>54384</v>
      </c>
      <c r="BR28" s="13">
        <v>78142</v>
      </c>
      <c r="BS28" s="13">
        <v>627809</v>
      </c>
      <c r="BT28" s="11">
        <v>243245</v>
      </c>
      <c r="BU28" s="11">
        <v>253869</v>
      </c>
      <c r="BV28" s="12">
        <v>4.3676129005734997E-2</v>
      </c>
      <c r="BW28" s="12">
        <v>0.44500896779717197</v>
      </c>
      <c r="BX28" s="12">
        <v>7.1660260231453901E-2</v>
      </c>
      <c r="BY28" s="12">
        <v>3.99926000534441E-2</v>
      </c>
      <c r="BZ28" s="12">
        <v>0.16933955476988199</v>
      </c>
      <c r="CA28" s="14">
        <v>0.210997142798413</v>
      </c>
      <c r="CB28" s="86">
        <f t="shared" si="6"/>
        <v>16891686.249166157</v>
      </c>
      <c r="CC28" s="83">
        <v>5797459.39916649</v>
      </c>
      <c r="CD28" s="83">
        <v>7681783.2499996703</v>
      </c>
      <c r="CE28" s="83">
        <v>2296728.5599999898</v>
      </c>
      <c r="CF28" s="83">
        <v>1115715.04000001</v>
      </c>
      <c r="CG28" s="90">
        <f t="shared" si="5"/>
        <v>0.34321377473209203</v>
      </c>
      <c r="CH28" s="90">
        <f t="shared" si="5"/>
        <v>0.4547671047571627</v>
      </c>
      <c r="CI28" s="90">
        <f t="shared" si="5"/>
        <v>0.13596798603297322</v>
      </c>
      <c r="CK28" s="86">
        <f t="shared" si="1"/>
        <v>16744145</v>
      </c>
      <c r="CL28" s="83">
        <v>5604181</v>
      </c>
      <c r="CM28" s="83">
        <v>7737165</v>
      </c>
      <c r="CN28" s="83">
        <v>2283189</v>
      </c>
      <c r="CO28" s="83">
        <v>1119610</v>
      </c>
      <c r="CP28" s="90">
        <f t="shared" si="2"/>
        <v>0.33469496352307032</v>
      </c>
      <c r="CQ28" s="90">
        <f t="shared" si="2"/>
        <v>0.46208182024223993</v>
      </c>
      <c r="CR28" s="90">
        <f t="shared" si="2"/>
        <v>0.13635745509848368</v>
      </c>
    </row>
    <row r="29" spans="1:96" ht="37.5" thickTop="1" thickBot="1" x14ac:dyDescent="0.3">
      <c r="A29" s="3" t="s">
        <v>293</v>
      </c>
      <c r="B29" s="3">
        <v>704</v>
      </c>
      <c r="C29" s="3" t="s">
        <v>110</v>
      </c>
      <c r="D29" s="16">
        <v>43566</v>
      </c>
      <c r="E29" s="16" t="s">
        <v>541</v>
      </c>
      <c r="F29" s="16" t="s">
        <v>388</v>
      </c>
      <c r="G29" s="17">
        <v>21809</v>
      </c>
      <c r="H29" s="17">
        <v>31443</v>
      </c>
      <c r="I29" s="17" t="s">
        <v>585</v>
      </c>
      <c r="J29" s="18"/>
      <c r="K29" s="18" t="s">
        <v>598</v>
      </c>
      <c r="L29" s="18"/>
      <c r="M29" s="18" t="s">
        <v>519</v>
      </c>
      <c r="N29" s="10">
        <v>16421</v>
      </c>
      <c r="O29" s="11">
        <v>4188</v>
      </c>
      <c r="P29" s="11">
        <v>2557</v>
      </c>
      <c r="Q29" s="11">
        <v>1125</v>
      </c>
      <c r="R29" s="12">
        <v>0.25503927897204798</v>
      </c>
      <c r="S29" s="12">
        <v>0.15571524267706</v>
      </c>
      <c r="T29" s="12">
        <v>6.8509834967419803E-2</v>
      </c>
      <c r="U29" s="12">
        <v>9.9324036294988094E-2</v>
      </c>
      <c r="V29" s="12">
        <v>8.7205407709640095E-2</v>
      </c>
      <c r="W29" s="12">
        <v>2.6185981365324899E-2</v>
      </c>
      <c r="X29" s="12">
        <v>4.2323853602094903E-2</v>
      </c>
      <c r="Y29" s="13">
        <v>43695</v>
      </c>
      <c r="Z29" s="13">
        <v>64109</v>
      </c>
      <c r="AA29" s="13">
        <v>355981</v>
      </c>
      <c r="AB29" s="11">
        <v>39707</v>
      </c>
      <c r="AC29" s="11">
        <v>44849</v>
      </c>
      <c r="AD29" s="12">
        <v>0.12949857707709</v>
      </c>
      <c r="AE29" s="12">
        <v>0.22280651202996701</v>
      </c>
      <c r="AF29" s="12">
        <v>0.16780416551237801</v>
      </c>
      <c r="AG29" s="12">
        <v>2.88362253506938E-2</v>
      </c>
      <c r="AH29" s="12">
        <v>0.16820711713299899</v>
      </c>
      <c r="AI29" s="14">
        <v>0.22575364545294299</v>
      </c>
      <c r="AJ29" s="4">
        <v>39322</v>
      </c>
      <c r="AK29" s="5">
        <v>12930</v>
      </c>
      <c r="AL29" s="5">
        <v>8475</v>
      </c>
      <c r="AM29" s="5">
        <v>3452</v>
      </c>
      <c r="AN29" s="6">
        <v>0.32882355933065499</v>
      </c>
      <c r="AO29" s="6">
        <v>0.21552820304155401</v>
      </c>
      <c r="AP29" s="6">
        <v>8.7788006713798897E-2</v>
      </c>
      <c r="AQ29" s="6">
        <v>0.11329535628909999</v>
      </c>
      <c r="AR29" s="6">
        <v>0.12774019632775499</v>
      </c>
      <c r="AS29" s="6">
        <v>4.2495295254564899E-2</v>
      </c>
      <c r="AT29" s="6">
        <v>4.5292711459233997E-2</v>
      </c>
      <c r="AU29" s="7">
        <v>53001</v>
      </c>
      <c r="AV29" s="7">
        <v>73358</v>
      </c>
      <c r="AW29" s="7">
        <v>513776</v>
      </c>
      <c r="AX29" s="5">
        <v>95971</v>
      </c>
      <c r="AY29" s="5">
        <v>107991</v>
      </c>
      <c r="AZ29" s="6">
        <v>0.12524616811328401</v>
      </c>
      <c r="BA29" s="6">
        <v>0.28256563018181302</v>
      </c>
      <c r="BB29" s="6">
        <v>0.124099988538204</v>
      </c>
      <c r="BC29" s="6">
        <v>2.9331777307728402E-2</v>
      </c>
      <c r="BD29" s="6">
        <v>0.11636848631357399</v>
      </c>
      <c r="BE29" s="8">
        <v>0.22870450448572999</v>
      </c>
      <c r="BF29" s="10">
        <v>55580</v>
      </c>
      <c r="BG29" s="11">
        <v>18945</v>
      </c>
      <c r="BH29" s="11">
        <v>12162</v>
      </c>
      <c r="BI29" s="11">
        <v>5035</v>
      </c>
      <c r="BJ29" s="12">
        <v>0.3408600215905</v>
      </c>
      <c r="BK29" s="12">
        <v>0.218819719323498</v>
      </c>
      <c r="BL29" s="12">
        <v>9.0590140338251204E-2</v>
      </c>
      <c r="BM29" s="12">
        <v>0.12204030226700301</v>
      </c>
      <c r="BN29" s="12">
        <v>0.12822957898524601</v>
      </c>
      <c r="BO29" s="12">
        <v>4.4962216624685102E-2</v>
      </c>
      <c r="BP29" s="12">
        <v>4.5627923713565999E-2</v>
      </c>
      <c r="BQ29" s="13">
        <v>54466</v>
      </c>
      <c r="BR29" s="13">
        <v>75083</v>
      </c>
      <c r="BS29" s="13">
        <v>597825</v>
      </c>
      <c r="BT29" s="11">
        <v>132813</v>
      </c>
      <c r="BU29" s="11">
        <v>149444</v>
      </c>
      <c r="BV29" s="12">
        <v>0.12522117563792701</v>
      </c>
      <c r="BW29" s="12">
        <v>0.287443079034371</v>
      </c>
      <c r="BX29" s="12">
        <v>0.108912531152824</v>
      </c>
      <c r="BY29" s="12">
        <v>2.88300091105539E-2</v>
      </c>
      <c r="BZ29" s="12">
        <v>0.10145844156822</v>
      </c>
      <c r="CA29" s="14">
        <v>0.24205461814731999</v>
      </c>
      <c r="CB29" s="86">
        <f t="shared" si="6"/>
        <v>31874609.226665482</v>
      </c>
      <c r="CC29" s="83">
        <v>11767484.3941663</v>
      </c>
      <c r="CD29" s="83">
        <v>14330136.8649993</v>
      </c>
      <c r="CE29" s="83">
        <v>4283238.15999988</v>
      </c>
      <c r="CF29" s="83">
        <v>1493749.8075000001</v>
      </c>
      <c r="CG29" s="90">
        <f t="shared" si="5"/>
        <v>0.36918050698240168</v>
      </c>
      <c r="CH29" s="90">
        <f t="shared" si="5"/>
        <v>0.44957843288667126</v>
      </c>
      <c r="CI29" s="90">
        <f t="shared" si="5"/>
        <v>0.13437774654870538</v>
      </c>
      <c r="CK29" s="86">
        <f t="shared" si="1"/>
        <v>33230542</v>
      </c>
      <c r="CL29" s="83">
        <v>12034401</v>
      </c>
      <c r="CM29" s="83">
        <v>15285310</v>
      </c>
      <c r="CN29" s="83">
        <v>4418869</v>
      </c>
      <c r="CO29" s="83">
        <v>1491962</v>
      </c>
      <c r="CP29" s="90">
        <f t="shared" si="2"/>
        <v>0.36214880274898914</v>
      </c>
      <c r="CQ29" s="90">
        <f t="shared" si="2"/>
        <v>0.45997775179231204</v>
      </c>
      <c r="CR29" s="90">
        <f t="shared" si="2"/>
        <v>0.13297613382291507</v>
      </c>
    </row>
    <row r="30" spans="1:96" ht="49.5" thickTop="1" thickBot="1" x14ac:dyDescent="0.3">
      <c r="A30" s="3" t="s">
        <v>295</v>
      </c>
      <c r="B30" s="3">
        <v>901</v>
      </c>
      <c r="C30" s="3" t="s">
        <v>117</v>
      </c>
      <c r="D30" s="16">
        <v>38594</v>
      </c>
      <c r="E30" s="16" t="s">
        <v>543</v>
      </c>
      <c r="F30" s="16" t="s">
        <v>394</v>
      </c>
      <c r="G30" s="17">
        <v>15354</v>
      </c>
      <c r="H30" s="17">
        <v>17600</v>
      </c>
      <c r="I30" s="17" t="s">
        <v>583</v>
      </c>
      <c r="J30" s="18"/>
      <c r="K30" s="18" t="s">
        <v>598</v>
      </c>
      <c r="L30" s="18"/>
      <c r="M30" s="18" t="s">
        <v>598</v>
      </c>
      <c r="N30" s="10">
        <v>45909</v>
      </c>
      <c r="O30" s="11">
        <v>19058</v>
      </c>
      <c r="P30" s="11">
        <v>14375</v>
      </c>
      <c r="Q30" s="11">
        <v>8107</v>
      </c>
      <c r="R30" s="12">
        <v>0.415125574506088</v>
      </c>
      <c r="S30" s="12">
        <v>0.31311943191966701</v>
      </c>
      <c r="T30" s="12">
        <v>0.17658846849201701</v>
      </c>
      <c r="U30" s="12">
        <v>0.102006142586421</v>
      </c>
      <c r="V30" s="12">
        <v>0.13653096342765</v>
      </c>
      <c r="W30" s="12">
        <v>5.3518917859243301E-2</v>
      </c>
      <c r="X30" s="12">
        <v>0.123069550632774</v>
      </c>
      <c r="Y30" s="13">
        <v>58793</v>
      </c>
      <c r="Z30" s="13">
        <v>101137</v>
      </c>
      <c r="AA30" s="13">
        <v>889577</v>
      </c>
      <c r="AB30" s="11">
        <v>105479</v>
      </c>
      <c r="AC30" s="11">
        <v>116181</v>
      </c>
      <c r="AD30" s="12">
        <v>0.101460954313181</v>
      </c>
      <c r="AE30" s="12">
        <v>0.46580685493734902</v>
      </c>
      <c r="AF30" s="12">
        <v>0.35853582229638098</v>
      </c>
      <c r="AG30" s="12">
        <v>2.7417779842433099E-2</v>
      </c>
      <c r="AH30" s="12">
        <v>0.18064259236435701</v>
      </c>
      <c r="AI30" s="14">
        <v>0.23374320954882</v>
      </c>
      <c r="AJ30" s="4">
        <v>112471</v>
      </c>
      <c r="AK30" s="5">
        <v>44325</v>
      </c>
      <c r="AL30" s="5">
        <v>32198</v>
      </c>
      <c r="AM30" s="5">
        <v>16742</v>
      </c>
      <c r="AN30" s="6">
        <v>0.39410159063225197</v>
      </c>
      <c r="AO30" s="6">
        <v>0.286278240613136</v>
      </c>
      <c r="AP30" s="6">
        <v>0.148856149585226</v>
      </c>
      <c r="AQ30" s="6">
        <v>0.107823350019116</v>
      </c>
      <c r="AR30" s="6">
        <v>0.137422091027909</v>
      </c>
      <c r="AS30" s="6">
        <v>4.6936543642361099E-2</v>
      </c>
      <c r="AT30" s="6">
        <v>0.101919605942865</v>
      </c>
      <c r="AU30" s="7">
        <v>57338</v>
      </c>
      <c r="AV30" s="7">
        <v>92931</v>
      </c>
      <c r="AW30" s="7">
        <v>751078</v>
      </c>
      <c r="AX30" s="5">
        <v>262654</v>
      </c>
      <c r="AY30" s="5">
        <v>283377</v>
      </c>
      <c r="AZ30" s="6">
        <v>7.8898474799546203E-2</v>
      </c>
      <c r="BA30" s="6">
        <v>0.40660512886487399</v>
      </c>
      <c r="BB30" s="6">
        <v>0.38128107700625202</v>
      </c>
      <c r="BC30" s="6">
        <v>3.1988852254296499E-2</v>
      </c>
      <c r="BD30" s="6">
        <v>0.18143260715618301</v>
      </c>
      <c r="BE30" s="8">
        <v>0.23957373578928901</v>
      </c>
      <c r="BF30" s="10">
        <v>177501</v>
      </c>
      <c r="BG30" s="11">
        <v>64069</v>
      </c>
      <c r="BH30" s="11">
        <v>44668</v>
      </c>
      <c r="BI30" s="11">
        <v>21889</v>
      </c>
      <c r="BJ30" s="12">
        <v>0.36095007915448402</v>
      </c>
      <c r="BK30" s="12">
        <v>0.25164928648289298</v>
      </c>
      <c r="BL30" s="12">
        <v>0.123317615112028</v>
      </c>
      <c r="BM30" s="12">
        <v>0.109300792671591</v>
      </c>
      <c r="BN30" s="12">
        <v>0.12833167137086601</v>
      </c>
      <c r="BO30" s="12">
        <v>4.0591320612278201E-2</v>
      </c>
      <c r="BP30" s="12">
        <v>8.2726294499749303E-2</v>
      </c>
      <c r="BQ30" s="13">
        <v>54475</v>
      </c>
      <c r="BR30" s="13">
        <v>84611</v>
      </c>
      <c r="BS30" s="13">
        <v>656980</v>
      </c>
      <c r="BT30" s="11">
        <v>429803</v>
      </c>
      <c r="BU30" s="11">
        <v>461276</v>
      </c>
      <c r="BV30" s="12">
        <v>7.3226571243104402E-2</v>
      </c>
      <c r="BW30" s="12">
        <v>0.35499426554335201</v>
      </c>
      <c r="BX30" s="12">
        <v>0.373910838221232</v>
      </c>
      <c r="BY30" s="12">
        <v>3.4073750066891097E-2</v>
      </c>
      <c r="BZ30" s="12">
        <v>0.217134361556341</v>
      </c>
      <c r="CA30" s="14">
        <v>0.24130822725760401</v>
      </c>
      <c r="CB30" s="86">
        <f t="shared" si="6"/>
        <v>28191755.572832219</v>
      </c>
      <c r="CC30" s="83">
        <v>10235678.1208329</v>
      </c>
      <c r="CD30" s="83">
        <v>13024223.299999399</v>
      </c>
      <c r="CE30" s="83">
        <v>3581851.7299999101</v>
      </c>
      <c r="CF30" s="83">
        <v>1350002.42200001</v>
      </c>
      <c r="CG30" s="90">
        <f t="shared" si="5"/>
        <v>0.36307345579772266</v>
      </c>
      <c r="CH30" s="90">
        <f t="shared" si="5"/>
        <v>0.46198695453186178</v>
      </c>
      <c r="CI30" s="90">
        <f t="shared" si="5"/>
        <v>0.12705316349477941</v>
      </c>
      <c r="CK30" s="86">
        <f t="shared" si="1"/>
        <v>28135642</v>
      </c>
      <c r="CL30" s="83">
        <v>9785872</v>
      </c>
      <c r="CM30" s="83">
        <v>13478034</v>
      </c>
      <c r="CN30" s="83">
        <v>3535302</v>
      </c>
      <c r="CO30" s="83">
        <v>1336434</v>
      </c>
      <c r="CP30" s="90">
        <f t="shared" si="2"/>
        <v>0.347810510241778</v>
      </c>
      <c r="CQ30" s="90">
        <f t="shared" si="2"/>
        <v>0.47903772730687999</v>
      </c>
      <c r="CR30" s="90">
        <f t="shared" si="2"/>
        <v>0.12565208215259491</v>
      </c>
    </row>
    <row r="31" spans="1:96" ht="37.5" thickTop="1" thickBot="1" x14ac:dyDescent="0.3">
      <c r="A31" s="3" t="s">
        <v>295</v>
      </c>
      <c r="B31" s="3">
        <v>920</v>
      </c>
      <c r="C31" s="3" t="s">
        <v>135</v>
      </c>
      <c r="D31" s="16">
        <v>40822</v>
      </c>
      <c r="E31" s="16" t="s">
        <v>547</v>
      </c>
      <c r="F31" s="16" t="s">
        <v>411</v>
      </c>
      <c r="G31" s="17">
        <v>19952</v>
      </c>
      <c r="H31" s="17">
        <v>26437</v>
      </c>
      <c r="I31" s="17" t="s">
        <v>584</v>
      </c>
      <c r="J31" s="18"/>
      <c r="K31" s="18" t="s">
        <v>519</v>
      </c>
      <c r="L31" s="18"/>
      <c r="M31" s="18" t="s">
        <v>598</v>
      </c>
      <c r="N31" s="10">
        <v>46952</v>
      </c>
      <c r="O31" s="11">
        <v>9559</v>
      </c>
      <c r="P31" s="11">
        <v>5125</v>
      </c>
      <c r="Q31" s="11">
        <v>1900</v>
      </c>
      <c r="R31" s="12">
        <v>0.20359090134605601</v>
      </c>
      <c r="S31" s="12">
        <v>0.10915402964729901</v>
      </c>
      <c r="T31" s="12">
        <v>4.0466859771681699E-2</v>
      </c>
      <c r="U31" s="12">
        <v>9.4436871698756197E-2</v>
      </c>
      <c r="V31" s="12">
        <v>6.8687169875617696E-2</v>
      </c>
      <c r="W31" s="12">
        <v>2.17669108877151E-2</v>
      </c>
      <c r="X31" s="12">
        <v>1.8699948883966599E-2</v>
      </c>
      <c r="Y31" s="13">
        <v>41063</v>
      </c>
      <c r="Z31" s="13">
        <v>54675</v>
      </c>
      <c r="AA31" s="13">
        <v>145071</v>
      </c>
      <c r="AB31" s="11">
        <v>126770</v>
      </c>
      <c r="AC31" s="11">
        <v>135569</v>
      </c>
      <c r="AD31" s="12">
        <v>6.9409166206515702E-2</v>
      </c>
      <c r="AE31" s="12">
        <v>0.220274510278993</v>
      </c>
      <c r="AF31" s="12">
        <v>0.30985248875916999</v>
      </c>
      <c r="AG31" s="12">
        <v>3.1971286581998902E-2</v>
      </c>
      <c r="AH31" s="12">
        <v>0.50612132207935601</v>
      </c>
      <c r="AI31" s="14">
        <v>0.18149404433225499</v>
      </c>
      <c r="AJ31" s="4">
        <v>104075</v>
      </c>
      <c r="AK31" s="5">
        <v>32159</v>
      </c>
      <c r="AL31" s="5">
        <v>19957</v>
      </c>
      <c r="AM31" s="5">
        <v>9567</v>
      </c>
      <c r="AN31" s="6">
        <v>0.30899831852029802</v>
      </c>
      <c r="AO31" s="6">
        <v>0.191755945231804</v>
      </c>
      <c r="AP31" s="6">
        <v>9.1924093202017804E-2</v>
      </c>
      <c r="AQ31" s="6">
        <v>0.117242373288494</v>
      </c>
      <c r="AR31" s="6">
        <v>9.98318520297862E-2</v>
      </c>
      <c r="AS31" s="6">
        <v>3.7847705981263503E-2</v>
      </c>
      <c r="AT31" s="6">
        <v>5.40763872207543E-2</v>
      </c>
      <c r="AU31" s="7">
        <v>50696</v>
      </c>
      <c r="AV31" s="7">
        <v>72221</v>
      </c>
      <c r="AW31" s="7">
        <v>473709</v>
      </c>
      <c r="AX31" s="5">
        <v>266604</v>
      </c>
      <c r="AY31" s="5">
        <v>289689</v>
      </c>
      <c r="AZ31" s="6">
        <v>8.6589098438133005E-2</v>
      </c>
      <c r="BA31" s="6">
        <v>0.31054856007076798</v>
      </c>
      <c r="BB31" s="6">
        <v>0.27614739463774002</v>
      </c>
      <c r="BC31" s="6">
        <v>4.2261181377623698E-2</v>
      </c>
      <c r="BD31" s="6">
        <v>0.38484043750281299</v>
      </c>
      <c r="BE31" s="8">
        <v>0.212858771811376</v>
      </c>
      <c r="BF31" s="10">
        <v>181575</v>
      </c>
      <c r="BG31" s="11">
        <v>64035</v>
      </c>
      <c r="BH31" s="11">
        <v>41293</v>
      </c>
      <c r="BI31" s="11">
        <v>19828</v>
      </c>
      <c r="BJ31" s="12">
        <v>0.35266418835192098</v>
      </c>
      <c r="BK31" s="12">
        <v>0.227415668456561</v>
      </c>
      <c r="BL31" s="12">
        <v>0.109200055073661</v>
      </c>
      <c r="BM31" s="12">
        <v>0.12524851989536001</v>
      </c>
      <c r="BN31" s="12">
        <v>0.1182156133829</v>
      </c>
      <c r="BO31" s="12">
        <v>4.3722979485061299E-2</v>
      </c>
      <c r="BP31" s="12">
        <v>6.5477075588599706E-2</v>
      </c>
      <c r="BQ31" s="13">
        <v>54551</v>
      </c>
      <c r="BR31" s="13">
        <v>79030</v>
      </c>
      <c r="BS31" s="13">
        <v>588151</v>
      </c>
      <c r="BT31" s="11">
        <v>463545</v>
      </c>
      <c r="BU31" s="11">
        <v>503354</v>
      </c>
      <c r="BV31" s="12">
        <v>8.5879472327390002E-2</v>
      </c>
      <c r="BW31" s="12">
        <v>0.33505361475161899</v>
      </c>
      <c r="BX31" s="12">
        <v>0.26948839918454498</v>
      </c>
      <c r="BY31" s="12">
        <v>4.64334638492487E-2</v>
      </c>
      <c r="BZ31" s="12">
        <v>0.33078773366124098</v>
      </c>
      <c r="CA31" s="14">
        <v>0.230413444217929</v>
      </c>
      <c r="CB31" s="86">
        <f t="shared" si="6"/>
        <v>24547705.696857598</v>
      </c>
      <c r="CC31" s="83">
        <v>10175961.0155249</v>
      </c>
      <c r="CD31" s="83">
        <v>10653376.1654994</v>
      </c>
      <c r="CE31" s="83">
        <v>2681975.5758332899</v>
      </c>
      <c r="CF31" s="83">
        <v>1036392.94000001</v>
      </c>
      <c r="CG31" s="90">
        <f t="shared" si="5"/>
        <v>0.41453817074349009</v>
      </c>
      <c r="CH31" s="90">
        <f t="shared" si="5"/>
        <v>0.43398663390620495</v>
      </c>
      <c r="CI31" s="90">
        <f t="shared" si="5"/>
        <v>0.10925565138157148</v>
      </c>
      <c r="CK31" s="86">
        <f t="shared" si="1"/>
        <v>24245664</v>
      </c>
      <c r="CL31" s="83">
        <v>9964522</v>
      </c>
      <c r="CM31" s="83">
        <v>10645803</v>
      </c>
      <c r="CN31" s="83">
        <v>2613250</v>
      </c>
      <c r="CO31" s="83">
        <v>1022089</v>
      </c>
      <c r="CP31" s="90">
        <f t="shared" si="2"/>
        <v>0.41098160891778424</v>
      </c>
      <c r="CQ31" s="90">
        <f t="shared" si="2"/>
        <v>0.4390806950059194</v>
      </c>
      <c r="CR31" s="90">
        <f t="shared" si="2"/>
        <v>0.10778215849233909</v>
      </c>
    </row>
    <row r="32" spans="1:96" ht="37.5" thickTop="1" thickBot="1" x14ac:dyDescent="0.3">
      <c r="A32" s="3" t="s">
        <v>295</v>
      </c>
      <c r="B32" s="3">
        <v>932</v>
      </c>
      <c r="C32" s="3" t="s">
        <v>147</v>
      </c>
      <c r="D32" s="16">
        <v>44392</v>
      </c>
      <c r="E32" s="16" t="s">
        <v>545</v>
      </c>
      <c r="F32" s="16" t="s">
        <v>636</v>
      </c>
      <c r="G32" s="17">
        <v>16732</v>
      </c>
      <c r="H32" s="17">
        <v>20404</v>
      </c>
      <c r="I32" s="17" t="s">
        <v>584</v>
      </c>
      <c r="J32" s="18"/>
      <c r="K32" s="18" t="s">
        <v>598</v>
      </c>
      <c r="L32" s="18"/>
      <c r="M32" s="18" t="s">
        <v>598</v>
      </c>
      <c r="N32" s="10">
        <v>53481</v>
      </c>
      <c r="O32" s="11">
        <v>19720</v>
      </c>
      <c r="P32" s="11">
        <v>12203</v>
      </c>
      <c r="Q32" s="11">
        <v>4537</v>
      </c>
      <c r="R32" s="12">
        <v>0.36872908135599602</v>
      </c>
      <c r="S32" s="12">
        <v>0.228174491875619</v>
      </c>
      <c r="T32" s="12">
        <v>8.4833866232867705E-2</v>
      </c>
      <c r="U32" s="12">
        <v>0.140554589480376</v>
      </c>
      <c r="V32" s="12">
        <v>0.14334062564275199</v>
      </c>
      <c r="W32" s="12">
        <v>4.4800957349338998E-2</v>
      </c>
      <c r="X32" s="12">
        <v>4.0032908883528701E-2</v>
      </c>
      <c r="Y32" s="13">
        <v>57179</v>
      </c>
      <c r="Z32" s="13">
        <v>73797</v>
      </c>
      <c r="AA32" s="13">
        <v>391500</v>
      </c>
      <c r="AB32" s="11">
        <v>159939</v>
      </c>
      <c r="AC32" s="11">
        <v>166298</v>
      </c>
      <c r="AD32" s="12">
        <v>3.9758908083706898E-2</v>
      </c>
      <c r="AE32" s="12">
        <v>0.36760068085400499</v>
      </c>
      <c r="AF32" s="12">
        <v>0.90434478144792696</v>
      </c>
      <c r="AG32" s="12">
        <v>1.7781779303359401E-2</v>
      </c>
      <c r="AH32" s="12">
        <v>2.5828597152664501E-2</v>
      </c>
      <c r="AI32" s="14">
        <v>0.25010160123547098</v>
      </c>
      <c r="AJ32" s="4">
        <v>113408</v>
      </c>
      <c r="AK32" s="5">
        <v>44124</v>
      </c>
      <c r="AL32" s="5">
        <v>28863</v>
      </c>
      <c r="AM32" s="5">
        <v>11746</v>
      </c>
      <c r="AN32" s="6">
        <v>0.389073081264108</v>
      </c>
      <c r="AO32" s="6">
        <v>0.25450585496613998</v>
      </c>
      <c r="AP32" s="6">
        <v>0.10357294018058701</v>
      </c>
      <c r="AQ32" s="6">
        <v>0.134567226297968</v>
      </c>
      <c r="AR32" s="6">
        <v>0.15093291478555301</v>
      </c>
      <c r="AS32" s="6">
        <v>5.5445823927765203E-2</v>
      </c>
      <c r="AT32" s="6">
        <v>4.8127116252821699E-2</v>
      </c>
      <c r="AU32" s="7">
        <v>58043</v>
      </c>
      <c r="AV32" s="7">
        <v>77155</v>
      </c>
      <c r="AW32" s="7">
        <v>524331</v>
      </c>
      <c r="AX32" s="5">
        <v>355019</v>
      </c>
      <c r="AY32" s="5">
        <v>368862</v>
      </c>
      <c r="AZ32" s="6">
        <v>3.89922792864607E-2</v>
      </c>
      <c r="BA32" s="6">
        <v>0.32261959631126502</v>
      </c>
      <c r="BB32" s="6">
        <v>0.90676837014357003</v>
      </c>
      <c r="BC32" s="6">
        <v>1.27852312129773E-2</v>
      </c>
      <c r="BD32" s="6">
        <v>2.59507237640802E-2</v>
      </c>
      <c r="BE32" s="8">
        <v>0.253335736960557</v>
      </c>
      <c r="BF32" s="10">
        <v>235897</v>
      </c>
      <c r="BG32" s="11">
        <v>85031</v>
      </c>
      <c r="BH32" s="11">
        <v>56658</v>
      </c>
      <c r="BI32" s="11">
        <v>24953</v>
      </c>
      <c r="BJ32" s="12">
        <v>0.36045816606400199</v>
      </c>
      <c r="BK32" s="12">
        <v>0.24018109598680801</v>
      </c>
      <c r="BL32" s="12">
        <v>0.105779217200727</v>
      </c>
      <c r="BM32" s="12">
        <v>0.120277070077195</v>
      </c>
      <c r="BN32" s="12">
        <v>0.13440187878608001</v>
      </c>
      <c r="BO32" s="12">
        <v>5.2217705184890002E-2</v>
      </c>
      <c r="BP32" s="12">
        <v>5.3561512015837399E-2</v>
      </c>
      <c r="BQ32" s="13">
        <v>54662</v>
      </c>
      <c r="BR32" s="13">
        <v>76116</v>
      </c>
      <c r="BS32" s="13">
        <v>552790</v>
      </c>
      <c r="BT32" s="11">
        <v>718967</v>
      </c>
      <c r="BU32" s="11">
        <v>740845</v>
      </c>
      <c r="BV32" s="12">
        <v>3.0429769377454001E-2</v>
      </c>
      <c r="BW32" s="12">
        <v>0.300747563593391</v>
      </c>
      <c r="BX32" s="12">
        <v>0.90677736252150698</v>
      </c>
      <c r="BY32" s="12">
        <v>1.07070282780712E-2</v>
      </c>
      <c r="BZ32" s="12">
        <v>2.5054001087671599E-2</v>
      </c>
      <c r="CA32" s="14">
        <v>0.259198266401657</v>
      </c>
      <c r="CB32" s="86">
        <f t="shared" si="6"/>
        <v>17235567.029582798</v>
      </c>
      <c r="CC32" s="83">
        <v>5934320.2095831297</v>
      </c>
      <c r="CD32" s="83">
        <v>8837850.8099996597</v>
      </c>
      <c r="CE32" s="83">
        <v>1496920.79</v>
      </c>
      <c r="CF32" s="83">
        <v>966475.22000000905</v>
      </c>
      <c r="CG32" s="90">
        <f t="shared" si="5"/>
        <v>0.34430664215442264</v>
      </c>
      <c r="CH32" s="90">
        <f t="shared" si="5"/>
        <v>0.51276820744165486</v>
      </c>
      <c r="CI32" s="90">
        <f t="shared" si="5"/>
        <v>8.6850684252552518E-2</v>
      </c>
      <c r="CK32" s="86">
        <f t="shared" si="1"/>
        <v>17838704</v>
      </c>
      <c r="CL32" s="83">
        <v>5787073</v>
      </c>
      <c r="CM32" s="83">
        <v>9456671</v>
      </c>
      <c r="CN32" s="83">
        <v>1606506</v>
      </c>
      <c r="CO32" s="83">
        <v>988454</v>
      </c>
      <c r="CP32" s="90">
        <f t="shared" si="2"/>
        <v>0.32441106708200329</v>
      </c>
      <c r="CQ32" s="90">
        <f t="shared" si="2"/>
        <v>0.53012096618678128</v>
      </c>
      <c r="CR32" s="90">
        <f t="shared" si="2"/>
        <v>9.0057327034519991E-2</v>
      </c>
    </row>
    <row r="33" spans="1:97" ht="37.5" thickTop="1" thickBot="1" x14ac:dyDescent="0.3">
      <c r="A33" s="3" t="s">
        <v>295</v>
      </c>
      <c r="B33" s="3">
        <v>909</v>
      </c>
      <c r="C33" s="3" t="s">
        <v>125</v>
      </c>
      <c r="D33" s="16">
        <v>39170</v>
      </c>
      <c r="E33" s="16" t="s">
        <v>547</v>
      </c>
      <c r="F33" s="16" t="s">
        <v>401</v>
      </c>
      <c r="G33" s="17">
        <v>19326</v>
      </c>
      <c r="H33" s="17">
        <v>21798</v>
      </c>
      <c r="I33" s="17" t="s">
        <v>584</v>
      </c>
      <c r="J33" s="18"/>
      <c r="K33" s="18" t="s">
        <v>598</v>
      </c>
      <c r="L33" s="18"/>
      <c r="M33" s="18" t="s">
        <v>598</v>
      </c>
      <c r="N33" s="10">
        <v>56454</v>
      </c>
      <c r="O33" s="11">
        <v>24655</v>
      </c>
      <c r="P33" s="11">
        <v>17431</v>
      </c>
      <c r="Q33" s="11">
        <v>8820</v>
      </c>
      <c r="R33" s="12">
        <v>0.436727246962128</v>
      </c>
      <c r="S33" s="12">
        <v>0.30876465795160701</v>
      </c>
      <c r="T33" s="12">
        <v>0.156233393559358</v>
      </c>
      <c r="U33" s="12">
        <v>0.12796258901052199</v>
      </c>
      <c r="V33" s="12">
        <v>0.15253126439224901</v>
      </c>
      <c r="W33" s="12">
        <v>6.9100506607149198E-2</v>
      </c>
      <c r="X33" s="12">
        <v>8.7132886952208902E-2</v>
      </c>
      <c r="Y33" s="13">
        <v>64633</v>
      </c>
      <c r="Z33" s="13">
        <v>94480</v>
      </c>
      <c r="AA33" s="13">
        <v>629036</v>
      </c>
      <c r="AB33" s="11">
        <v>120194</v>
      </c>
      <c r="AC33" s="11">
        <v>131058</v>
      </c>
      <c r="AD33" s="12">
        <v>9.0387207348120502E-2</v>
      </c>
      <c r="AE33" s="12">
        <v>0.489104976300687</v>
      </c>
      <c r="AF33" s="12">
        <v>0.26278350000832001</v>
      </c>
      <c r="AG33" s="12">
        <v>3.6624124332329401E-2</v>
      </c>
      <c r="AH33" s="12">
        <v>0.115588132519094</v>
      </c>
      <c r="AI33" s="14">
        <v>0.232390967935171</v>
      </c>
      <c r="AJ33" s="4">
        <v>128481</v>
      </c>
      <c r="AK33" s="5">
        <v>49134</v>
      </c>
      <c r="AL33" s="5">
        <v>33707</v>
      </c>
      <c r="AM33" s="5">
        <v>16485</v>
      </c>
      <c r="AN33" s="6">
        <v>0.38242230368692598</v>
      </c>
      <c r="AO33" s="6">
        <v>0.26235007510838199</v>
      </c>
      <c r="AP33" s="6">
        <v>0.128306909192799</v>
      </c>
      <c r="AQ33" s="6">
        <v>0.12007222857854501</v>
      </c>
      <c r="AR33" s="6">
        <v>0.13404316591558299</v>
      </c>
      <c r="AS33" s="6">
        <v>5.16963597730404E-2</v>
      </c>
      <c r="AT33" s="6">
        <v>7.6610549419758603E-2</v>
      </c>
      <c r="AU33" s="7">
        <v>57186</v>
      </c>
      <c r="AV33" s="7">
        <v>85762</v>
      </c>
      <c r="AW33" s="7">
        <v>622337</v>
      </c>
      <c r="AX33" s="5">
        <v>292337</v>
      </c>
      <c r="AY33" s="5">
        <v>312363</v>
      </c>
      <c r="AZ33" s="6">
        <v>6.85031316596941E-2</v>
      </c>
      <c r="BA33" s="6">
        <v>0.39721412405085998</v>
      </c>
      <c r="BB33" s="6">
        <v>0.30977262542887102</v>
      </c>
      <c r="BC33" s="6">
        <v>3.1904959002794699E-2</v>
      </c>
      <c r="BD33" s="6">
        <v>0.17466485597101999</v>
      </c>
      <c r="BE33" s="8">
        <v>0.23836189055781501</v>
      </c>
      <c r="BF33" s="10">
        <v>236121</v>
      </c>
      <c r="BG33" s="11">
        <v>84397</v>
      </c>
      <c r="BH33" s="11">
        <v>54635</v>
      </c>
      <c r="BI33" s="11">
        <v>24766</v>
      </c>
      <c r="BJ33" s="12">
        <v>0.357431147589583</v>
      </c>
      <c r="BK33" s="12">
        <v>0.23138560314415099</v>
      </c>
      <c r="BL33" s="12">
        <v>0.10488690120743201</v>
      </c>
      <c r="BM33" s="12">
        <v>0.12604554444543301</v>
      </c>
      <c r="BN33" s="12">
        <v>0.126498701936719</v>
      </c>
      <c r="BO33" s="12">
        <v>4.4223089009448498E-2</v>
      </c>
      <c r="BP33" s="12">
        <v>6.0663812197983197E-2</v>
      </c>
      <c r="BQ33" s="13">
        <v>54720</v>
      </c>
      <c r="BR33" s="13">
        <v>78913</v>
      </c>
      <c r="BS33" s="13">
        <v>555262</v>
      </c>
      <c r="BT33" s="11">
        <v>582424</v>
      </c>
      <c r="BU33" s="11">
        <v>621799</v>
      </c>
      <c r="BV33" s="12">
        <v>6.7605387140639794E-2</v>
      </c>
      <c r="BW33" s="12">
        <v>0.33652234551438098</v>
      </c>
      <c r="BX33" s="12">
        <v>0.33156944081974599</v>
      </c>
      <c r="BY33" s="12">
        <v>3.3449857835528798E-2</v>
      </c>
      <c r="BZ33" s="12">
        <v>0.24432887381014501</v>
      </c>
      <c r="CA33" s="14">
        <v>0.22847616169663301</v>
      </c>
      <c r="CB33" s="86">
        <f t="shared" si="6"/>
        <v>27508817.39240621</v>
      </c>
      <c r="CC33" s="83">
        <v>9367199.4240736905</v>
      </c>
      <c r="CD33" s="83">
        <v>13019730.5049993</v>
      </c>
      <c r="CE33" s="83">
        <v>3895648.8533332101</v>
      </c>
      <c r="CF33" s="83">
        <v>1226238.6100000101</v>
      </c>
      <c r="CG33" s="90">
        <f t="shared" si="5"/>
        <v>0.3405162530418156</v>
      </c>
      <c r="CH33" s="90">
        <f t="shared" si="5"/>
        <v>0.47329299254403384</v>
      </c>
      <c r="CI33" s="90">
        <f t="shared" si="5"/>
        <v>0.14161455208207538</v>
      </c>
      <c r="CK33" s="86">
        <f t="shared" si="1"/>
        <v>26626047</v>
      </c>
      <c r="CL33" s="83">
        <v>8956448</v>
      </c>
      <c r="CM33" s="83">
        <v>12716565</v>
      </c>
      <c r="CN33" s="83">
        <v>3755576</v>
      </c>
      <c r="CO33" s="83">
        <v>1197458</v>
      </c>
      <c r="CP33" s="90">
        <f t="shared" si="2"/>
        <v>0.33637918538940459</v>
      </c>
      <c r="CQ33" s="90">
        <f t="shared" si="2"/>
        <v>0.47759868372500058</v>
      </c>
      <c r="CR33" s="90">
        <f t="shared" si="2"/>
        <v>0.14104895105157741</v>
      </c>
    </row>
    <row r="34" spans="1:97" ht="61.5" thickTop="1" thickBot="1" x14ac:dyDescent="0.3">
      <c r="A34" s="3" t="s">
        <v>295</v>
      </c>
      <c r="B34" s="3">
        <v>938</v>
      </c>
      <c r="C34" s="3" t="s">
        <v>153</v>
      </c>
      <c r="D34" s="16">
        <v>44840</v>
      </c>
      <c r="E34" s="16" t="s">
        <v>596</v>
      </c>
      <c r="F34" s="16" t="s">
        <v>640</v>
      </c>
      <c r="G34" s="17">
        <v>25500</v>
      </c>
      <c r="H34" s="17">
        <v>31958</v>
      </c>
      <c r="I34" s="17" t="s">
        <v>585</v>
      </c>
      <c r="J34" s="18"/>
      <c r="K34" s="18" t="s">
        <v>598</v>
      </c>
      <c r="L34" s="18"/>
      <c r="M34" s="18" t="s">
        <v>598</v>
      </c>
      <c r="N34" s="10">
        <v>16142</v>
      </c>
      <c r="O34" s="11">
        <v>8737</v>
      </c>
      <c r="P34" s="11">
        <v>6854</v>
      </c>
      <c r="Q34" s="11">
        <v>3632</v>
      </c>
      <c r="R34" s="12">
        <v>0.54125882790236601</v>
      </c>
      <c r="S34" s="12">
        <v>0.42460661628051</v>
      </c>
      <c r="T34" s="12">
        <v>0.22500309750960201</v>
      </c>
      <c r="U34" s="12">
        <v>0.116652211621856</v>
      </c>
      <c r="V34" s="12">
        <v>0.19960351877090801</v>
      </c>
      <c r="W34" s="12">
        <v>9.3049188452484194E-2</v>
      </c>
      <c r="X34" s="12">
        <v>0.13195390905711801</v>
      </c>
      <c r="Y34" s="13">
        <v>82390</v>
      </c>
      <c r="Z34" s="13">
        <v>116627</v>
      </c>
      <c r="AA34" s="13">
        <v>1799072</v>
      </c>
      <c r="AB34" s="11">
        <v>38246</v>
      </c>
      <c r="AC34" s="11">
        <v>39480</v>
      </c>
      <c r="AD34" s="12">
        <v>3.2264812006484303E-2</v>
      </c>
      <c r="AE34" s="12">
        <v>0.65579262916593195</v>
      </c>
      <c r="AF34" s="12">
        <v>5.9091146786592101E-2</v>
      </c>
      <c r="AG34" s="12">
        <v>4.5102755843748399E-2</v>
      </c>
      <c r="AH34" s="12">
        <v>0.14001464205407099</v>
      </c>
      <c r="AI34" s="14">
        <v>0.28248705747006198</v>
      </c>
      <c r="AJ34" s="4">
        <v>42464</v>
      </c>
      <c r="AK34" s="5">
        <v>19280</v>
      </c>
      <c r="AL34" s="5">
        <v>14299</v>
      </c>
      <c r="AM34" s="5">
        <v>7066</v>
      </c>
      <c r="AN34" s="6">
        <v>0.45403165033911103</v>
      </c>
      <c r="AO34" s="6">
        <v>0.33673229088168799</v>
      </c>
      <c r="AP34" s="6">
        <v>0.16639977392614899</v>
      </c>
      <c r="AQ34" s="6">
        <v>0.11729935945742299</v>
      </c>
      <c r="AR34" s="6">
        <v>0.170332516955539</v>
      </c>
      <c r="AS34" s="6">
        <v>7.1024868123587007E-2</v>
      </c>
      <c r="AT34" s="6">
        <v>9.5374905802562193E-2</v>
      </c>
      <c r="AU34" s="7">
        <v>67747</v>
      </c>
      <c r="AV34" s="7">
        <v>98216</v>
      </c>
      <c r="AW34" s="7">
        <v>1174543</v>
      </c>
      <c r="AX34" s="5">
        <v>100255</v>
      </c>
      <c r="AY34" s="5">
        <v>103697</v>
      </c>
      <c r="AZ34" s="6">
        <v>3.4332452246770701E-2</v>
      </c>
      <c r="BA34" s="6">
        <v>0.59213227387618905</v>
      </c>
      <c r="BB34" s="6">
        <v>6.3109071866739794E-2</v>
      </c>
      <c r="BC34" s="6">
        <v>4.1583960899705799E-2</v>
      </c>
      <c r="BD34" s="6">
        <v>0.201625854072116</v>
      </c>
      <c r="BE34" s="8">
        <v>0.24879557129320201</v>
      </c>
      <c r="BF34" s="10">
        <v>87794</v>
      </c>
      <c r="BG34" s="11">
        <v>31384</v>
      </c>
      <c r="BH34" s="11">
        <v>22144</v>
      </c>
      <c r="BI34" s="11">
        <v>10313</v>
      </c>
      <c r="BJ34" s="12">
        <v>0.35747317584345201</v>
      </c>
      <c r="BK34" s="12">
        <v>0.25222680365400801</v>
      </c>
      <c r="BL34" s="12">
        <v>0.11746816411144299</v>
      </c>
      <c r="BM34" s="12">
        <v>0.10524637218944299</v>
      </c>
      <c r="BN34" s="12">
        <v>0.13475863954256601</v>
      </c>
      <c r="BO34" s="12">
        <v>5.33066040959519E-2</v>
      </c>
      <c r="BP34" s="12">
        <v>6.4161560015490796E-2</v>
      </c>
      <c r="BQ34" s="13">
        <v>55033</v>
      </c>
      <c r="BR34" s="13">
        <v>79057</v>
      </c>
      <c r="BS34" s="13">
        <v>788896</v>
      </c>
      <c r="BT34" s="11">
        <v>215804</v>
      </c>
      <c r="BU34" s="11">
        <v>224317</v>
      </c>
      <c r="BV34" s="12">
        <v>3.94478322922652E-2</v>
      </c>
      <c r="BW34" s="12">
        <v>0.53230558040534304</v>
      </c>
      <c r="BX34" s="12">
        <v>7.4558395581175496E-2</v>
      </c>
      <c r="BY34" s="12">
        <v>3.9925117236010499E-2</v>
      </c>
      <c r="BZ34" s="12">
        <v>0.27681599970343501</v>
      </c>
      <c r="CA34" s="14">
        <v>0.19643287427480499</v>
      </c>
      <c r="CB34" s="98">
        <v>12800000</v>
      </c>
      <c r="CC34" s="83" t="s">
        <v>598</v>
      </c>
      <c r="CD34" s="83" t="s">
        <v>598</v>
      </c>
      <c r="CE34" s="83" t="s">
        <v>598</v>
      </c>
      <c r="CF34" s="83" t="s">
        <v>598</v>
      </c>
      <c r="CG34" s="90" t="str">
        <f t="shared" si="5"/>
        <v/>
      </c>
      <c r="CH34" s="90" t="str">
        <f t="shared" si="5"/>
        <v/>
      </c>
      <c r="CI34" s="90" t="str">
        <f t="shared" si="5"/>
        <v/>
      </c>
      <c r="CK34" s="86">
        <f t="shared" si="1"/>
        <v>16835731</v>
      </c>
      <c r="CL34" s="83">
        <v>5728653</v>
      </c>
      <c r="CM34" s="83">
        <v>8064743</v>
      </c>
      <c r="CN34" s="83">
        <v>2065582</v>
      </c>
      <c r="CO34" s="83">
        <v>976753</v>
      </c>
      <c r="CP34" s="90">
        <f t="shared" si="2"/>
        <v>0.34026755357400279</v>
      </c>
      <c r="CQ34" s="90">
        <f t="shared" si="2"/>
        <v>0.47902541327133347</v>
      </c>
      <c r="CR34" s="90">
        <f t="shared" si="2"/>
        <v>0.1226903661029034</v>
      </c>
      <c r="CS34" s="153">
        <f>CK34/CB34-1</f>
        <v>0.3152914843750001</v>
      </c>
    </row>
    <row r="35" spans="1:97" ht="37.5" thickTop="1" thickBot="1" x14ac:dyDescent="0.3">
      <c r="A35" s="3" t="s">
        <v>295</v>
      </c>
      <c r="B35" s="3">
        <v>913</v>
      </c>
      <c r="C35" s="3" t="s">
        <v>128</v>
      </c>
      <c r="D35" s="16">
        <v>39526</v>
      </c>
      <c r="E35" s="16" t="s">
        <v>543</v>
      </c>
      <c r="F35" s="16" t="s">
        <v>404</v>
      </c>
      <c r="G35" s="17">
        <v>18158</v>
      </c>
      <c r="H35" s="17">
        <v>21775</v>
      </c>
      <c r="I35" s="17" t="s">
        <v>584</v>
      </c>
      <c r="J35" s="18"/>
      <c r="K35" s="18" t="s">
        <v>598</v>
      </c>
      <c r="L35" s="18"/>
      <c r="M35" s="18" t="s">
        <v>598</v>
      </c>
      <c r="N35" s="10">
        <v>42073</v>
      </c>
      <c r="O35" s="11">
        <v>15765</v>
      </c>
      <c r="P35" s="11">
        <v>10114</v>
      </c>
      <c r="Q35" s="11">
        <v>4550</v>
      </c>
      <c r="R35" s="12">
        <v>0.37470586837163999</v>
      </c>
      <c r="S35" s="12">
        <v>0.24039170014023201</v>
      </c>
      <c r="T35" s="12">
        <v>0.108145366386994</v>
      </c>
      <c r="U35" s="12">
        <v>0.13431416823140699</v>
      </c>
      <c r="V35" s="12">
        <v>0.13224633375323799</v>
      </c>
      <c r="W35" s="12">
        <v>5.0127159936301201E-2</v>
      </c>
      <c r="X35" s="12">
        <v>5.8018206450692798E-2</v>
      </c>
      <c r="Y35" s="13">
        <v>56363</v>
      </c>
      <c r="Z35" s="13">
        <v>79313</v>
      </c>
      <c r="AA35" s="13">
        <v>862721</v>
      </c>
      <c r="AB35" s="11">
        <v>93788</v>
      </c>
      <c r="AC35" s="11">
        <v>96208</v>
      </c>
      <c r="AD35" s="12">
        <v>2.5802874568175E-2</v>
      </c>
      <c r="AE35" s="12">
        <v>0.30171368523158998</v>
      </c>
      <c r="AF35" s="12">
        <v>0.105258668486374</v>
      </c>
      <c r="AG35" s="12">
        <v>4.5762784151490599E-2</v>
      </c>
      <c r="AH35" s="12">
        <v>3.5782829359832798E-2</v>
      </c>
      <c r="AI35" s="14">
        <v>0.31280121124237598</v>
      </c>
      <c r="AJ35" s="4">
        <v>108034</v>
      </c>
      <c r="AK35" s="5">
        <v>41966</v>
      </c>
      <c r="AL35" s="5">
        <v>26598</v>
      </c>
      <c r="AM35" s="5">
        <v>11491</v>
      </c>
      <c r="AN35" s="6">
        <v>0.38845178369772498</v>
      </c>
      <c r="AO35" s="6">
        <v>0.24620027028528099</v>
      </c>
      <c r="AP35" s="6">
        <v>0.10636466297647</v>
      </c>
      <c r="AQ35" s="6">
        <v>0.14225151341244399</v>
      </c>
      <c r="AR35" s="6">
        <v>0.13983560730881001</v>
      </c>
      <c r="AS35" s="6">
        <v>4.9049373345428297E-2</v>
      </c>
      <c r="AT35" s="6">
        <v>5.7315289631042099E-2</v>
      </c>
      <c r="AU35" s="7">
        <v>57550</v>
      </c>
      <c r="AV35" s="7">
        <v>79909</v>
      </c>
      <c r="AW35" s="7">
        <v>870506</v>
      </c>
      <c r="AX35" s="5">
        <v>243210</v>
      </c>
      <c r="AY35" s="5">
        <v>249481</v>
      </c>
      <c r="AZ35" s="6">
        <v>2.5784301632334201E-2</v>
      </c>
      <c r="BA35" s="6">
        <v>0.292750574333694</v>
      </c>
      <c r="BB35" s="6">
        <v>0.10622096130915699</v>
      </c>
      <c r="BC35" s="6">
        <v>5.3081698943299997E-2</v>
      </c>
      <c r="BD35" s="6">
        <v>4.5002261420171899E-2</v>
      </c>
      <c r="BE35" s="8">
        <v>0.31252004440606901</v>
      </c>
      <c r="BF35" s="10">
        <v>187395</v>
      </c>
      <c r="BG35" s="11">
        <v>68569</v>
      </c>
      <c r="BH35" s="11">
        <v>41581</v>
      </c>
      <c r="BI35" s="11">
        <v>17581</v>
      </c>
      <c r="BJ35" s="12">
        <v>0.365906240828197</v>
      </c>
      <c r="BK35" s="12">
        <v>0.22188959150457599</v>
      </c>
      <c r="BL35" s="12">
        <v>9.3817871341284498E-2</v>
      </c>
      <c r="BM35" s="12">
        <v>0.14401664932362099</v>
      </c>
      <c r="BN35" s="12">
        <v>0.12807172016329099</v>
      </c>
      <c r="BO35" s="12">
        <v>4.4371514714907002E-2</v>
      </c>
      <c r="BP35" s="12">
        <v>4.9446356626377398E-2</v>
      </c>
      <c r="BQ35" s="13">
        <v>55053</v>
      </c>
      <c r="BR35" s="13">
        <v>75893</v>
      </c>
      <c r="BS35" s="13">
        <v>769055</v>
      </c>
      <c r="BT35" s="11">
        <v>421847</v>
      </c>
      <c r="BU35" s="11">
        <v>434383</v>
      </c>
      <c r="BV35" s="12">
        <v>2.9716935286964199E-2</v>
      </c>
      <c r="BW35" s="12">
        <v>0.284355173273801</v>
      </c>
      <c r="BX35" s="12">
        <v>0.10192083859788</v>
      </c>
      <c r="BY35" s="12">
        <v>4.66709494200504E-2</v>
      </c>
      <c r="BZ35" s="12">
        <v>0.10025435762255</v>
      </c>
      <c r="CA35" s="14">
        <v>0.30531922711314802</v>
      </c>
      <c r="CB35" s="86">
        <f>IF(SUM(CC35:CF35)=0,"",SUM(CC35:CF35))</f>
        <v>22866848.291371822</v>
      </c>
      <c r="CC35" s="83">
        <v>8982601.6530389506</v>
      </c>
      <c r="CD35" s="83">
        <v>9579700.8199995905</v>
      </c>
      <c r="CE35" s="83">
        <v>3189492.5333332699</v>
      </c>
      <c r="CF35" s="83">
        <v>1115053.2850000099</v>
      </c>
      <c r="CG35" s="90">
        <f t="shared" si="5"/>
        <v>0.39282202508109915</v>
      </c>
      <c r="CH35" s="90">
        <f t="shared" si="5"/>
        <v>0.41893402614711128</v>
      </c>
      <c r="CI35" s="90">
        <f t="shared" si="5"/>
        <v>0.13948107289174333</v>
      </c>
      <c r="CK35" s="86">
        <f t="shared" si="1"/>
        <v>22912080</v>
      </c>
      <c r="CL35" s="83">
        <v>8931483</v>
      </c>
      <c r="CM35" s="83">
        <v>9721008</v>
      </c>
      <c r="CN35" s="83">
        <v>3171442</v>
      </c>
      <c r="CO35" s="83">
        <v>1088147</v>
      </c>
      <c r="CP35" s="90">
        <f t="shared" si="2"/>
        <v>0.38981545979238902</v>
      </c>
      <c r="CQ35" s="90">
        <f t="shared" si="2"/>
        <v>0.42427435658395046</v>
      </c>
      <c r="CR35" s="90">
        <f t="shared" si="2"/>
        <v>0.13841790007716454</v>
      </c>
    </row>
    <row r="36" spans="1:97" ht="49.5" thickTop="1" thickBot="1" x14ac:dyDescent="0.3">
      <c r="A36" s="3" t="s">
        <v>313</v>
      </c>
      <c r="B36" s="3">
        <v>2702</v>
      </c>
      <c r="C36" s="3" t="s">
        <v>275</v>
      </c>
      <c r="D36" s="16">
        <v>44791</v>
      </c>
      <c r="E36" s="16" t="s">
        <v>580</v>
      </c>
      <c r="F36" s="16" t="s">
        <v>655</v>
      </c>
      <c r="G36" s="17">
        <v>20830</v>
      </c>
      <c r="H36" s="17">
        <v>25090</v>
      </c>
      <c r="I36" s="17" t="s">
        <v>585</v>
      </c>
      <c r="J36" s="18"/>
      <c r="K36" s="18" t="s">
        <v>598</v>
      </c>
      <c r="L36" s="18"/>
      <c r="M36" s="18" t="s">
        <v>598</v>
      </c>
      <c r="N36" s="10">
        <v>34865</v>
      </c>
      <c r="O36" s="11">
        <v>12933</v>
      </c>
      <c r="P36" s="11">
        <v>8274</v>
      </c>
      <c r="Q36" s="11">
        <v>3554</v>
      </c>
      <c r="R36" s="12">
        <v>0.37094507385630299</v>
      </c>
      <c r="S36" s="12">
        <v>0.23731535924279401</v>
      </c>
      <c r="T36" s="12">
        <v>0.101936039007601</v>
      </c>
      <c r="U36" s="12">
        <v>0.133629714613509</v>
      </c>
      <c r="V36" s="12">
        <v>0.135379320235193</v>
      </c>
      <c r="W36" s="12">
        <v>5.8454036999856601E-2</v>
      </c>
      <c r="X36" s="12">
        <v>4.34820020077442E-2</v>
      </c>
      <c r="Y36" s="13">
        <v>57170</v>
      </c>
      <c r="Z36" s="13">
        <v>77122</v>
      </c>
      <c r="AA36" s="13">
        <v>631792</v>
      </c>
      <c r="AB36" s="11">
        <v>85113</v>
      </c>
      <c r="AC36" s="11">
        <v>88073</v>
      </c>
      <c r="AD36" s="12">
        <v>3.4777296065230903E-2</v>
      </c>
      <c r="AE36" s="12">
        <v>0.30518588045992401</v>
      </c>
      <c r="AF36" s="12">
        <v>6.7815727327200301E-2</v>
      </c>
      <c r="AG36" s="12">
        <v>9.4286419230904805E-2</v>
      </c>
      <c r="AH36" s="12">
        <v>3.27094568397307E-2</v>
      </c>
      <c r="AI36" s="14">
        <v>0.23710831482852199</v>
      </c>
      <c r="AJ36" s="4">
        <v>80511</v>
      </c>
      <c r="AK36" s="5">
        <v>33834</v>
      </c>
      <c r="AL36" s="5">
        <v>23116</v>
      </c>
      <c r="AM36" s="5">
        <v>9397</v>
      </c>
      <c r="AN36" s="6">
        <v>0.420240712449231</v>
      </c>
      <c r="AO36" s="6">
        <v>0.28711604625454901</v>
      </c>
      <c r="AP36" s="6">
        <v>0.116716970351877</v>
      </c>
      <c r="AQ36" s="6">
        <v>0.133124666194681</v>
      </c>
      <c r="AR36" s="6">
        <v>0.170399075902672</v>
      </c>
      <c r="AS36" s="6">
        <v>7.1890797530772196E-2</v>
      </c>
      <c r="AT36" s="6">
        <v>4.4826172821105202E-2</v>
      </c>
      <c r="AU36" s="7">
        <v>62990</v>
      </c>
      <c r="AV36" s="7">
        <v>82235</v>
      </c>
      <c r="AW36" s="7">
        <v>664564</v>
      </c>
      <c r="AX36" s="5">
        <v>204930</v>
      </c>
      <c r="AY36" s="5">
        <v>214422</v>
      </c>
      <c r="AZ36" s="6">
        <v>4.6318255013907197E-2</v>
      </c>
      <c r="BA36" s="6">
        <v>0.33265785441161699</v>
      </c>
      <c r="BB36" s="6">
        <v>6.7593812521348801E-2</v>
      </c>
      <c r="BC36" s="6">
        <v>8.4423949641341006E-2</v>
      </c>
      <c r="BD36" s="6">
        <v>3.73444590835895E-2</v>
      </c>
      <c r="BE36" s="8">
        <v>0.22617479139218299</v>
      </c>
      <c r="BF36" s="10">
        <v>111000</v>
      </c>
      <c r="BG36" s="11">
        <v>46184</v>
      </c>
      <c r="BH36" s="11">
        <v>31196</v>
      </c>
      <c r="BI36" s="11">
        <v>12811</v>
      </c>
      <c r="BJ36" s="12">
        <v>0.41607207207207197</v>
      </c>
      <c r="BK36" s="12">
        <v>0.28104504504504502</v>
      </c>
      <c r="BL36" s="12">
        <v>0.115414414414414</v>
      </c>
      <c r="BM36" s="12">
        <v>0.13502702702702701</v>
      </c>
      <c r="BN36" s="12">
        <v>0.16563063063063099</v>
      </c>
      <c r="BO36" s="12">
        <v>7.0576576576576594E-2</v>
      </c>
      <c r="BP36" s="12">
        <v>4.4837837837837798E-2</v>
      </c>
      <c r="BQ36" s="13">
        <v>62206</v>
      </c>
      <c r="BR36" s="13">
        <v>81311</v>
      </c>
      <c r="BS36" s="13">
        <v>658322</v>
      </c>
      <c r="BT36" s="11">
        <v>288219</v>
      </c>
      <c r="BU36" s="11">
        <v>301355</v>
      </c>
      <c r="BV36" s="12">
        <v>4.5576454015869898E-2</v>
      </c>
      <c r="BW36" s="12">
        <v>0.31735809880147198</v>
      </c>
      <c r="BX36" s="12">
        <v>6.9127989480221599E-2</v>
      </c>
      <c r="BY36" s="12">
        <v>7.2448381265634798E-2</v>
      </c>
      <c r="BZ36" s="12">
        <v>4.2224835975421503E-2</v>
      </c>
      <c r="CA36" s="14">
        <v>0.22760123378403199</v>
      </c>
      <c r="CB36" s="86">
        <f>IF(SUM(CC36:CF36)=0,"",SUM(CC36:CF36))</f>
        <v>16108535.809999319</v>
      </c>
      <c r="CC36" s="83">
        <v>4376263.4399998104</v>
      </c>
      <c r="CD36" s="83">
        <v>7967255.0899995603</v>
      </c>
      <c r="CE36" s="83">
        <v>2908438.3899999401</v>
      </c>
      <c r="CF36" s="83">
        <v>856578.890000007</v>
      </c>
      <c r="CG36" s="90">
        <f t="shared" si="5"/>
        <v>0.27167357056022806</v>
      </c>
      <c r="CH36" s="90">
        <f t="shared" si="5"/>
        <v>0.49459834115115003</v>
      </c>
      <c r="CI36" s="90">
        <f t="shared" si="5"/>
        <v>0.18055262280228701</v>
      </c>
      <c r="CK36" s="86">
        <f t="shared" si="1"/>
        <v>16897805</v>
      </c>
      <c r="CL36" s="83">
        <v>4340711</v>
      </c>
      <c r="CM36" s="83">
        <v>8462057</v>
      </c>
      <c r="CN36" s="83">
        <v>3211161</v>
      </c>
      <c r="CO36" s="83">
        <v>883876</v>
      </c>
      <c r="CP36" s="90">
        <f t="shared" si="2"/>
        <v>0.25688016875564607</v>
      </c>
      <c r="CQ36" s="90">
        <f t="shared" si="2"/>
        <v>0.50077847389054375</v>
      </c>
      <c r="CR36" s="90">
        <f t="shared" si="2"/>
        <v>0.19003420858507955</v>
      </c>
      <c r="CS36" s="153">
        <f>CK36/CB36-1</f>
        <v>4.8996954118619929E-2</v>
      </c>
    </row>
    <row r="37" spans="1:97" ht="37.5" thickTop="1" thickBot="1" x14ac:dyDescent="0.3">
      <c r="A37" s="3" t="s">
        <v>295</v>
      </c>
      <c r="B37" s="3">
        <v>904</v>
      </c>
      <c r="C37" s="3" t="s">
        <v>120</v>
      </c>
      <c r="D37" s="16">
        <v>38778</v>
      </c>
      <c r="E37" s="16" t="s">
        <v>545</v>
      </c>
      <c r="F37" s="16" t="s">
        <v>397</v>
      </c>
      <c r="G37" s="17">
        <v>13519</v>
      </c>
      <c r="H37" s="17">
        <v>15271</v>
      </c>
      <c r="I37" s="17" t="s">
        <v>583</v>
      </c>
      <c r="J37" s="18"/>
      <c r="K37" s="18" t="s">
        <v>519</v>
      </c>
      <c r="L37" s="18"/>
      <c r="M37" s="18" t="s">
        <v>598</v>
      </c>
      <c r="N37" s="10">
        <v>40062</v>
      </c>
      <c r="O37" s="11">
        <v>18808</v>
      </c>
      <c r="P37" s="11">
        <v>14276</v>
      </c>
      <c r="Q37" s="11">
        <v>8684</v>
      </c>
      <c r="R37" s="12">
        <v>0.46947231790724397</v>
      </c>
      <c r="S37" s="12">
        <v>0.35634766112525601</v>
      </c>
      <c r="T37" s="12">
        <v>0.21676401577554799</v>
      </c>
      <c r="U37" s="12">
        <v>0.11312465678198801</v>
      </c>
      <c r="V37" s="12">
        <v>0.13958364534970799</v>
      </c>
      <c r="W37" s="12">
        <v>7.8103938894713204E-2</v>
      </c>
      <c r="X37" s="12">
        <v>0.13866007688083501</v>
      </c>
      <c r="Y37" s="13">
        <v>68444</v>
      </c>
      <c r="Z37" s="13">
        <v>109565</v>
      </c>
      <c r="AA37" s="13">
        <v>887276</v>
      </c>
      <c r="AB37" s="11">
        <v>79978</v>
      </c>
      <c r="AC37" s="11">
        <v>91490</v>
      </c>
      <c r="AD37" s="12">
        <v>0.143939583385431</v>
      </c>
      <c r="AE37" s="12">
        <v>0.47153038908730499</v>
      </c>
      <c r="AF37" s="12">
        <v>0.210132786516292</v>
      </c>
      <c r="AG37" s="12">
        <v>2.34189402085574E-2</v>
      </c>
      <c r="AH37" s="12">
        <v>0.23804046112680999</v>
      </c>
      <c r="AI37" s="14">
        <v>0.28990472379904503</v>
      </c>
      <c r="AJ37" s="4">
        <v>96695</v>
      </c>
      <c r="AK37" s="5">
        <v>38909</v>
      </c>
      <c r="AL37" s="5">
        <v>28116</v>
      </c>
      <c r="AM37" s="5">
        <v>15922</v>
      </c>
      <c r="AN37" s="6">
        <v>0.40238895496147697</v>
      </c>
      <c r="AO37" s="6">
        <v>0.29076994673974899</v>
      </c>
      <c r="AP37" s="6">
        <v>0.164662081803609</v>
      </c>
      <c r="AQ37" s="6">
        <v>0.111619008221728</v>
      </c>
      <c r="AR37" s="6">
        <v>0.12610786493613901</v>
      </c>
      <c r="AS37" s="6">
        <v>6.2702311391488699E-2</v>
      </c>
      <c r="AT37" s="6">
        <v>0.101959770412121</v>
      </c>
      <c r="AU37" s="7">
        <v>58323</v>
      </c>
      <c r="AV37" s="7">
        <v>93270</v>
      </c>
      <c r="AW37" s="7">
        <v>750999</v>
      </c>
      <c r="AX37" s="5">
        <v>222744</v>
      </c>
      <c r="AY37" s="5">
        <v>238825</v>
      </c>
      <c r="AZ37" s="6">
        <v>7.2194986172467002E-2</v>
      </c>
      <c r="BA37" s="6">
        <v>0.36450565419414999</v>
      </c>
      <c r="BB37" s="6">
        <v>0.21528301547965401</v>
      </c>
      <c r="BC37" s="6">
        <v>1.9578529612469898E-2</v>
      </c>
      <c r="BD37" s="6">
        <v>0.36970243867399299</v>
      </c>
      <c r="BE37" s="8">
        <v>0.28244082893366401</v>
      </c>
      <c r="BF37" s="10">
        <v>196667</v>
      </c>
      <c r="BG37" s="11">
        <v>73311</v>
      </c>
      <c r="BH37" s="11">
        <v>51682</v>
      </c>
      <c r="BI37" s="11">
        <v>27154</v>
      </c>
      <c r="BJ37" s="12">
        <v>0.37276716480141597</v>
      </c>
      <c r="BK37" s="12">
        <v>0.26278938510273703</v>
      </c>
      <c r="BL37" s="12">
        <v>0.13807095242211501</v>
      </c>
      <c r="BM37" s="12">
        <v>0.109977779698678</v>
      </c>
      <c r="BN37" s="12">
        <v>0.12471843268062301</v>
      </c>
      <c r="BO37" s="12">
        <v>5.5738888578155003E-2</v>
      </c>
      <c r="BP37" s="12">
        <v>8.2332063843959594E-2</v>
      </c>
      <c r="BQ37" s="13">
        <v>55341</v>
      </c>
      <c r="BR37" s="13">
        <v>85740</v>
      </c>
      <c r="BS37" s="13">
        <v>725171</v>
      </c>
      <c r="BT37" s="11">
        <v>464813</v>
      </c>
      <c r="BU37" s="11">
        <v>490848</v>
      </c>
      <c r="BV37" s="12">
        <v>5.6011772476243102E-2</v>
      </c>
      <c r="BW37" s="12">
        <v>0.33437684738388601</v>
      </c>
      <c r="BX37" s="12">
        <v>0.24795562946819499</v>
      </c>
      <c r="BY37" s="12">
        <v>2.1419366497924999E-2</v>
      </c>
      <c r="BZ37" s="12">
        <v>0.36209615479773599</v>
      </c>
      <c r="CA37" s="14">
        <v>0.27688554321845599</v>
      </c>
      <c r="CB37" s="86">
        <f>IF(SUM(CC37:CF37)=0,"",SUM(CC37:CF37))</f>
        <v>28847888.284165673</v>
      </c>
      <c r="CC37" s="83">
        <v>13400019.664166201</v>
      </c>
      <c r="CD37" s="83">
        <v>11392156.1299995</v>
      </c>
      <c r="CE37" s="83">
        <v>2774832.6899999599</v>
      </c>
      <c r="CF37" s="83">
        <v>1280879.8000000101</v>
      </c>
      <c r="CG37" s="90">
        <f t="shared" si="5"/>
        <v>0.46450608558136097</v>
      </c>
      <c r="CH37" s="90">
        <f t="shared" si="5"/>
        <v>0.39490433468755992</v>
      </c>
      <c r="CI37" s="90">
        <f t="shared" si="5"/>
        <v>9.6188416381348743E-2</v>
      </c>
      <c r="CK37" s="86">
        <f t="shared" si="1"/>
        <v>24107137</v>
      </c>
      <c r="CL37" s="83">
        <v>10761891</v>
      </c>
      <c r="CM37" s="83">
        <v>9774956</v>
      </c>
      <c r="CN37" s="83">
        <v>2460647</v>
      </c>
      <c r="CO37" s="83">
        <v>1109643</v>
      </c>
      <c r="CP37" s="90">
        <f t="shared" si="2"/>
        <v>0.44641929068557579</v>
      </c>
      <c r="CQ37" s="90">
        <f t="shared" si="2"/>
        <v>0.40547975481285897</v>
      </c>
      <c r="CR37" s="90">
        <f t="shared" si="2"/>
        <v>0.10207130776251033</v>
      </c>
    </row>
    <row r="38" spans="1:97" ht="49.5" thickTop="1" thickBot="1" x14ac:dyDescent="0.3">
      <c r="A38" s="3" t="s">
        <v>311</v>
      </c>
      <c r="B38" s="3">
        <v>2501</v>
      </c>
      <c r="C38" s="3" t="s">
        <v>267</v>
      </c>
      <c r="D38" s="16">
        <v>44008</v>
      </c>
      <c r="E38" s="16" t="s">
        <v>578</v>
      </c>
      <c r="F38" s="16" t="s">
        <v>515</v>
      </c>
      <c r="G38" s="17">
        <v>25828</v>
      </c>
      <c r="H38" s="17">
        <v>30000</v>
      </c>
      <c r="I38" s="17" t="s">
        <v>585</v>
      </c>
      <c r="J38" s="18" t="s">
        <v>581</v>
      </c>
      <c r="K38" s="18" t="s">
        <v>598</v>
      </c>
      <c r="L38" s="18"/>
      <c r="M38" s="18" t="s">
        <v>598</v>
      </c>
      <c r="N38" s="10">
        <v>56977</v>
      </c>
      <c r="O38" s="11">
        <v>23689</v>
      </c>
      <c r="P38" s="11">
        <v>17079</v>
      </c>
      <c r="Q38" s="11">
        <v>7800</v>
      </c>
      <c r="R38" s="12">
        <v>0.41576425575232101</v>
      </c>
      <c r="S38" s="12">
        <v>0.299752531723327</v>
      </c>
      <c r="T38" s="12">
        <v>0.13689734454253499</v>
      </c>
      <c r="U38" s="12">
        <v>0.116011724028994</v>
      </c>
      <c r="V38" s="12">
        <v>0.162855187180792</v>
      </c>
      <c r="W38" s="12">
        <v>6.5780929146848702E-2</v>
      </c>
      <c r="X38" s="12">
        <v>7.1116415395686E-2</v>
      </c>
      <c r="Y38" s="13">
        <v>60901</v>
      </c>
      <c r="Z38" s="13">
        <v>87995</v>
      </c>
      <c r="AA38" s="13">
        <v>873605</v>
      </c>
      <c r="AB38" s="11">
        <v>127807</v>
      </c>
      <c r="AC38" s="11">
        <v>126966</v>
      </c>
      <c r="AD38" s="12">
        <v>-6.58023425946936E-3</v>
      </c>
      <c r="AE38" s="12">
        <v>0.40674513115532801</v>
      </c>
      <c r="AF38" s="12">
        <v>0.16228375597580699</v>
      </c>
      <c r="AG38" s="12">
        <v>3.8206045052305397E-2</v>
      </c>
      <c r="AH38" s="12">
        <v>0.11471985102537401</v>
      </c>
      <c r="AI38" s="14">
        <v>0.25516599247302602</v>
      </c>
      <c r="AJ38" s="4">
        <v>115463</v>
      </c>
      <c r="AK38" s="5">
        <v>47393</v>
      </c>
      <c r="AL38" s="5">
        <v>34231</v>
      </c>
      <c r="AM38" s="5">
        <v>16352</v>
      </c>
      <c r="AN38" s="6">
        <v>0.41046049383785299</v>
      </c>
      <c r="AO38" s="6">
        <v>0.29646726657024303</v>
      </c>
      <c r="AP38" s="6">
        <v>0.14162112538215699</v>
      </c>
      <c r="AQ38" s="6">
        <v>0.11399322726761001</v>
      </c>
      <c r="AR38" s="6">
        <v>0.15484614118808601</v>
      </c>
      <c r="AS38" s="6">
        <v>6.5492841862761206E-2</v>
      </c>
      <c r="AT38" s="6">
        <v>7.6128283519395795E-2</v>
      </c>
      <c r="AU38" s="7">
        <v>60061</v>
      </c>
      <c r="AV38" s="7">
        <v>87887</v>
      </c>
      <c r="AW38" s="7">
        <v>808023</v>
      </c>
      <c r="AX38" s="5">
        <v>266022</v>
      </c>
      <c r="AY38" s="5">
        <v>266195</v>
      </c>
      <c r="AZ38" s="6">
        <v>6.50322153806828E-4</v>
      </c>
      <c r="BA38" s="6">
        <v>0.41430879916012198</v>
      </c>
      <c r="BB38" s="6">
        <v>0.14133041628136001</v>
      </c>
      <c r="BC38" s="6">
        <v>3.0320800535294099E-2</v>
      </c>
      <c r="BD38" s="6">
        <v>0.185428272849614</v>
      </c>
      <c r="BE38" s="8">
        <v>0.25668177819879601</v>
      </c>
      <c r="BF38" s="10">
        <v>195940</v>
      </c>
      <c r="BG38" s="11">
        <v>74357</v>
      </c>
      <c r="BH38" s="11">
        <v>53218</v>
      </c>
      <c r="BI38" s="11">
        <v>26360</v>
      </c>
      <c r="BJ38" s="12">
        <v>0.37948861896498898</v>
      </c>
      <c r="BK38" s="12">
        <v>0.27160355210778803</v>
      </c>
      <c r="BL38" s="12">
        <v>0.13453097887108301</v>
      </c>
      <c r="BM38" s="12">
        <v>0.10788506685720101</v>
      </c>
      <c r="BN38" s="12">
        <v>0.13707257323670499</v>
      </c>
      <c r="BO38" s="12">
        <v>5.7686026334592203E-2</v>
      </c>
      <c r="BP38" s="12">
        <v>7.6844952536490804E-2</v>
      </c>
      <c r="BQ38" s="13">
        <v>55429</v>
      </c>
      <c r="BR38" s="13">
        <v>84101</v>
      </c>
      <c r="BS38" s="13">
        <v>692431</v>
      </c>
      <c r="BT38" s="11">
        <v>462403</v>
      </c>
      <c r="BU38" s="11">
        <v>466463</v>
      </c>
      <c r="BV38" s="12">
        <v>8.7802198515148002E-3</v>
      </c>
      <c r="BW38" s="12">
        <v>0.399967401343789</v>
      </c>
      <c r="BX38" s="12">
        <v>0.12723100844933999</v>
      </c>
      <c r="BY38" s="12">
        <v>2.6885638717741901E-2</v>
      </c>
      <c r="BZ38" s="12">
        <v>0.31874793199871099</v>
      </c>
      <c r="CA38" s="14">
        <v>0.250947766342346</v>
      </c>
      <c r="CB38" s="86">
        <f>IF(SUM(CC38:CF38)=0,"",SUM(CC38:CF38))</f>
        <v>35140892.164591208</v>
      </c>
      <c r="CC38" s="83">
        <v>13911338.298317499</v>
      </c>
      <c r="CD38" s="83">
        <v>14692047.8433326</v>
      </c>
      <c r="CE38" s="83">
        <v>4012841.55294113</v>
      </c>
      <c r="CF38" s="83">
        <v>2524664.4699999802</v>
      </c>
      <c r="CG38" s="90">
        <f t="shared" si="5"/>
        <v>0.39587322465121966</v>
      </c>
      <c r="CH38" s="90">
        <f t="shared" si="5"/>
        <v>0.41808977912452244</v>
      </c>
      <c r="CI38" s="90">
        <f t="shared" si="5"/>
        <v>0.1141929332398841</v>
      </c>
      <c r="CK38" s="86">
        <f t="shared" si="1"/>
        <v>35342530</v>
      </c>
      <c r="CL38" s="83">
        <v>13716313</v>
      </c>
      <c r="CM38" s="83">
        <v>15085172</v>
      </c>
      <c r="CN38" s="83">
        <v>4001163</v>
      </c>
      <c r="CO38" s="83">
        <v>2539882</v>
      </c>
      <c r="CP38" s="90">
        <f t="shared" si="2"/>
        <v>0.38809652280128221</v>
      </c>
      <c r="CQ38" s="90">
        <f t="shared" si="2"/>
        <v>0.42682773417749098</v>
      </c>
      <c r="CR38" s="90">
        <f t="shared" si="2"/>
        <v>0.11321099536450843</v>
      </c>
    </row>
    <row r="39" spans="1:97" ht="25.5" thickTop="1" thickBot="1" x14ac:dyDescent="0.3">
      <c r="A39" s="3" t="s">
        <v>304</v>
      </c>
      <c r="B39" s="3" t="s">
        <v>704</v>
      </c>
      <c r="C39" s="3" t="s">
        <v>729</v>
      </c>
      <c r="D39" s="16">
        <v>45547</v>
      </c>
      <c r="E39" s="16" t="s">
        <v>592</v>
      </c>
      <c r="F39" s="16" t="s">
        <v>706</v>
      </c>
      <c r="G39" s="17"/>
      <c r="H39" s="17">
        <v>25820</v>
      </c>
      <c r="I39" s="17" t="s">
        <v>584</v>
      </c>
      <c r="J39" s="18"/>
      <c r="K39" s="18"/>
      <c r="L39" s="18"/>
      <c r="M39" s="18" t="s">
        <v>598</v>
      </c>
      <c r="N39" s="42">
        <v>57379</v>
      </c>
      <c r="O39" s="43">
        <v>21812</v>
      </c>
      <c r="P39" s="43">
        <v>16003</v>
      </c>
      <c r="Q39" s="43">
        <v>7968</v>
      </c>
      <c r="R39" s="44">
        <v>0.38013907527144097</v>
      </c>
      <c r="S39" s="44">
        <v>0.27889994597326601</v>
      </c>
      <c r="T39" s="44">
        <v>0.138866135694244</v>
      </c>
      <c r="U39" s="44">
        <v>0.101239129298175</v>
      </c>
      <c r="V39" s="44">
        <v>0.14003381027902201</v>
      </c>
      <c r="W39" s="44">
        <v>6.0405374788685802E-2</v>
      </c>
      <c r="X39" s="44">
        <v>7.84607609055578E-2</v>
      </c>
      <c r="Y39" s="45">
        <v>55706</v>
      </c>
      <c r="Z39" s="45">
        <v>90285</v>
      </c>
      <c r="AA39" s="45">
        <v>648395</v>
      </c>
      <c r="AB39" s="43">
        <v>118662</v>
      </c>
      <c r="AC39" s="43">
        <v>121531</v>
      </c>
      <c r="AD39" s="44">
        <v>2.4177917109099799E-2</v>
      </c>
      <c r="AE39" s="44">
        <v>0.47844252928292502</v>
      </c>
      <c r="AF39" s="44">
        <v>0.11346513626940399</v>
      </c>
      <c r="AG39" s="44">
        <v>2.6453287488833799E-2</v>
      </c>
      <c r="AH39" s="44">
        <v>0.301663548566517</v>
      </c>
      <c r="AI39" s="46">
        <v>0.234885641570174</v>
      </c>
      <c r="AJ39" s="70">
        <v>122942</v>
      </c>
      <c r="AK39" s="71">
        <v>45763</v>
      </c>
      <c r="AL39" s="71">
        <v>31165</v>
      </c>
      <c r="AM39" s="71">
        <v>14758</v>
      </c>
      <c r="AN39" s="72">
        <v>0.37223243480665702</v>
      </c>
      <c r="AO39" s="72">
        <v>0.25349351726830499</v>
      </c>
      <c r="AP39" s="72">
        <v>0.120040344227359</v>
      </c>
      <c r="AQ39" s="72">
        <v>0.118738917538351</v>
      </c>
      <c r="AR39" s="72">
        <v>0.133453173040946</v>
      </c>
      <c r="AS39" s="72">
        <v>5.6075222462624703E-2</v>
      </c>
      <c r="AT39" s="72">
        <v>6.3965121764734595E-2</v>
      </c>
      <c r="AU39" s="73">
        <v>54864</v>
      </c>
      <c r="AV39" s="73">
        <v>84874</v>
      </c>
      <c r="AW39" s="73">
        <v>584954</v>
      </c>
      <c r="AX39" s="71">
        <v>272649</v>
      </c>
      <c r="AY39" s="71">
        <v>277554</v>
      </c>
      <c r="AZ39" s="72">
        <v>1.7990163176831799E-2</v>
      </c>
      <c r="BA39" s="72">
        <v>0.42084550427532003</v>
      </c>
      <c r="BB39" s="72">
        <v>0.17917909106580299</v>
      </c>
      <c r="BC39" s="72">
        <v>2.88502800303687E-2</v>
      </c>
      <c r="BD39" s="72">
        <v>0.27302135712949599</v>
      </c>
      <c r="BE39" s="74">
        <v>0.224082978481491</v>
      </c>
      <c r="BF39" s="42">
        <v>184655</v>
      </c>
      <c r="BG39" s="43">
        <v>68913</v>
      </c>
      <c r="BH39" s="43">
        <v>45056</v>
      </c>
      <c r="BI39" s="43">
        <v>20846</v>
      </c>
      <c r="BJ39" s="44">
        <v>0.37319866778587102</v>
      </c>
      <c r="BK39" s="44">
        <v>0.244000974790826</v>
      </c>
      <c r="BL39" s="44">
        <v>0.11289160867563799</v>
      </c>
      <c r="BM39" s="44">
        <v>0.12919769299504499</v>
      </c>
      <c r="BN39" s="44">
        <v>0.131109366115188</v>
      </c>
      <c r="BO39" s="44">
        <v>5.3266903143700403E-2</v>
      </c>
      <c r="BP39" s="44">
        <v>5.9624705531937897E-2</v>
      </c>
      <c r="BQ39" s="45">
        <v>55466</v>
      </c>
      <c r="BR39" s="45">
        <v>83818</v>
      </c>
      <c r="BS39" s="45">
        <v>598955</v>
      </c>
      <c r="BT39" s="43">
        <v>425648</v>
      </c>
      <c r="BU39" s="43">
        <v>430588</v>
      </c>
      <c r="BV39" s="44">
        <v>1.1605833928504301E-2</v>
      </c>
      <c r="BW39" s="44">
        <v>0.38480496478244802</v>
      </c>
      <c r="BX39" s="44">
        <v>0.20705371574634401</v>
      </c>
      <c r="BY39" s="44">
        <v>3.0764857346915801E-2</v>
      </c>
      <c r="BZ39" s="44">
        <v>0.23779742886140701</v>
      </c>
      <c r="CA39" s="46">
        <v>0.22613755967372101</v>
      </c>
      <c r="CB39" s="98">
        <v>20000000</v>
      </c>
      <c r="CC39" s="100"/>
      <c r="CD39" s="100"/>
      <c r="CG39" s="99">
        <v>0.35</v>
      </c>
      <c r="CH39" s="99">
        <v>0.4</v>
      </c>
      <c r="CI39" s="90">
        <f t="shared" ref="CI39:CI41" si="7">IFERROR(CE39/$CB39,"")</f>
        <v>0</v>
      </c>
      <c r="CK39" s="98">
        <v>20000000</v>
      </c>
      <c r="CL39" s="100"/>
      <c r="CM39" s="100"/>
      <c r="CN39" s="84"/>
      <c r="CO39" s="84"/>
      <c r="CP39" s="99">
        <v>0.35</v>
      </c>
      <c r="CQ39" s="99">
        <v>0.4</v>
      </c>
      <c r="CR39" s="90">
        <f t="shared" ref="CR39" si="8">IFERROR(CN39/$CB39,"")</f>
        <v>0</v>
      </c>
    </row>
    <row r="40" spans="1:97" ht="49.5" thickTop="1" thickBot="1" x14ac:dyDescent="0.3">
      <c r="A40" s="3" t="s">
        <v>291</v>
      </c>
      <c r="B40" s="3">
        <v>538</v>
      </c>
      <c r="C40" s="3" t="s">
        <v>93</v>
      </c>
      <c r="D40" s="16">
        <v>44868</v>
      </c>
      <c r="E40" s="16" t="s">
        <v>597</v>
      </c>
      <c r="F40" s="16" t="s">
        <v>651</v>
      </c>
      <c r="G40" s="17">
        <v>26440</v>
      </c>
      <c r="H40" s="17">
        <v>33691</v>
      </c>
      <c r="I40" s="17" t="s">
        <v>585</v>
      </c>
      <c r="J40" s="18"/>
      <c r="K40" s="18" t="s">
        <v>598</v>
      </c>
      <c r="L40" s="18"/>
      <c r="M40" s="18" t="s">
        <v>598</v>
      </c>
      <c r="N40" s="10">
        <v>27551</v>
      </c>
      <c r="O40" s="11">
        <v>6402</v>
      </c>
      <c r="P40" s="11">
        <v>4031</v>
      </c>
      <c r="Q40" s="11">
        <v>1481</v>
      </c>
      <c r="R40" s="12">
        <v>0.232369061014119</v>
      </c>
      <c r="S40" s="12">
        <v>0.146310478748503</v>
      </c>
      <c r="T40" s="12">
        <v>5.3754854633225699E-2</v>
      </c>
      <c r="U40" s="12">
        <v>8.6058582265616496E-2</v>
      </c>
      <c r="V40" s="12">
        <v>9.2555624115277096E-2</v>
      </c>
      <c r="W40" s="12">
        <v>2.5153351965445901E-2</v>
      </c>
      <c r="X40" s="12">
        <v>2.8601502667779801E-2</v>
      </c>
      <c r="Y40" s="13">
        <v>38075</v>
      </c>
      <c r="Z40" s="13">
        <v>55786</v>
      </c>
      <c r="AA40" s="13">
        <v>267917</v>
      </c>
      <c r="AB40" s="11">
        <v>84914</v>
      </c>
      <c r="AC40" s="11">
        <v>89235</v>
      </c>
      <c r="AD40" s="12">
        <v>5.0886779565207201E-2</v>
      </c>
      <c r="AE40" s="12">
        <v>0.217773074923888</v>
      </c>
      <c r="AF40" s="12">
        <v>0.91852933556303995</v>
      </c>
      <c r="AG40" s="12">
        <v>1.0575405704595199E-2</v>
      </c>
      <c r="AH40" s="12">
        <v>8.9149021362790598E-3</v>
      </c>
      <c r="AI40" s="14">
        <v>0.19101679346162001</v>
      </c>
      <c r="AJ40" s="4">
        <v>68537</v>
      </c>
      <c r="AK40" s="5">
        <v>18161</v>
      </c>
      <c r="AL40" s="5">
        <v>11347</v>
      </c>
      <c r="AM40" s="5">
        <v>4448</v>
      </c>
      <c r="AN40" s="6">
        <v>0.26498095918992698</v>
      </c>
      <c r="AO40" s="6">
        <v>0.16556020835461099</v>
      </c>
      <c r="AP40" s="6">
        <v>6.4899251499190194E-2</v>
      </c>
      <c r="AQ40" s="6">
        <v>9.9420750835315194E-2</v>
      </c>
      <c r="AR40" s="6">
        <v>0.10066095685542099</v>
      </c>
      <c r="AS40" s="6">
        <v>3.0567430730846099E-2</v>
      </c>
      <c r="AT40" s="6">
        <v>3.4331820768344103E-2</v>
      </c>
      <c r="AU40" s="7">
        <v>42092</v>
      </c>
      <c r="AV40" s="7">
        <v>60952</v>
      </c>
      <c r="AW40" s="7">
        <v>342556</v>
      </c>
      <c r="AX40" s="5">
        <v>225821</v>
      </c>
      <c r="AY40" s="5">
        <v>238136</v>
      </c>
      <c r="AZ40" s="6">
        <v>5.4534343573006898E-2</v>
      </c>
      <c r="BA40" s="6">
        <v>0.23564430112861201</v>
      </c>
      <c r="BB40" s="6">
        <v>0.92020228410998095</v>
      </c>
      <c r="BC40" s="6">
        <v>1.3081157199729E-2</v>
      </c>
      <c r="BD40" s="6">
        <v>8.9008551020498504E-3</v>
      </c>
      <c r="BE40" s="8">
        <v>0.17877433896758901</v>
      </c>
      <c r="BF40" s="10">
        <v>111720</v>
      </c>
      <c r="BG40" s="11">
        <v>33766</v>
      </c>
      <c r="BH40" s="11">
        <v>22085</v>
      </c>
      <c r="BI40" s="11">
        <v>8741</v>
      </c>
      <c r="BJ40" s="12">
        <v>0.30223773720014302</v>
      </c>
      <c r="BK40" s="12">
        <v>0.19768170426065201</v>
      </c>
      <c r="BL40" s="12">
        <v>7.8240243465807394E-2</v>
      </c>
      <c r="BM40" s="12">
        <v>0.10455603293949201</v>
      </c>
      <c r="BN40" s="12">
        <v>0.119441460794844</v>
      </c>
      <c r="BO40" s="12">
        <v>3.5741138560687398E-2</v>
      </c>
      <c r="BP40" s="12">
        <v>4.2499104905119899E-2</v>
      </c>
      <c r="BQ40" s="13">
        <v>46381</v>
      </c>
      <c r="BR40" s="13">
        <v>66375</v>
      </c>
      <c r="BS40" s="13">
        <v>433839</v>
      </c>
      <c r="BT40" s="11">
        <v>375005</v>
      </c>
      <c r="BU40" s="11">
        <v>398238</v>
      </c>
      <c r="BV40" s="12">
        <v>6.19538406154585E-2</v>
      </c>
      <c r="BW40" s="12">
        <v>0.26052215640173598</v>
      </c>
      <c r="BX40" s="12">
        <v>0.90615858455220599</v>
      </c>
      <c r="BY40" s="12">
        <v>1.5906454580605599E-2</v>
      </c>
      <c r="BZ40" s="12">
        <v>9.1732110238530208E-3</v>
      </c>
      <c r="CA40" s="14">
        <v>0.18081892241436801</v>
      </c>
      <c r="CB40" s="98">
        <v>15000000</v>
      </c>
      <c r="CC40" s="83" t="s">
        <v>598</v>
      </c>
      <c r="CD40" s="83" t="s">
        <v>598</v>
      </c>
      <c r="CE40" s="83" t="s">
        <v>598</v>
      </c>
      <c r="CF40" s="83" t="s">
        <v>598</v>
      </c>
      <c r="CG40" s="90" t="str">
        <f>IFERROR(CC40/$CB40,"")</f>
        <v/>
      </c>
      <c r="CH40" s="90" t="str">
        <f>IFERROR(CD40/$CB40,"")</f>
        <v/>
      </c>
      <c r="CI40" s="90" t="str">
        <f t="shared" si="7"/>
        <v/>
      </c>
      <c r="CK40" s="86">
        <f t="shared" si="1"/>
        <v>9145493</v>
      </c>
      <c r="CL40" s="83">
        <v>2006611</v>
      </c>
      <c r="CM40" s="83">
        <v>5580849</v>
      </c>
      <c r="CN40" s="83">
        <v>989399</v>
      </c>
      <c r="CO40" s="83">
        <v>568634</v>
      </c>
      <c r="CP40" s="90">
        <f t="shared" si="2"/>
        <v>0.21940982295869671</v>
      </c>
      <c r="CQ40" s="90">
        <f t="shared" si="2"/>
        <v>0.61022943213668202</v>
      </c>
      <c r="CR40" s="90">
        <f t="shared" si="2"/>
        <v>0.10818432642176862</v>
      </c>
      <c r="CS40" s="153">
        <f>CK40/CB40-1</f>
        <v>-0.39030046666666662</v>
      </c>
    </row>
    <row r="41" spans="1:97" ht="49.5" thickTop="1" thickBot="1" x14ac:dyDescent="0.3">
      <c r="A41" s="3" t="s">
        <v>291</v>
      </c>
      <c r="B41" s="3">
        <v>532</v>
      </c>
      <c r="C41" s="3" t="s">
        <v>87</v>
      </c>
      <c r="D41" s="16">
        <v>43699</v>
      </c>
      <c r="E41" s="16" t="s">
        <v>533</v>
      </c>
      <c r="F41" s="16" t="s">
        <v>369</v>
      </c>
      <c r="G41" s="17">
        <v>27700</v>
      </c>
      <c r="H41" s="17">
        <v>31658</v>
      </c>
      <c r="I41" s="17" t="s">
        <v>585</v>
      </c>
      <c r="J41" s="18"/>
      <c r="K41" s="18" t="s">
        <v>598</v>
      </c>
      <c r="L41" s="18"/>
      <c r="M41" s="18" t="s">
        <v>519</v>
      </c>
      <c r="N41" s="10">
        <v>37457</v>
      </c>
      <c r="O41" s="11">
        <v>8062</v>
      </c>
      <c r="P41" s="11">
        <v>4610</v>
      </c>
      <c r="Q41" s="11">
        <v>1447</v>
      </c>
      <c r="R41" s="12">
        <v>0.21523346770964</v>
      </c>
      <c r="S41" s="12">
        <v>0.123074458712657</v>
      </c>
      <c r="T41" s="12">
        <v>3.8630963504818899E-2</v>
      </c>
      <c r="U41" s="12">
        <v>9.2159008996983205E-2</v>
      </c>
      <c r="V41" s="12">
        <v>8.4443495207838296E-2</v>
      </c>
      <c r="W41" s="12">
        <v>2.2746082174226401E-2</v>
      </c>
      <c r="X41" s="12">
        <v>1.5884881330592401E-2</v>
      </c>
      <c r="Y41" s="13">
        <v>42803</v>
      </c>
      <c r="Z41" s="13">
        <v>55243</v>
      </c>
      <c r="AA41" s="13">
        <v>314143</v>
      </c>
      <c r="AB41" s="11">
        <v>104254</v>
      </c>
      <c r="AC41" s="11">
        <v>104511</v>
      </c>
      <c r="AD41" s="12">
        <v>2.4651332322980402E-3</v>
      </c>
      <c r="AE41" s="12">
        <v>0.202426627780216</v>
      </c>
      <c r="AF41" s="12">
        <v>0.86038904982063003</v>
      </c>
      <c r="AG41" s="12">
        <v>8.3641874652291507E-3</v>
      </c>
      <c r="AH41" s="12">
        <v>3.2775720835651397E-2</v>
      </c>
      <c r="AI41" s="14">
        <v>0.216950908358432</v>
      </c>
      <c r="AJ41" s="4">
        <v>79648</v>
      </c>
      <c r="AK41" s="5">
        <v>18757</v>
      </c>
      <c r="AL41" s="5">
        <v>10845</v>
      </c>
      <c r="AM41" s="5">
        <v>3290</v>
      </c>
      <c r="AN41" s="6">
        <v>0.235498694254721</v>
      </c>
      <c r="AO41" s="6">
        <v>0.13616161108879099</v>
      </c>
      <c r="AP41" s="6">
        <v>4.1306749698674199E-2</v>
      </c>
      <c r="AQ41" s="6">
        <v>9.9337083165930096E-2</v>
      </c>
      <c r="AR41" s="6">
        <v>9.4854861390116493E-2</v>
      </c>
      <c r="AS41" s="6">
        <v>2.5035154680594598E-2</v>
      </c>
      <c r="AT41" s="6">
        <v>1.62715950180796E-2</v>
      </c>
      <c r="AU41" s="7">
        <v>43839</v>
      </c>
      <c r="AV41" s="7">
        <v>56448</v>
      </c>
      <c r="AW41" s="7">
        <v>298441</v>
      </c>
      <c r="AX41" s="5">
        <v>236144</v>
      </c>
      <c r="AY41" s="5">
        <v>238386</v>
      </c>
      <c r="AZ41" s="6">
        <v>9.4942069245883901E-3</v>
      </c>
      <c r="BA41" s="6">
        <v>0.20604238534821101</v>
      </c>
      <c r="BB41" s="6">
        <v>0.85033284775391305</v>
      </c>
      <c r="BC41" s="6">
        <v>8.45246967951758E-3</v>
      </c>
      <c r="BD41" s="6">
        <v>3.4381563791584802E-2</v>
      </c>
      <c r="BE41" s="8">
        <v>0.21666864286198301</v>
      </c>
      <c r="BF41" s="10">
        <v>133381</v>
      </c>
      <c r="BG41" s="11">
        <v>31451</v>
      </c>
      <c r="BH41" s="11">
        <v>18295</v>
      </c>
      <c r="BI41" s="11">
        <v>5415</v>
      </c>
      <c r="BJ41" s="12">
        <v>0.235798202142734</v>
      </c>
      <c r="BK41" s="12">
        <v>0.13716346406159799</v>
      </c>
      <c r="BL41" s="12">
        <v>4.0597986219926399E-2</v>
      </c>
      <c r="BM41" s="12">
        <v>9.8634738081136E-2</v>
      </c>
      <c r="BN41" s="12">
        <v>9.6565477841671604E-2</v>
      </c>
      <c r="BO41" s="12">
        <v>2.3309166972807199E-2</v>
      </c>
      <c r="BP41" s="12">
        <v>1.7288819247119201E-2</v>
      </c>
      <c r="BQ41" s="13">
        <v>43449</v>
      </c>
      <c r="BR41" s="13">
        <v>56240</v>
      </c>
      <c r="BS41" s="13">
        <v>279949</v>
      </c>
      <c r="BT41" s="11">
        <v>411904</v>
      </c>
      <c r="BU41" s="11">
        <v>418078</v>
      </c>
      <c r="BV41" s="12">
        <v>1.49889294592915E-2</v>
      </c>
      <c r="BW41" s="12">
        <v>0.20181656142746099</v>
      </c>
      <c r="BX41" s="12">
        <v>0.86313315724052198</v>
      </c>
      <c r="BY41" s="12">
        <v>8.4874145431945297E-3</v>
      </c>
      <c r="BZ41" s="12">
        <v>3.4656133467992498E-2</v>
      </c>
      <c r="CA41" s="14">
        <v>0.20519101538222501</v>
      </c>
      <c r="CB41" s="86">
        <f>IF(SUM(CC41:CF41)=0,"",SUM(CC41:CF41))</f>
        <v>15112005.21999949</v>
      </c>
      <c r="CC41" s="83">
        <v>3652147.9499999098</v>
      </c>
      <c r="CD41" s="83">
        <v>8804913.8699995708</v>
      </c>
      <c r="CE41" s="83">
        <v>1738211.05</v>
      </c>
      <c r="CF41" s="83">
        <v>916732.35000000906</v>
      </c>
      <c r="CG41" s="90">
        <f>IFERROR(CC41/$CB41,"")</f>
        <v>0.24167196191585441</v>
      </c>
      <c r="CH41" s="90">
        <f>IFERROR(CD41/$CB41,"")</f>
        <v>0.58264364932504087</v>
      </c>
      <c r="CI41" s="90">
        <f t="shared" si="7"/>
        <v>0.11502186670102664</v>
      </c>
      <c r="CK41" s="86">
        <f t="shared" si="1"/>
        <v>14481572</v>
      </c>
      <c r="CL41" s="83">
        <v>3310855</v>
      </c>
      <c r="CM41" s="83">
        <v>8644862</v>
      </c>
      <c r="CN41" s="83">
        <v>1685194</v>
      </c>
      <c r="CO41" s="83">
        <v>840661</v>
      </c>
      <c r="CP41" s="90">
        <f t="shared" si="2"/>
        <v>0.22862538680193006</v>
      </c>
      <c r="CQ41" s="90">
        <f t="shared" si="2"/>
        <v>0.59695604869416108</v>
      </c>
      <c r="CR41" s="90">
        <f t="shared" si="2"/>
        <v>0.11636816776521224</v>
      </c>
    </row>
    <row r="42" spans="1:97" ht="25.5" thickTop="1" thickBot="1" x14ac:dyDescent="0.3">
      <c r="A42" s="3" t="s">
        <v>691</v>
      </c>
      <c r="B42" s="3" t="s">
        <v>745</v>
      </c>
      <c r="C42" s="3" t="s">
        <v>745</v>
      </c>
      <c r="D42" s="16" t="s">
        <v>741</v>
      </c>
      <c r="E42" s="16" t="s">
        <v>741</v>
      </c>
      <c r="F42" s="16" t="s">
        <v>746</v>
      </c>
      <c r="G42" s="17">
        <v>20931</v>
      </c>
      <c r="H42" s="17">
        <v>25078</v>
      </c>
      <c r="I42" s="17" t="s">
        <v>585</v>
      </c>
      <c r="J42" s="17"/>
      <c r="K42" s="18"/>
      <c r="L42" s="18"/>
      <c r="M42" s="18"/>
      <c r="N42" s="42">
        <v>46621</v>
      </c>
      <c r="O42" s="43">
        <v>16949</v>
      </c>
      <c r="P42" s="43">
        <v>10864</v>
      </c>
      <c r="Q42" s="43">
        <v>4690</v>
      </c>
      <c r="R42" s="44">
        <v>0.36354861543081401</v>
      </c>
      <c r="S42" s="44">
        <v>0.23302803457669299</v>
      </c>
      <c r="T42" s="44">
        <v>0.100598442761846</v>
      </c>
      <c r="U42" s="44">
        <v>0.13052058085412199</v>
      </c>
      <c r="V42" s="44">
        <v>0.13242959181484701</v>
      </c>
      <c r="W42" s="44">
        <v>5.1328800326033298E-2</v>
      </c>
      <c r="X42" s="44">
        <v>4.9269642435812201E-2</v>
      </c>
      <c r="Y42" s="45">
        <v>57980</v>
      </c>
      <c r="Z42" s="45">
        <v>82309</v>
      </c>
      <c r="AA42" s="45">
        <v>593330</v>
      </c>
      <c r="AB42" s="43">
        <v>109261</v>
      </c>
      <c r="AC42" s="43">
        <v>111271</v>
      </c>
      <c r="AD42" s="44">
        <v>1.8396317075626299E-2</v>
      </c>
      <c r="AE42" s="44">
        <v>0.40991682576131799</v>
      </c>
      <c r="AF42" s="44">
        <v>8.1383110167397299E-2</v>
      </c>
      <c r="AG42" s="44">
        <v>3.89434473416864E-2</v>
      </c>
      <c r="AH42" s="44">
        <v>4.2055262170399302E-2</v>
      </c>
      <c r="AI42" s="46">
        <v>0.21718637025105</v>
      </c>
      <c r="AJ42" s="42">
        <v>89036</v>
      </c>
      <c r="AK42" s="43">
        <v>32775</v>
      </c>
      <c r="AL42" s="43">
        <v>21750</v>
      </c>
      <c r="AM42" s="43">
        <v>9981</v>
      </c>
      <c r="AN42" s="44">
        <v>0.36810952872995201</v>
      </c>
      <c r="AO42" s="44">
        <v>0.24428321128532299</v>
      </c>
      <c r="AP42" s="44">
        <v>0.112100723302934</v>
      </c>
      <c r="AQ42" s="44">
        <v>0.12382631744462901</v>
      </c>
      <c r="AR42" s="44">
        <v>0.13218248798238899</v>
      </c>
      <c r="AS42" s="44">
        <v>5.4652050855833599E-2</v>
      </c>
      <c r="AT42" s="44">
        <v>5.7448672447100099E-2</v>
      </c>
      <c r="AU42" s="45">
        <v>57518</v>
      </c>
      <c r="AV42" s="45">
        <v>84061</v>
      </c>
      <c r="AW42" s="45">
        <v>661297</v>
      </c>
      <c r="AX42" s="43">
        <v>215689</v>
      </c>
      <c r="AY42" s="43">
        <v>220157</v>
      </c>
      <c r="AZ42" s="44">
        <v>2.0715010964861402E-2</v>
      </c>
      <c r="BA42" s="44">
        <v>0.417183700846818</v>
      </c>
      <c r="BB42" s="44">
        <v>8.77235278572389E-2</v>
      </c>
      <c r="BC42" s="44">
        <v>4.5876238472986601E-2</v>
      </c>
      <c r="BD42" s="44">
        <v>4.8852746315296597E-2</v>
      </c>
      <c r="BE42" s="46">
        <v>0.20901854058389599</v>
      </c>
      <c r="BF42" s="70">
        <v>116162</v>
      </c>
      <c r="BG42" s="71">
        <v>48262</v>
      </c>
      <c r="BH42" s="71">
        <v>33544</v>
      </c>
      <c r="BI42" s="71">
        <v>16278</v>
      </c>
      <c r="BJ42" s="72">
        <v>0.41547149670288003</v>
      </c>
      <c r="BK42" s="72">
        <v>0.28876913276286598</v>
      </c>
      <c r="BL42" s="72">
        <v>0.14013188478159799</v>
      </c>
      <c r="BM42" s="72">
        <v>0.12670236394001499</v>
      </c>
      <c r="BN42" s="72">
        <v>0.14863724798126801</v>
      </c>
      <c r="BO42" s="72">
        <v>6.6183433480828502E-2</v>
      </c>
      <c r="BP42" s="72">
        <v>7.3948451300769602E-2</v>
      </c>
      <c r="BQ42" s="73">
        <v>62477</v>
      </c>
      <c r="BR42" s="73">
        <v>92295</v>
      </c>
      <c r="BS42" s="73">
        <v>767611</v>
      </c>
      <c r="BT42" s="71">
        <v>287102</v>
      </c>
      <c r="BU42" s="71">
        <v>293888</v>
      </c>
      <c r="BV42" s="72">
        <v>2.3636198981546602E-2</v>
      </c>
      <c r="BW42" s="72">
        <v>0.43015509359460302</v>
      </c>
      <c r="BX42" s="72">
        <v>8.51474388893146E-2</v>
      </c>
      <c r="BY42" s="72">
        <v>4.7982946827260002E-2</v>
      </c>
      <c r="BZ42" s="72">
        <v>4.5833884821422401E-2</v>
      </c>
      <c r="CA42" s="74">
        <v>0.20951090553183199</v>
      </c>
      <c r="CB42" s="86">
        <v>14025000</v>
      </c>
      <c r="CC42" s="83"/>
      <c r="CD42" s="83"/>
      <c r="CE42" s="83"/>
      <c r="CF42" s="83"/>
      <c r="CG42" s="90">
        <v>0.35</v>
      </c>
      <c r="CH42" s="90">
        <v>0.45</v>
      </c>
      <c r="CI42" s="90"/>
      <c r="CK42" s="86" t="str">
        <f t="shared" si="1"/>
        <v/>
      </c>
      <c r="CL42" s="83" t="s">
        <v>598</v>
      </c>
      <c r="CM42" s="83" t="s">
        <v>598</v>
      </c>
      <c r="CN42" s="83" t="s">
        <v>598</v>
      </c>
      <c r="CO42" s="83" t="s">
        <v>598</v>
      </c>
      <c r="CP42" s="90" t="str">
        <f t="shared" si="2"/>
        <v/>
      </c>
      <c r="CQ42" s="90" t="str">
        <f t="shared" si="2"/>
        <v/>
      </c>
      <c r="CR42" s="90" t="str">
        <f t="shared" si="2"/>
        <v/>
      </c>
    </row>
    <row r="43" spans="1:97" ht="49.5" thickTop="1" thickBot="1" x14ac:dyDescent="0.3">
      <c r="A43" s="3" t="s">
        <v>296</v>
      </c>
      <c r="B43" s="3">
        <v>1010</v>
      </c>
      <c r="C43" s="3" t="s">
        <v>163</v>
      </c>
      <c r="D43" s="16">
        <v>41921</v>
      </c>
      <c r="E43" s="16" t="s">
        <v>551</v>
      </c>
      <c r="F43" s="16" t="s">
        <v>434</v>
      </c>
      <c r="G43" s="17">
        <v>16439</v>
      </c>
      <c r="H43" s="17">
        <v>19460</v>
      </c>
      <c r="I43" s="17" t="s">
        <v>584</v>
      </c>
      <c r="J43" s="18"/>
      <c r="K43" s="18" t="s">
        <v>598</v>
      </c>
      <c r="L43" s="18"/>
      <c r="M43" s="18" t="s">
        <v>519</v>
      </c>
      <c r="N43" s="10">
        <v>58754</v>
      </c>
      <c r="O43" s="11">
        <v>18048</v>
      </c>
      <c r="P43" s="11">
        <v>11376</v>
      </c>
      <c r="Q43" s="11">
        <v>4548</v>
      </c>
      <c r="R43" s="12">
        <v>0.30717908567927299</v>
      </c>
      <c r="S43" s="12">
        <v>0.19362085985635</v>
      </c>
      <c r="T43" s="12">
        <v>7.7407495659869999E-2</v>
      </c>
      <c r="U43" s="12">
        <v>0.11355822582292301</v>
      </c>
      <c r="V43" s="12">
        <v>0.11621336419648</v>
      </c>
      <c r="W43" s="12">
        <v>3.6150730163052702E-2</v>
      </c>
      <c r="X43" s="12">
        <v>4.1256765496817199E-2</v>
      </c>
      <c r="Y43" s="13">
        <v>47220</v>
      </c>
      <c r="Z43" s="13">
        <v>66514</v>
      </c>
      <c r="AA43" s="13">
        <v>248357</v>
      </c>
      <c r="AB43" s="11">
        <v>143477</v>
      </c>
      <c r="AC43" s="11">
        <v>158022</v>
      </c>
      <c r="AD43" s="12">
        <v>0.10137513329662599</v>
      </c>
      <c r="AE43" s="12">
        <v>0.38332795371134099</v>
      </c>
      <c r="AF43" s="12">
        <v>0.29345470005645502</v>
      </c>
      <c r="AG43" s="12">
        <v>6.14732674923507E-2</v>
      </c>
      <c r="AH43" s="12">
        <v>6.57945175881849E-2</v>
      </c>
      <c r="AI43" s="14">
        <v>0.15233103563637401</v>
      </c>
      <c r="AJ43" s="4">
        <v>150250</v>
      </c>
      <c r="AK43" s="5">
        <v>51238</v>
      </c>
      <c r="AL43" s="5">
        <v>32574</v>
      </c>
      <c r="AM43" s="5">
        <v>13039</v>
      </c>
      <c r="AN43" s="6">
        <v>0.341018302828619</v>
      </c>
      <c r="AO43" s="6">
        <v>0.216798668885191</v>
      </c>
      <c r="AP43" s="6">
        <v>8.6782029950083203E-2</v>
      </c>
      <c r="AQ43" s="6">
        <v>0.124219633943428</v>
      </c>
      <c r="AR43" s="6">
        <v>0.13001663893510801</v>
      </c>
      <c r="AS43" s="6">
        <v>4.6489184692179698E-2</v>
      </c>
      <c r="AT43" s="6">
        <v>4.0292845257903498E-2</v>
      </c>
      <c r="AU43" s="7">
        <v>52906</v>
      </c>
      <c r="AV43" s="7">
        <v>71286</v>
      </c>
      <c r="AW43" s="7">
        <v>326496</v>
      </c>
      <c r="AX43" s="5">
        <v>359660</v>
      </c>
      <c r="AY43" s="5">
        <v>391277</v>
      </c>
      <c r="AZ43" s="6">
        <v>8.7908024245120397E-2</v>
      </c>
      <c r="BA43" s="6">
        <v>0.36658733104788499</v>
      </c>
      <c r="BB43" s="6">
        <v>0.32741478062614698</v>
      </c>
      <c r="BC43" s="6">
        <v>4.3104598787744003E-2</v>
      </c>
      <c r="BD43" s="6">
        <v>6.9568481343491098E-2</v>
      </c>
      <c r="BE43" s="8">
        <v>0.174136684646611</v>
      </c>
      <c r="BF43" s="10">
        <v>249404</v>
      </c>
      <c r="BG43" s="11">
        <v>95179</v>
      </c>
      <c r="BH43" s="11">
        <v>62959</v>
      </c>
      <c r="BI43" s="11">
        <v>27208</v>
      </c>
      <c r="BJ43" s="12">
        <v>0.38162579589741902</v>
      </c>
      <c r="BK43" s="12">
        <v>0.25243781174319602</v>
      </c>
      <c r="BL43" s="12">
        <v>0.109092075508011</v>
      </c>
      <c r="BM43" s="12">
        <v>0.129187984154224</v>
      </c>
      <c r="BN43" s="12">
        <v>0.14334573623518501</v>
      </c>
      <c r="BO43" s="12">
        <v>5.31948164423987E-2</v>
      </c>
      <c r="BP43" s="12">
        <v>5.5897259065612402E-2</v>
      </c>
      <c r="BQ43" s="13">
        <v>57317</v>
      </c>
      <c r="BR43" s="13">
        <v>79722</v>
      </c>
      <c r="BS43" s="13">
        <v>513632</v>
      </c>
      <c r="BT43" s="11">
        <v>622910</v>
      </c>
      <c r="BU43" s="11">
        <v>668245</v>
      </c>
      <c r="BV43" s="12">
        <v>7.2779374227416496E-2</v>
      </c>
      <c r="BW43" s="12">
        <v>0.35971922461036598</v>
      </c>
      <c r="BX43" s="12">
        <v>0.34548811224735498</v>
      </c>
      <c r="BY43" s="12">
        <v>3.9801897545391797E-2</v>
      </c>
      <c r="BZ43" s="12">
        <v>6.8292369684224002E-2</v>
      </c>
      <c r="CA43" s="14">
        <v>0.191632820150584</v>
      </c>
      <c r="CB43" s="86">
        <f t="shared" ref="CB43:CB48" si="9">IF(SUM(CC43:CF43)=0,"",SUM(CC43:CF43))</f>
        <v>21596160.993332561</v>
      </c>
      <c r="CC43" s="83">
        <v>5711862.5633331602</v>
      </c>
      <c r="CD43" s="83">
        <v>10574554.649999499</v>
      </c>
      <c r="CE43" s="83">
        <v>3835897.6199999</v>
      </c>
      <c r="CF43" s="83">
        <v>1473846.16</v>
      </c>
      <c r="CG43" s="90">
        <f t="shared" ref="CG43:CI58" si="10">IFERROR(CC43/$CB43,"")</f>
        <v>0.2644850890441407</v>
      </c>
      <c r="CH43" s="90">
        <f t="shared" si="10"/>
        <v>0.48964974160288066</v>
      </c>
      <c r="CI43" s="90">
        <f t="shared" si="10"/>
        <v>0.17761942139550482</v>
      </c>
      <c r="CK43" s="86">
        <f t="shared" si="1"/>
        <v>21156836</v>
      </c>
      <c r="CL43" s="83">
        <v>5442273</v>
      </c>
      <c r="CM43" s="83">
        <v>10525201</v>
      </c>
      <c r="CN43" s="83">
        <v>3778407</v>
      </c>
      <c r="CO43" s="83">
        <v>1410955</v>
      </c>
      <c r="CP43" s="90">
        <f t="shared" si="2"/>
        <v>0.25723473018366261</v>
      </c>
      <c r="CQ43" s="90">
        <f t="shared" si="2"/>
        <v>0.49748464278874216</v>
      </c>
      <c r="CR43" s="90">
        <f t="shared" si="2"/>
        <v>0.17859036199930842</v>
      </c>
    </row>
    <row r="44" spans="1:97" ht="61.5" thickTop="1" thickBot="1" x14ac:dyDescent="0.3">
      <c r="A44" s="3" t="s">
        <v>295</v>
      </c>
      <c r="B44" s="3">
        <v>919</v>
      </c>
      <c r="C44" s="3" t="s">
        <v>134</v>
      </c>
      <c r="D44" s="16">
        <v>41102</v>
      </c>
      <c r="E44" s="16" t="s">
        <v>545</v>
      </c>
      <c r="F44" s="16" t="s">
        <v>410</v>
      </c>
      <c r="G44" s="17">
        <v>16207</v>
      </c>
      <c r="H44" s="17">
        <v>18858</v>
      </c>
      <c r="I44" s="17" t="s">
        <v>584</v>
      </c>
      <c r="J44" s="18"/>
      <c r="K44" s="18" t="s">
        <v>598</v>
      </c>
      <c r="L44" s="18"/>
      <c r="M44" s="18" t="s">
        <v>598</v>
      </c>
      <c r="N44" s="10">
        <v>51139</v>
      </c>
      <c r="O44" s="11">
        <v>23588</v>
      </c>
      <c r="P44" s="11">
        <v>16466</v>
      </c>
      <c r="Q44" s="11">
        <v>7490</v>
      </c>
      <c r="R44" s="12">
        <v>0.461252664307085</v>
      </c>
      <c r="S44" s="12">
        <v>0.321985177653063</v>
      </c>
      <c r="T44" s="12">
        <v>0.146463560100901</v>
      </c>
      <c r="U44" s="12">
        <v>0.139267486654021</v>
      </c>
      <c r="V44" s="12">
        <v>0.175521617552162</v>
      </c>
      <c r="W44" s="12">
        <v>6.9927061538160695E-2</v>
      </c>
      <c r="X44" s="12">
        <v>7.6536498562740807E-2</v>
      </c>
      <c r="Y44" s="13">
        <v>68044</v>
      </c>
      <c r="Z44" s="13">
        <v>91341</v>
      </c>
      <c r="AA44" s="13">
        <v>941955</v>
      </c>
      <c r="AB44" s="11">
        <v>128748</v>
      </c>
      <c r="AC44" s="11">
        <v>135545</v>
      </c>
      <c r="AD44" s="12">
        <v>5.2793053095970398E-2</v>
      </c>
      <c r="AE44" s="12">
        <v>0.40305635148042002</v>
      </c>
      <c r="AF44" s="12">
        <v>0.29968620871780499</v>
      </c>
      <c r="AG44" s="12">
        <v>4.6882281666511302E-2</v>
      </c>
      <c r="AH44" s="12">
        <v>0.24182123217448001</v>
      </c>
      <c r="AI44" s="14">
        <v>0.25123497064032102</v>
      </c>
      <c r="AJ44" s="4">
        <v>144133</v>
      </c>
      <c r="AK44" s="5">
        <v>54878</v>
      </c>
      <c r="AL44" s="5">
        <v>37064</v>
      </c>
      <c r="AM44" s="5">
        <v>16354</v>
      </c>
      <c r="AN44" s="6">
        <v>0.38074556139121501</v>
      </c>
      <c r="AO44" s="6">
        <v>0.25715138101614499</v>
      </c>
      <c r="AP44" s="6">
        <v>0.11346464723553901</v>
      </c>
      <c r="AQ44" s="6">
        <v>0.12359418037507</v>
      </c>
      <c r="AR44" s="6">
        <v>0.14368673378060501</v>
      </c>
      <c r="AS44" s="6">
        <v>5.5365530447572697E-2</v>
      </c>
      <c r="AT44" s="6">
        <v>5.8099116787966698E-2</v>
      </c>
      <c r="AU44" s="7">
        <v>56680</v>
      </c>
      <c r="AV44" s="7">
        <v>79154</v>
      </c>
      <c r="AW44" s="7">
        <v>716877</v>
      </c>
      <c r="AX44" s="5">
        <v>382288</v>
      </c>
      <c r="AY44" s="5">
        <v>400146</v>
      </c>
      <c r="AZ44" s="6">
        <v>4.6713472565186501E-2</v>
      </c>
      <c r="BA44" s="6">
        <v>0.30861838969178101</v>
      </c>
      <c r="BB44" s="6">
        <v>0.27860408906374301</v>
      </c>
      <c r="BC44" s="6">
        <v>3.6728853639141197E-2</v>
      </c>
      <c r="BD44" s="6">
        <v>0.38491660737454497</v>
      </c>
      <c r="BE44" s="8">
        <v>0.249468986732516</v>
      </c>
      <c r="BF44" s="10">
        <v>259595</v>
      </c>
      <c r="BG44" s="11">
        <v>101061</v>
      </c>
      <c r="BH44" s="11">
        <v>68556</v>
      </c>
      <c r="BI44" s="11">
        <v>31610</v>
      </c>
      <c r="BJ44" s="12">
        <v>0.38930256746085201</v>
      </c>
      <c r="BK44" s="12">
        <v>0.264088291376953</v>
      </c>
      <c r="BL44" s="12">
        <v>0.121766597969915</v>
      </c>
      <c r="BM44" s="12">
        <v>0.12521427608390001</v>
      </c>
      <c r="BN44" s="12">
        <v>0.14232169340703801</v>
      </c>
      <c r="BO44" s="12">
        <v>5.92153161655656E-2</v>
      </c>
      <c r="BP44" s="12">
        <v>6.2551281804349101E-2</v>
      </c>
      <c r="BQ44" s="13">
        <v>57654</v>
      </c>
      <c r="BR44" s="13">
        <v>81174</v>
      </c>
      <c r="BS44" s="13">
        <v>729009</v>
      </c>
      <c r="BT44" s="11">
        <v>689289</v>
      </c>
      <c r="BU44" s="11">
        <v>724981</v>
      </c>
      <c r="BV44" s="12">
        <v>5.1780893065173E-2</v>
      </c>
      <c r="BW44" s="12">
        <v>0.309127837709258</v>
      </c>
      <c r="BX44" s="12">
        <v>0.30021514923348602</v>
      </c>
      <c r="BY44" s="12">
        <v>3.62170294317768E-2</v>
      </c>
      <c r="BZ44" s="12">
        <v>0.36281443632496702</v>
      </c>
      <c r="CA44" s="14">
        <v>0.25675732530186901</v>
      </c>
      <c r="CB44" s="86">
        <f t="shared" si="9"/>
        <v>22864762.113876972</v>
      </c>
      <c r="CC44" s="83">
        <v>8021296.4022108102</v>
      </c>
      <c r="CD44" s="83">
        <v>11158720.829999501</v>
      </c>
      <c r="CE44" s="83">
        <v>2372738.2766666501</v>
      </c>
      <c r="CF44" s="83">
        <v>1312006.60500001</v>
      </c>
      <c r="CG44" s="90">
        <f t="shared" si="10"/>
        <v>0.35081477612848477</v>
      </c>
      <c r="CH44" s="90">
        <f t="shared" si="10"/>
        <v>0.4880313547293415</v>
      </c>
      <c r="CI44" s="90">
        <f t="shared" si="10"/>
        <v>0.10377270775218776</v>
      </c>
      <c r="CK44" s="86">
        <f t="shared" si="1"/>
        <v>22661493</v>
      </c>
      <c r="CL44" s="83">
        <v>7707288</v>
      </c>
      <c r="CM44" s="83">
        <v>11367770</v>
      </c>
      <c r="CN44" s="83">
        <v>2305540</v>
      </c>
      <c r="CO44" s="83">
        <v>1280895</v>
      </c>
      <c r="CP44" s="90">
        <f t="shared" si="2"/>
        <v>0.34010504074025483</v>
      </c>
      <c r="CQ44" s="90">
        <f t="shared" si="2"/>
        <v>0.50163376261219861</v>
      </c>
      <c r="CR44" s="90">
        <f t="shared" si="2"/>
        <v>0.10173822174911423</v>
      </c>
    </row>
    <row r="45" spans="1:97" ht="49.5" thickTop="1" thickBot="1" x14ac:dyDescent="0.3">
      <c r="A45" s="3" t="s">
        <v>307</v>
      </c>
      <c r="B45" s="3">
        <v>2102</v>
      </c>
      <c r="C45" s="3" t="s">
        <v>258</v>
      </c>
      <c r="D45" s="16">
        <v>43209</v>
      </c>
      <c r="E45" s="16" t="s">
        <v>574</v>
      </c>
      <c r="F45" s="16" t="s">
        <v>508</v>
      </c>
      <c r="G45" s="17">
        <v>19880</v>
      </c>
      <c r="H45" s="17">
        <v>26864</v>
      </c>
      <c r="I45" s="17" t="s">
        <v>584</v>
      </c>
      <c r="J45" s="18"/>
      <c r="K45" s="18" t="s">
        <v>598</v>
      </c>
      <c r="L45" s="18"/>
      <c r="M45" s="18" t="s">
        <v>598</v>
      </c>
      <c r="N45" s="10">
        <v>49947</v>
      </c>
      <c r="O45" s="11">
        <v>20713</v>
      </c>
      <c r="P45" s="11">
        <v>14314</v>
      </c>
      <c r="Q45" s="11">
        <v>6887</v>
      </c>
      <c r="R45" s="12">
        <v>0.41469958155644998</v>
      </c>
      <c r="S45" s="12">
        <v>0.28658377880553398</v>
      </c>
      <c r="T45" s="12">
        <v>0.13788615932888901</v>
      </c>
      <c r="U45" s="12">
        <v>0.128115802750916</v>
      </c>
      <c r="V45" s="12">
        <v>0.148697619476645</v>
      </c>
      <c r="W45" s="12">
        <v>6.9533705728071799E-2</v>
      </c>
      <c r="X45" s="12">
        <v>6.8352453600816904E-2</v>
      </c>
      <c r="Y45" s="13">
        <v>61751</v>
      </c>
      <c r="Z45" s="13">
        <v>86694</v>
      </c>
      <c r="AA45" s="13">
        <v>789661</v>
      </c>
      <c r="AB45" s="11">
        <v>115079</v>
      </c>
      <c r="AC45" s="11">
        <v>119160</v>
      </c>
      <c r="AD45" s="12">
        <v>3.5462595260646997E-2</v>
      </c>
      <c r="AE45" s="12">
        <v>0.52421052631578902</v>
      </c>
      <c r="AF45" s="12">
        <v>4.6707044725797099E-2</v>
      </c>
      <c r="AG45" s="12">
        <v>5.7360595764648602E-2</v>
      </c>
      <c r="AH45" s="12">
        <v>8.3881507486161702E-2</v>
      </c>
      <c r="AI45" s="14">
        <v>0.22108290826301899</v>
      </c>
      <c r="AJ45" s="4">
        <v>97501</v>
      </c>
      <c r="AK45" s="5">
        <v>36588</v>
      </c>
      <c r="AL45" s="5">
        <v>25181</v>
      </c>
      <c r="AM45" s="5">
        <v>12452</v>
      </c>
      <c r="AN45" s="6">
        <v>0.37525768966472101</v>
      </c>
      <c r="AO45" s="6">
        <v>0.25826401780494601</v>
      </c>
      <c r="AP45" s="6">
        <v>0.127711510651173</v>
      </c>
      <c r="AQ45" s="6">
        <v>0.11699367185977599</v>
      </c>
      <c r="AR45" s="6">
        <v>0.13055250715377301</v>
      </c>
      <c r="AS45" s="6">
        <v>6.1989107804022503E-2</v>
      </c>
      <c r="AT45" s="6">
        <v>6.5722402847150294E-2</v>
      </c>
      <c r="AU45" s="7">
        <v>56431</v>
      </c>
      <c r="AV45" s="7">
        <v>81801</v>
      </c>
      <c r="AW45" s="7">
        <v>737339</v>
      </c>
      <c r="AX45" s="5">
        <v>227508</v>
      </c>
      <c r="AY45" s="5">
        <v>236356</v>
      </c>
      <c r="AZ45" s="6">
        <v>3.8890940098809702E-2</v>
      </c>
      <c r="BA45" s="6">
        <v>0.48137046111530202</v>
      </c>
      <c r="BB45" s="6">
        <v>7.0186542890799397E-2</v>
      </c>
      <c r="BC45" s="6">
        <v>4.7391740070678798E-2</v>
      </c>
      <c r="BD45" s="6">
        <v>0.12589447404047299</v>
      </c>
      <c r="BE45" s="8">
        <v>0.22147353060112199</v>
      </c>
      <c r="BF45" s="10">
        <v>128552</v>
      </c>
      <c r="BG45" s="11">
        <v>49806</v>
      </c>
      <c r="BH45" s="11">
        <v>34319</v>
      </c>
      <c r="BI45" s="11">
        <v>16575</v>
      </c>
      <c r="BJ45" s="12">
        <v>0.38743854626921398</v>
      </c>
      <c r="BK45" s="12">
        <v>0.26696589706889001</v>
      </c>
      <c r="BL45" s="12">
        <v>0.12893615035160899</v>
      </c>
      <c r="BM45" s="12">
        <v>0.12047264920032399</v>
      </c>
      <c r="BN45" s="12">
        <v>0.13802974671728199</v>
      </c>
      <c r="BO45" s="12">
        <v>6.3180658410604301E-2</v>
      </c>
      <c r="BP45" s="12">
        <v>6.5755491941004399E-2</v>
      </c>
      <c r="BQ45" s="13">
        <v>57833</v>
      </c>
      <c r="BR45" s="13">
        <v>82868</v>
      </c>
      <c r="BS45" s="13">
        <v>745719</v>
      </c>
      <c r="BT45" s="11">
        <v>304355</v>
      </c>
      <c r="BU45" s="11">
        <v>318108</v>
      </c>
      <c r="BV45" s="12">
        <v>4.51873634407189E-2</v>
      </c>
      <c r="BW45" s="12">
        <v>0.46163952172415501</v>
      </c>
      <c r="BX45" s="12">
        <v>7.3696834288905999E-2</v>
      </c>
      <c r="BY45" s="12">
        <v>4.4914655583118399E-2</v>
      </c>
      <c r="BZ45" s="12">
        <v>0.147337812751557</v>
      </c>
      <c r="CA45" s="14">
        <v>0.22211233592351001</v>
      </c>
      <c r="CB45" s="86">
        <f t="shared" si="9"/>
        <v>20093407.506332729</v>
      </c>
      <c r="CC45" s="83">
        <v>7324004.61799978</v>
      </c>
      <c r="CD45" s="83">
        <v>8821531.8183329608</v>
      </c>
      <c r="CE45" s="83">
        <v>2662575.1399999801</v>
      </c>
      <c r="CF45" s="83">
        <v>1285295.9300000099</v>
      </c>
      <c r="CG45" s="90">
        <f t="shared" si="10"/>
        <v>0.36449788895644075</v>
      </c>
      <c r="CH45" s="90">
        <f t="shared" si="10"/>
        <v>0.43902617391065835</v>
      </c>
      <c r="CI45" s="90">
        <f t="shared" si="10"/>
        <v>0.13250988609875308</v>
      </c>
      <c r="CK45" s="86">
        <f t="shared" si="1"/>
        <v>20076965</v>
      </c>
      <c r="CL45" s="83">
        <v>7169388</v>
      </c>
      <c r="CM45" s="83">
        <v>9005131</v>
      </c>
      <c r="CN45" s="83">
        <v>2630729</v>
      </c>
      <c r="CO45" s="83">
        <v>1271717</v>
      </c>
      <c r="CP45" s="90">
        <f t="shared" si="2"/>
        <v>0.35709520836441166</v>
      </c>
      <c r="CQ45" s="90">
        <f t="shared" si="2"/>
        <v>0.4485304925321133</v>
      </c>
      <c r="CR45" s="90">
        <f t="shared" si="2"/>
        <v>0.1310322053158931</v>
      </c>
    </row>
    <row r="46" spans="1:97" ht="61.5" thickTop="1" thickBot="1" x14ac:dyDescent="0.3">
      <c r="A46" s="3" t="s">
        <v>304</v>
      </c>
      <c r="B46" s="3">
        <v>1802</v>
      </c>
      <c r="C46" s="3" t="s">
        <v>248</v>
      </c>
      <c r="D46" s="16">
        <v>42292</v>
      </c>
      <c r="E46" s="16" t="s">
        <v>569</v>
      </c>
      <c r="F46" s="16" t="s">
        <v>500</v>
      </c>
      <c r="G46" s="17">
        <v>12669</v>
      </c>
      <c r="H46" s="17">
        <v>15000</v>
      </c>
      <c r="I46" s="17" t="s">
        <v>583</v>
      </c>
      <c r="J46" s="18"/>
      <c r="K46" s="18" t="s">
        <v>598</v>
      </c>
      <c r="L46" s="18"/>
      <c r="M46" s="18" t="s">
        <v>598</v>
      </c>
      <c r="N46" s="10">
        <v>52017</v>
      </c>
      <c r="O46" s="11">
        <v>28123</v>
      </c>
      <c r="P46" s="11">
        <v>21621</v>
      </c>
      <c r="Q46" s="11">
        <v>13605</v>
      </c>
      <c r="R46" s="12">
        <v>0.54065017205913402</v>
      </c>
      <c r="S46" s="12">
        <v>0.41565257511967202</v>
      </c>
      <c r="T46" s="12">
        <v>0.26154910894515299</v>
      </c>
      <c r="U46" s="12">
        <v>0.124997596939462</v>
      </c>
      <c r="V46" s="12">
        <v>0.15410346617452</v>
      </c>
      <c r="W46" s="12">
        <v>9.5584135955552998E-2</v>
      </c>
      <c r="X46" s="12">
        <v>0.1659649729896</v>
      </c>
      <c r="Y46" s="13">
        <v>81693</v>
      </c>
      <c r="Z46" s="13">
        <v>126951</v>
      </c>
      <c r="AA46" s="13">
        <v>1417618</v>
      </c>
      <c r="AB46" s="11">
        <v>116238</v>
      </c>
      <c r="AC46" s="11">
        <v>117402</v>
      </c>
      <c r="AD46" s="12">
        <v>1.0013936922521E-2</v>
      </c>
      <c r="AE46" s="12">
        <v>0.69230103378344998</v>
      </c>
      <c r="AF46" s="12">
        <v>3.5022970113043901E-2</v>
      </c>
      <c r="AG46" s="12">
        <v>6.6914434178151697E-2</v>
      </c>
      <c r="AH46" s="12">
        <v>0.122472857413238</v>
      </c>
      <c r="AI46" s="14">
        <v>0.23958602178289401</v>
      </c>
      <c r="AJ46" s="4">
        <v>140765</v>
      </c>
      <c r="AK46" s="5">
        <v>64923</v>
      </c>
      <c r="AL46" s="5">
        <v>47876</v>
      </c>
      <c r="AM46" s="5">
        <v>27844</v>
      </c>
      <c r="AN46" s="6">
        <v>0.461215501012326</v>
      </c>
      <c r="AO46" s="6">
        <v>0.34011295421447102</v>
      </c>
      <c r="AP46" s="6">
        <v>0.19780485205839499</v>
      </c>
      <c r="AQ46" s="6">
        <v>0.121102546797855</v>
      </c>
      <c r="AR46" s="6">
        <v>0.14230810215607601</v>
      </c>
      <c r="AS46" s="6">
        <v>8.1142329414272005E-2</v>
      </c>
      <c r="AT46" s="6">
        <v>0.116662522644123</v>
      </c>
      <c r="AU46" s="7">
        <v>67711</v>
      </c>
      <c r="AV46" s="7">
        <v>105569</v>
      </c>
      <c r="AW46" s="7">
        <v>1073544</v>
      </c>
      <c r="AX46" s="5">
        <v>308880</v>
      </c>
      <c r="AY46" s="5">
        <v>309373</v>
      </c>
      <c r="AZ46" s="6">
        <v>1.5960890960891E-3</v>
      </c>
      <c r="BA46" s="6">
        <v>0.575151504122004</v>
      </c>
      <c r="BB46" s="6">
        <v>3.5133385133385098E-2</v>
      </c>
      <c r="BC46" s="6">
        <v>5.2852240352240301E-2</v>
      </c>
      <c r="BD46" s="6">
        <v>0.219363506863507</v>
      </c>
      <c r="BE46" s="8">
        <v>0.24747798497798501</v>
      </c>
      <c r="BF46" s="10">
        <v>267426</v>
      </c>
      <c r="BG46" s="11">
        <v>106631</v>
      </c>
      <c r="BH46" s="11">
        <v>74730</v>
      </c>
      <c r="BI46" s="11">
        <v>40923</v>
      </c>
      <c r="BJ46" s="12">
        <v>0.398730863865144</v>
      </c>
      <c r="BK46" s="12">
        <v>0.27944178950438597</v>
      </c>
      <c r="BL46" s="12">
        <v>0.15302550986067201</v>
      </c>
      <c r="BM46" s="12">
        <v>0.119289074360758</v>
      </c>
      <c r="BN46" s="12">
        <v>0.12641627964371499</v>
      </c>
      <c r="BO46" s="12">
        <v>6.4724447136777996E-2</v>
      </c>
      <c r="BP46" s="12">
        <v>8.8301062723893695E-2</v>
      </c>
      <c r="BQ46" s="13">
        <v>58656</v>
      </c>
      <c r="BR46" s="13">
        <v>91154</v>
      </c>
      <c r="BS46" s="13">
        <v>870848</v>
      </c>
      <c r="BT46" s="11">
        <v>610419</v>
      </c>
      <c r="BU46" s="11">
        <v>608296</v>
      </c>
      <c r="BV46" s="12">
        <v>-3.4779389239194699E-3</v>
      </c>
      <c r="BW46" s="12">
        <v>0.46724355372998999</v>
      </c>
      <c r="BX46" s="12">
        <v>4.1302777272660303E-2</v>
      </c>
      <c r="BY46" s="12">
        <v>4.83913508590001E-2</v>
      </c>
      <c r="BZ46" s="12">
        <v>0.289412682108519</v>
      </c>
      <c r="CA46" s="14">
        <v>0.24764792707959599</v>
      </c>
      <c r="CB46" s="86">
        <f t="shared" si="9"/>
        <v>24321688.25799923</v>
      </c>
      <c r="CC46" s="83">
        <v>9470194.1813330799</v>
      </c>
      <c r="CD46" s="83">
        <v>10135653.1066662</v>
      </c>
      <c r="CE46" s="83">
        <v>3369665.5499999402</v>
      </c>
      <c r="CF46" s="83">
        <v>1346175.4200000099</v>
      </c>
      <c r="CG46" s="90">
        <f t="shared" si="10"/>
        <v>0.38937240214886809</v>
      </c>
      <c r="CH46" s="90">
        <f t="shared" si="10"/>
        <v>0.41673312309365101</v>
      </c>
      <c r="CI46" s="90">
        <f t="shared" si="10"/>
        <v>0.13854570925567558</v>
      </c>
      <c r="CK46" s="86">
        <f t="shared" si="1"/>
        <v>24663671</v>
      </c>
      <c r="CL46" s="83">
        <v>9325512</v>
      </c>
      <c r="CM46" s="83">
        <v>10553238</v>
      </c>
      <c r="CN46" s="83">
        <v>3423710</v>
      </c>
      <c r="CO46" s="83">
        <v>1361211</v>
      </c>
      <c r="CP46" s="90">
        <f t="shared" si="2"/>
        <v>0.37810721688592097</v>
      </c>
      <c r="CQ46" s="90">
        <f t="shared" si="2"/>
        <v>0.42788593798546859</v>
      </c>
      <c r="CR46" s="90">
        <f t="shared" si="2"/>
        <v>0.1388159126838823</v>
      </c>
    </row>
    <row r="47" spans="1:97" ht="37.5" thickTop="1" thickBot="1" x14ac:dyDescent="0.3">
      <c r="A47" s="3" t="s">
        <v>305</v>
      </c>
      <c r="B47" s="3">
        <v>1903</v>
      </c>
      <c r="C47" s="3" t="s">
        <v>253</v>
      </c>
      <c r="D47" s="16">
        <v>43160</v>
      </c>
      <c r="E47" s="16" t="s">
        <v>570</v>
      </c>
      <c r="F47" s="16" t="s">
        <v>504</v>
      </c>
      <c r="G47" s="17">
        <v>18885</v>
      </c>
      <c r="H47" s="17">
        <v>25000</v>
      </c>
      <c r="I47" s="17" t="s">
        <v>584</v>
      </c>
      <c r="J47" s="18"/>
      <c r="K47" s="18" t="s">
        <v>598</v>
      </c>
      <c r="L47" s="18"/>
      <c r="M47" s="18" t="s">
        <v>598</v>
      </c>
      <c r="N47" s="10">
        <v>45246</v>
      </c>
      <c r="O47" s="11">
        <v>19774</v>
      </c>
      <c r="P47" s="11">
        <v>13082</v>
      </c>
      <c r="Q47" s="11">
        <v>4814</v>
      </c>
      <c r="R47" s="12">
        <v>0.43703310789904098</v>
      </c>
      <c r="S47" s="12">
        <v>0.28913053087565799</v>
      </c>
      <c r="T47" s="12">
        <v>0.106396145515626</v>
      </c>
      <c r="U47" s="12">
        <v>0.147902577023383</v>
      </c>
      <c r="V47" s="12">
        <v>0.182734385360032</v>
      </c>
      <c r="W47" s="12">
        <v>6.2414357070238298E-2</v>
      </c>
      <c r="X47" s="12">
        <v>4.3981788445387401E-2</v>
      </c>
      <c r="Y47" s="13">
        <v>64444</v>
      </c>
      <c r="Z47" s="13">
        <v>81864</v>
      </c>
      <c r="AA47" s="13">
        <v>631997</v>
      </c>
      <c r="AB47" s="11">
        <v>100728</v>
      </c>
      <c r="AC47" s="11">
        <v>100834</v>
      </c>
      <c r="AD47" s="12">
        <v>1.0523389722817899E-3</v>
      </c>
      <c r="AE47" s="12">
        <v>0.33849607481104599</v>
      </c>
      <c r="AF47" s="12">
        <v>0.114516321181797</v>
      </c>
      <c r="AG47" s="12">
        <v>4.2927487888174097E-2</v>
      </c>
      <c r="AH47" s="12">
        <v>2.6646016996267199E-2</v>
      </c>
      <c r="AI47" s="14">
        <v>0.27183106981177002</v>
      </c>
      <c r="AJ47" s="4">
        <v>115070</v>
      </c>
      <c r="AK47" s="5">
        <v>48157</v>
      </c>
      <c r="AL47" s="5">
        <v>31827</v>
      </c>
      <c r="AM47" s="5">
        <v>11662</v>
      </c>
      <c r="AN47" s="6">
        <v>0.41850178152429002</v>
      </c>
      <c r="AO47" s="6">
        <v>0.27658816372642703</v>
      </c>
      <c r="AP47" s="6">
        <v>0.101347006170157</v>
      </c>
      <c r="AQ47" s="6">
        <v>0.14191361779786199</v>
      </c>
      <c r="AR47" s="6">
        <v>0.17524115755627001</v>
      </c>
      <c r="AS47" s="6">
        <v>5.89032762666203E-2</v>
      </c>
      <c r="AT47" s="6">
        <v>4.2443729903537002E-2</v>
      </c>
      <c r="AU47" s="7">
        <v>61994</v>
      </c>
      <c r="AV47" s="7">
        <v>79859</v>
      </c>
      <c r="AW47" s="7">
        <v>628142</v>
      </c>
      <c r="AX47" s="5">
        <v>269009</v>
      </c>
      <c r="AY47" s="5">
        <v>269948</v>
      </c>
      <c r="AZ47" s="6">
        <v>3.4905895341791498E-3</v>
      </c>
      <c r="BA47" s="6">
        <v>0.32047936002965099</v>
      </c>
      <c r="BB47" s="6">
        <v>0.175347293213238</v>
      </c>
      <c r="BC47" s="6">
        <v>4.7585768505886403E-2</v>
      </c>
      <c r="BD47" s="6">
        <v>3.4203316617659602E-2</v>
      </c>
      <c r="BE47" s="8">
        <v>0.26102844142761</v>
      </c>
      <c r="BF47" s="10">
        <v>196929</v>
      </c>
      <c r="BG47" s="11">
        <v>78077</v>
      </c>
      <c r="BH47" s="11">
        <v>52089</v>
      </c>
      <c r="BI47" s="11">
        <v>20685</v>
      </c>
      <c r="BJ47" s="12">
        <v>0.39647284046534498</v>
      </c>
      <c r="BK47" s="12">
        <v>0.26450649726551201</v>
      </c>
      <c r="BL47" s="12">
        <v>0.10503785628322899</v>
      </c>
      <c r="BM47" s="12">
        <v>0.131966343199833</v>
      </c>
      <c r="BN47" s="12">
        <v>0.159468640982283</v>
      </c>
      <c r="BO47" s="12">
        <v>5.9412275490151302E-2</v>
      </c>
      <c r="BP47" s="12">
        <v>4.56255807930777E-2</v>
      </c>
      <c r="BQ47" s="13">
        <v>58719</v>
      </c>
      <c r="BR47" s="13">
        <v>78292</v>
      </c>
      <c r="BS47" s="13">
        <v>619807</v>
      </c>
      <c r="BT47" s="11">
        <v>483487</v>
      </c>
      <c r="BU47" s="11">
        <v>486293</v>
      </c>
      <c r="BV47" s="12">
        <v>5.8036720739130503E-3</v>
      </c>
      <c r="BW47" s="12">
        <v>0.32437773406271603</v>
      </c>
      <c r="BX47" s="12">
        <v>0.25060239468693102</v>
      </c>
      <c r="BY47" s="12">
        <v>4.4265926488199298E-2</v>
      </c>
      <c r="BZ47" s="12">
        <v>6.2802102228188106E-2</v>
      </c>
      <c r="CA47" s="14">
        <v>0.241601118540933</v>
      </c>
      <c r="CB47" s="86">
        <f t="shared" si="9"/>
        <v>16043368.858332729</v>
      </c>
      <c r="CC47" s="83">
        <v>4987006.4399998197</v>
      </c>
      <c r="CD47" s="83">
        <v>6955691.5399996499</v>
      </c>
      <c r="CE47" s="83">
        <v>2988348.9883332499</v>
      </c>
      <c r="CF47" s="83">
        <v>1112321.8900000099</v>
      </c>
      <c r="CG47" s="90">
        <f t="shared" si="10"/>
        <v>0.31084533953164267</v>
      </c>
      <c r="CH47" s="90">
        <f t="shared" si="10"/>
        <v>0.43355554568496685</v>
      </c>
      <c r="CI47" s="90">
        <f t="shared" si="10"/>
        <v>0.18626692527742628</v>
      </c>
      <c r="CK47" s="86">
        <f t="shared" si="1"/>
        <v>15825727</v>
      </c>
      <c r="CL47" s="83">
        <v>4722564</v>
      </c>
      <c r="CM47" s="83">
        <v>7159331</v>
      </c>
      <c r="CN47" s="83">
        <v>2885529</v>
      </c>
      <c r="CO47" s="83">
        <v>1058303</v>
      </c>
      <c r="CP47" s="90">
        <f t="shared" si="2"/>
        <v>0.29841055643130959</v>
      </c>
      <c r="CQ47" s="90">
        <f t="shared" si="2"/>
        <v>0.45238559972631903</v>
      </c>
      <c r="CR47" s="90">
        <f t="shared" si="2"/>
        <v>0.18233152890859294</v>
      </c>
    </row>
    <row r="48" spans="1:97" ht="37.5" thickTop="1" thickBot="1" x14ac:dyDescent="0.3">
      <c r="A48" s="3" t="s">
        <v>295</v>
      </c>
      <c r="B48" s="3">
        <v>933</v>
      </c>
      <c r="C48" s="3" t="s">
        <v>148</v>
      </c>
      <c r="D48" s="16">
        <v>44063</v>
      </c>
      <c r="E48" s="16" t="s">
        <v>547</v>
      </c>
      <c r="F48" s="16" t="s">
        <v>423</v>
      </c>
      <c r="G48" s="17">
        <v>12766</v>
      </c>
      <c r="H48" s="17">
        <v>15000</v>
      </c>
      <c r="I48" s="17" t="s">
        <v>583</v>
      </c>
      <c r="J48" s="18"/>
      <c r="K48" s="18" t="s">
        <v>598</v>
      </c>
      <c r="L48" s="18"/>
      <c r="M48" s="18" t="s">
        <v>598</v>
      </c>
      <c r="N48" s="10">
        <v>15979</v>
      </c>
      <c r="O48" s="11">
        <v>4574</v>
      </c>
      <c r="P48" s="11">
        <v>2771</v>
      </c>
      <c r="Q48" s="11">
        <v>966</v>
      </c>
      <c r="R48" s="12">
        <v>0.286250704049064</v>
      </c>
      <c r="S48" s="12">
        <v>0.17341510732836801</v>
      </c>
      <c r="T48" s="12">
        <v>6.0454346329557498E-2</v>
      </c>
      <c r="U48" s="12">
        <v>0.112835596720696</v>
      </c>
      <c r="V48" s="12">
        <v>0.112960760998811</v>
      </c>
      <c r="W48" s="12">
        <v>3.6860879904875098E-2</v>
      </c>
      <c r="X48" s="12">
        <v>2.3593466424682401E-2</v>
      </c>
      <c r="Y48" s="13">
        <v>50329</v>
      </c>
      <c r="Z48" s="13">
        <v>65928</v>
      </c>
      <c r="AA48" s="13">
        <v>958881</v>
      </c>
      <c r="AB48" s="11">
        <v>30192</v>
      </c>
      <c r="AC48" s="11">
        <v>32925</v>
      </c>
      <c r="AD48" s="12">
        <v>9.0520667726550097E-2</v>
      </c>
      <c r="AE48" s="12">
        <v>0.27920660178366602</v>
      </c>
      <c r="AF48" s="12">
        <v>5.1834923158452603E-2</v>
      </c>
      <c r="AG48" s="12">
        <v>1.3016693163752001E-2</v>
      </c>
      <c r="AH48" s="12">
        <v>4.03749337572867E-2</v>
      </c>
      <c r="AI48" s="14">
        <v>0.29660174880763102</v>
      </c>
      <c r="AJ48" s="4">
        <v>39045</v>
      </c>
      <c r="AK48" s="5">
        <v>13419</v>
      </c>
      <c r="AL48" s="5">
        <v>8222</v>
      </c>
      <c r="AM48" s="5">
        <v>3514</v>
      </c>
      <c r="AN48" s="6">
        <v>0.34368036880522501</v>
      </c>
      <c r="AO48" s="6">
        <v>0.21057753873735399</v>
      </c>
      <c r="AP48" s="6">
        <v>8.9998719426302998E-2</v>
      </c>
      <c r="AQ48" s="6">
        <v>0.13310283006786999</v>
      </c>
      <c r="AR48" s="6">
        <v>0.12057881931105099</v>
      </c>
      <c r="AS48" s="6">
        <v>5.3886541170444398E-2</v>
      </c>
      <c r="AT48" s="6">
        <v>3.61121782558586E-2</v>
      </c>
      <c r="AU48" s="7">
        <v>55438</v>
      </c>
      <c r="AV48" s="7">
        <v>74688</v>
      </c>
      <c r="AW48" s="7">
        <v>1225292</v>
      </c>
      <c r="AX48" s="5">
        <v>73162</v>
      </c>
      <c r="AY48" s="5">
        <v>80912</v>
      </c>
      <c r="AZ48" s="6">
        <v>0.105929307564036</v>
      </c>
      <c r="BA48" s="6">
        <v>0.32420002396931902</v>
      </c>
      <c r="BB48" s="6">
        <v>4.4804680025149701E-2</v>
      </c>
      <c r="BC48" s="6">
        <v>1.45977419972117E-2</v>
      </c>
      <c r="BD48" s="6">
        <v>3.2571553538722299E-2</v>
      </c>
      <c r="BE48" s="8">
        <v>0.36845630245209299</v>
      </c>
      <c r="BF48" s="10">
        <v>70330</v>
      </c>
      <c r="BG48" s="11">
        <v>26573</v>
      </c>
      <c r="BH48" s="11">
        <v>16365</v>
      </c>
      <c r="BI48" s="11">
        <v>7438</v>
      </c>
      <c r="BJ48" s="12">
        <v>0.37783307265747201</v>
      </c>
      <c r="BK48" s="12">
        <v>0.23268875302146999</v>
      </c>
      <c r="BL48" s="12">
        <v>0.10575856675671801</v>
      </c>
      <c r="BM48" s="12">
        <v>0.14514431963600199</v>
      </c>
      <c r="BN48" s="12">
        <v>0.126930186264752</v>
      </c>
      <c r="BO48" s="12">
        <v>6.2263614389307602E-2</v>
      </c>
      <c r="BP48" s="12">
        <v>4.34949523674108E-2</v>
      </c>
      <c r="BQ48" s="13">
        <v>58818</v>
      </c>
      <c r="BR48" s="13">
        <v>79403</v>
      </c>
      <c r="BS48" s="13">
        <v>1260730</v>
      </c>
      <c r="BT48" s="11">
        <v>138889</v>
      </c>
      <c r="BU48" s="11">
        <v>158629</v>
      </c>
      <c r="BV48" s="12">
        <v>0.14212788629769099</v>
      </c>
      <c r="BW48" s="12">
        <v>0.34441803278688499</v>
      </c>
      <c r="BX48" s="12">
        <v>5.8679953056037598E-2</v>
      </c>
      <c r="BY48" s="12">
        <v>1.5472787621769899E-2</v>
      </c>
      <c r="BZ48" s="12">
        <v>6.1264750988199203E-2</v>
      </c>
      <c r="CA48" s="14">
        <v>0.35999971200023001</v>
      </c>
      <c r="CB48" s="86">
        <f t="shared" si="9"/>
        <v>13781016.427499615</v>
      </c>
      <c r="CC48" s="83">
        <v>5506846.4974998496</v>
      </c>
      <c r="CD48" s="83">
        <v>5862464.7599997604</v>
      </c>
      <c r="CE48" s="83">
        <v>1697636.74</v>
      </c>
      <c r="CF48" s="83">
        <v>714068.43000000599</v>
      </c>
      <c r="CG48" s="90">
        <f t="shared" si="10"/>
        <v>0.39959654111659709</v>
      </c>
      <c r="CH48" s="90">
        <f t="shared" si="10"/>
        <v>0.42540147824665414</v>
      </c>
      <c r="CI48" s="90">
        <f t="shared" si="10"/>
        <v>0.12318661318859003</v>
      </c>
      <c r="CK48" s="86">
        <f t="shared" si="1"/>
        <v>14263829</v>
      </c>
      <c r="CL48" s="83">
        <v>5543338</v>
      </c>
      <c r="CM48" s="83">
        <v>6199159</v>
      </c>
      <c r="CN48" s="83">
        <v>1790427</v>
      </c>
      <c r="CO48" s="83">
        <v>730905</v>
      </c>
      <c r="CP48" s="90">
        <f t="shared" si="2"/>
        <v>0.38862902801204363</v>
      </c>
      <c r="CQ48" s="90">
        <f t="shared" si="2"/>
        <v>0.43460693478588391</v>
      </c>
      <c r="CR48" s="90">
        <f t="shared" si="2"/>
        <v>0.12552218622362901</v>
      </c>
    </row>
    <row r="49" spans="1:96" ht="37.5" thickTop="1" thickBot="1" x14ac:dyDescent="0.3">
      <c r="A49" s="3" t="s">
        <v>296</v>
      </c>
      <c r="B49" s="3">
        <v>1013</v>
      </c>
      <c r="C49" s="3" t="s">
        <v>166</v>
      </c>
      <c r="D49" s="16">
        <v>44952</v>
      </c>
      <c r="E49" s="16" t="s">
        <v>551</v>
      </c>
      <c r="F49" s="16" t="s">
        <v>679</v>
      </c>
      <c r="G49" s="17">
        <v>18898</v>
      </c>
      <c r="H49" s="17">
        <v>22000</v>
      </c>
      <c r="I49" s="17" t="s">
        <v>584</v>
      </c>
      <c r="J49" s="18"/>
      <c r="K49" s="18" t="s">
        <v>598</v>
      </c>
      <c r="L49" s="18"/>
      <c r="M49" s="18" t="s">
        <v>598</v>
      </c>
      <c r="N49" s="10">
        <v>29408</v>
      </c>
      <c r="O49" s="11">
        <v>16250</v>
      </c>
      <c r="P49" s="11">
        <v>10456</v>
      </c>
      <c r="Q49" s="11">
        <v>3556</v>
      </c>
      <c r="R49" s="12">
        <v>0.55257072905331905</v>
      </c>
      <c r="S49" s="12">
        <v>0.35554951033732302</v>
      </c>
      <c r="T49" s="12">
        <v>0.120919477693145</v>
      </c>
      <c r="U49" s="12">
        <v>0.19702121871599601</v>
      </c>
      <c r="V49" s="12">
        <v>0.234630032644178</v>
      </c>
      <c r="W49" s="12">
        <v>6.9742927094668103E-2</v>
      </c>
      <c r="X49" s="12">
        <v>5.1176550598476603E-2</v>
      </c>
      <c r="Y49" s="13">
        <v>80055</v>
      </c>
      <c r="Z49" s="13">
        <v>93045</v>
      </c>
      <c r="AA49" s="13">
        <v>685529</v>
      </c>
      <c r="AB49" s="11">
        <v>89007</v>
      </c>
      <c r="AC49" s="11">
        <v>99186</v>
      </c>
      <c r="AD49" s="12">
        <v>0.114361791769187</v>
      </c>
      <c r="AE49" s="12">
        <v>0.292630676949443</v>
      </c>
      <c r="AF49" s="12">
        <v>0.21254508072398801</v>
      </c>
      <c r="AG49" s="12">
        <v>4.6681721662341198E-2</v>
      </c>
      <c r="AH49" s="12">
        <v>7.6005258013414706E-2</v>
      </c>
      <c r="AI49" s="14">
        <v>0.177873650387048</v>
      </c>
      <c r="AJ49" s="4">
        <v>58383</v>
      </c>
      <c r="AK49" s="5">
        <v>28652</v>
      </c>
      <c r="AL49" s="5">
        <v>18132</v>
      </c>
      <c r="AM49" s="5">
        <v>6682</v>
      </c>
      <c r="AN49" s="6">
        <v>0.49075929637051902</v>
      </c>
      <c r="AO49" s="6">
        <v>0.31056985766404599</v>
      </c>
      <c r="AP49" s="6">
        <v>0.114451124471165</v>
      </c>
      <c r="AQ49" s="6">
        <v>0.180189438706473</v>
      </c>
      <c r="AR49" s="6">
        <v>0.19611873319288101</v>
      </c>
      <c r="AS49" s="6">
        <v>6.7142832673894801E-2</v>
      </c>
      <c r="AT49" s="6">
        <v>4.7308291797269801E-2</v>
      </c>
      <c r="AU49" s="7">
        <v>73466</v>
      </c>
      <c r="AV49" s="7">
        <v>88002</v>
      </c>
      <c r="AW49" s="7">
        <v>838517</v>
      </c>
      <c r="AX49" s="5">
        <v>160250</v>
      </c>
      <c r="AY49" s="5">
        <v>175416</v>
      </c>
      <c r="AZ49" s="6">
        <v>9.4639625585023396E-2</v>
      </c>
      <c r="BA49" s="6">
        <v>0.28902869899724198</v>
      </c>
      <c r="BB49" s="6">
        <v>0.22030577223088901</v>
      </c>
      <c r="BC49" s="6">
        <v>3.8152886115444602E-2</v>
      </c>
      <c r="BD49" s="6">
        <v>6.91045241809672E-2</v>
      </c>
      <c r="BE49" s="8">
        <v>0.19203120124805001</v>
      </c>
      <c r="BF49" s="10">
        <v>90122</v>
      </c>
      <c r="BG49" s="11">
        <v>39817</v>
      </c>
      <c r="BH49" s="11">
        <v>24754</v>
      </c>
      <c r="BI49" s="11">
        <v>8899</v>
      </c>
      <c r="BJ49" s="12">
        <v>0.44181221011517702</v>
      </c>
      <c r="BK49" s="12">
        <v>0.27467211113823498</v>
      </c>
      <c r="BL49" s="12">
        <v>9.8743924901799798E-2</v>
      </c>
      <c r="BM49" s="12">
        <v>0.16714009897694199</v>
      </c>
      <c r="BN49" s="12">
        <v>0.175928186236435</v>
      </c>
      <c r="BO49" s="12">
        <v>5.71336632564746E-2</v>
      </c>
      <c r="BP49" s="12">
        <v>4.1610261645325199E-2</v>
      </c>
      <c r="BQ49" s="13">
        <v>66096</v>
      </c>
      <c r="BR49" s="13">
        <v>82146</v>
      </c>
      <c r="BS49" s="13">
        <v>826114</v>
      </c>
      <c r="BT49" s="11">
        <v>238872</v>
      </c>
      <c r="BU49" s="11">
        <v>259079</v>
      </c>
      <c r="BV49" s="12">
        <v>8.45934224187012E-2</v>
      </c>
      <c r="BW49" s="12">
        <v>0.27300594986664101</v>
      </c>
      <c r="BX49" s="12">
        <v>0.25041444790515399</v>
      </c>
      <c r="BY49" s="12">
        <v>3.2050637998593402E-2</v>
      </c>
      <c r="BZ49" s="12">
        <v>6.4917612780066303E-2</v>
      </c>
      <c r="CA49" s="14">
        <v>0.194024414749322</v>
      </c>
      <c r="CB49" s="98">
        <v>15400000</v>
      </c>
      <c r="CC49" s="83" t="s">
        <v>598</v>
      </c>
      <c r="CD49" s="83" t="s">
        <v>598</v>
      </c>
      <c r="CE49" s="83" t="s">
        <v>598</v>
      </c>
      <c r="CF49" s="83" t="s">
        <v>598</v>
      </c>
      <c r="CG49" s="90" t="str">
        <f t="shared" si="10"/>
        <v/>
      </c>
      <c r="CH49" s="90" t="str">
        <f t="shared" si="10"/>
        <v/>
      </c>
      <c r="CI49" s="90" t="str">
        <f t="shared" si="10"/>
        <v/>
      </c>
      <c r="CK49" s="86">
        <f t="shared" si="1"/>
        <v>16710553</v>
      </c>
      <c r="CL49" s="83">
        <v>4752867</v>
      </c>
      <c r="CM49" s="83">
        <v>8000981</v>
      </c>
      <c r="CN49" s="83">
        <v>2716723</v>
      </c>
      <c r="CO49" s="83">
        <v>1239982</v>
      </c>
      <c r="CP49" s="90">
        <f t="shared" si="2"/>
        <v>0.28442308282676221</v>
      </c>
      <c r="CQ49" s="90">
        <f t="shared" si="2"/>
        <v>0.47879809842319404</v>
      </c>
      <c r="CR49" s="90">
        <f t="shared" si="2"/>
        <v>0.16257528999788337</v>
      </c>
    </row>
    <row r="50" spans="1:96" ht="16.5" thickTop="1" thickBot="1" x14ac:dyDescent="0.3">
      <c r="A50" s="3" t="s">
        <v>591</v>
      </c>
      <c r="B50" s="3">
        <v>2801</v>
      </c>
      <c r="C50" s="3" t="s">
        <v>727</v>
      </c>
      <c r="D50" s="16">
        <v>45260</v>
      </c>
      <c r="E50" s="16" t="s">
        <v>603</v>
      </c>
      <c r="F50" s="16" t="s">
        <v>602</v>
      </c>
      <c r="G50" s="17">
        <f>H50*0.8</f>
        <v>26435.200000000001</v>
      </c>
      <c r="H50" s="17">
        <v>33044</v>
      </c>
      <c r="I50" s="17" t="s">
        <v>585</v>
      </c>
      <c r="J50" s="18"/>
      <c r="K50" s="18"/>
      <c r="L50" s="18"/>
      <c r="M50" s="18" t="s">
        <v>598</v>
      </c>
      <c r="N50" s="137">
        <v>12846</v>
      </c>
      <c r="O50" s="138">
        <v>7154</v>
      </c>
      <c r="P50" s="138">
        <v>5566</v>
      </c>
      <c r="Q50" s="138">
        <v>3153</v>
      </c>
      <c r="R50" s="135">
        <v>0.55690487311225301</v>
      </c>
      <c r="S50" s="135">
        <v>0.43328662618713998</v>
      </c>
      <c r="T50" s="135">
        <v>0.24544605324614699</v>
      </c>
      <c r="U50" s="135">
        <v>0.123618246925113</v>
      </c>
      <c r="V50" s="135">
        <v>0.18784057294099299</v>
      </c>
      <c r="W50" s="135">
        <v>9.5827494940059196E-2</v>
      </c>
      <c r="X50" s="135">
        <v>0.149618558306088</v>
      </c>
      <c r="Y50" s="139">
        <v>84855</v>
      </c>
      <c r="Z50" s="139">
        <v>120176</v>
      </c>
      <c r="AA50" s="139">
        <v>1630620</v>
      </c>
      <c r="AB50" s="138">
        <v>31740</v>
      </c>
      <c r="AC50" s="138">
        <v>33164</v>
      </c>
      <c r="AD50" s="135">
        <v>4.4864524259609302E-2</v>
      </c>
      <c r="AE50" s="135">
        <v>0.60013664313368298</v>
      </c>
      <c r="AF50" s="135">
        <v>6.3736609955891602E-2</v>
      </c>
      <c r="AG50" s="135">
        <v>9.7983616887208594E-2</v>
      </c>
      <c r="AH50" s="135">
        <v>8.48771266540643E-2</v>
      </c>
      <c r="AI50" s="136">
        <v>0.24136735979836199</v>
      </c>
      <c r="AJ50" s="137">
        <v>41452</v>
      </c>
      <c r="AK50" s="138">
        <v>20082</v>
      </c>
      <c r="AL50" s="138">
        <v>14753</v>
      </c>
      <c r="AM50" s="138">
        <v>7233</v>
      </c>
      <c r="AN50" s="135">
        <v>0.48446395831323003</v>
      </c>
      <c r="AO50" s="135">
        <v>0.355905625784039</v>
      </c>
      <c r="AP50" s="135">
        <v>0.17449097751616299</v>
      </c>
      <c r="AQ50" s="135">
        <v>0.12855833252918999</v>
      </c>
      <c r="AR50" s="135">
        <v>0.18141464826787601</v>
      </c>
      <c r="AS50" s="135">
        <v>7.8355688507189006E-2</v>
      </c>
      <c r="AT50" s="135">
        <v>9.6135289008974195E-2</v>
      </c>
      <c r="AU50" s="139">
        <v>71941</v>
      </c>
      <c r="AV50" s="139">
        <v>99270</v>
      </c>
      <c r="AW50" s="139">
        <v>1143166</v>
      </c>
      <c r="AX50" s="138">
        <v>103799</v>
      </c>
      <c r="AY50" s="138">
        <v>107336</v>
      </c>
      <c r="AZ50" s="135">
        <v>3.4075472788755203E-2</v>
      </c>
      <c r="BA50" s="135">
        <v>0.49560007489234198</v>
      </c>
      <c r="BB50" s="135">
        <v>7.8006531854834804E-2</v>
      </c>
      <c r="BC50" s="135">
        <v>8.7274443877108601E-2</v>
      </c>
      <c r="BD50" s="135">
        <v>0.14416323856684601</v>
      </c>
      <c r="BE50" s="136">
        <v>0.228605285214694</v>
      </c>
      <c r="BF50" s="141">
        <v>71164</v>
      </c>
      <c r="BG50" s="142">
        <v>28684</v>
      </c>
      <c r="BH50" s="142">
        <v>20341</v>
      </c>
      <c r="BI50" s="142">
        <v>9133</v>
      </c>
      <c r="BJ50" s="143">
        <v>0.40306896745545501</v>
      </c>
      <c r="BK50" s="143">
        <v>0.28583272441121899</v>
      </c>
      <c r="BL50" s="143">
        <v>0.12833736158731901</v>
      </c>
      <c r="BM50" s="143">
        <v>0.11723624304423599</v>
      </c>
      <c r="BN50" s="143">
        <v>0.1574953628239</v>
      </c>
      <c r="BO50" s="143">
        <v>5.9426114327468901E-2</v>
      </c>
      <c r="BP50" s="143">
        <v>6.8911247259850497E-2</v>
      </c>
      <c r="BQ50" s="144">
        <v>59106</v>
      </c>
      <c r="BR50" s="144">
        <v>84471</v>
      </c>
      <c r="BS50" s="144">
        <v>835269</v>
      </c>
      <c r="BT50" s="142">
        <v>178992</v>
      </c>
      <c r="BU50" s="142">
        <v>184021</v>
      </c>
      <c r="BV50" s="143">
        <v>2.8096227764369399E-2</v>
      </c>
      <c r="BW50" s="143">
        <v>0.41361386350229501</v>
      </c>
      <c r="BX50" s="143">
        <v>0.111954724233485</v>
      </c>
      <c r="BY50" s="143">
        <v>7.8327523017788503E-2</v>
      </c>
      <c r="BZ50" s="143">
        <v>0.181332126575489</v>
      </c>
      <c r="CA50" s="146">
        <v>0.220892553857156</v>
      </c>
      <c r="CB50" s="98">
        <v>23000000</v>
      </c>
      <c r="CC50" s="83" t="s">
        <v>598</v>
      </c>
      <c r="CD50" s="83" t="s">
        <v>598</v>
      </c>
      <c r="CE50" s="83" t="s">
        <v>598</v>
      </c>
      <c r="CF50" s="83" t="s">
        <v>598</v>
      </c>
      <c r="CG50" s="90" t="str">
        <f t="shared" si="10"/>
        <v/>
      </c>
      <c r="CH50" s="90" t="str">
        <f t="shared" si="10"/>
        <v/>
      </c>
      <c r="CI50" s="90" t="str">
        <f t="shared" si="10"/>
        <v/>
      </c>
      <c r="CK50" s="98">
        <v>23000000</v>
      </c>
      <c r="CL50" s="83"/>
      <c r="CM50" s="83"/>
      <c r="CN50" s="83"/>
      <c r="CO50" s="83"/>
      <c r="CP50" s="90"/>
      <c r="CQ50" s="90"/>
      <c r="CR50" s="90"/>
    </row>
    <row r="51" spans="1:96" ht="37.5" thickTop="1" thickBot="1" x14ac:dyDescent="0.3">
      <c r="A51" s="3" t="s">
        <v>293</v>
      </c>
      <c r="B51" s="3">
        <v>701</v>
      </c>
      <c r="C51" s="3" t="s">
        <v>107</v>
      </c>
      <c r="D51" s="16">
        <v>37932</v>
      </c>
      <c r="E51" s="16" t="s">
        <v>538</v>
      </c>
      <c r="F51" s="16" t="s">
        <v>385</v>
      </c>
      <c r="G51" s="17">
        <v>14648</v>
      </c>
      <c r="H51" s="17">
        <v>24509</v>
      </c>
      <c r="I51" s="17" t="s">
        <v>583</v>
      </c>
      <c r="J51" s="18"/>
      <c r="K51" s="18" t="s">
        <v>598</v>
      </c>
      <c r="L51" s="18"/>
      <c r="M51" s="18" t="s">
        <v>598</v>
      </c>
      <c r="N51" s="10">
        <v>19953</v>
      </c>
      <c r="O51" s="11">
        <v>7885</v>
      </c>
      <c r="P51" s="11">
        <v>5030</v>
      </c>
      <c r="Q51" s="11">
        <v>2011</v>
      </c>
      <c r="R51" s="12">
        <v>0.39517866987420402</v>
      </c>
      <c r="S51" s="12">
        <v>0.25209241718037401</v>
      </c>
      <c r="T51" s="12">
        <v>0.100786849095374</v>
      </c>
      <c r="U51" s="12">
        <v>0.14308625269382999</v>
      </c>
      <c r="V51" s="12">
        <v>0.15130556808500001</v>
      </c>
      <c r="W51" s="12">
        <v>5.8136621059489801E-2</v>
      </c>
      <c r="X51" s="12">
        <v>4.2650228035884301E-2</v>
      </c>
      <c r="Y51" s="13">
        <v>59146</v>
      </c>
      <c r="Z51" s="13">
        <v>78026</v>
      </c>
      <c r="AA51" s="13">
        <v>700613</v>
      </c>
      <c r="AB51" s="11">
        <v>48576</v>
      </c>
      <c r="AC51" s="11">
        <v>50471</v>
      </c>
      <c r="AD51" s="12">
        <v>3.90110342555995E-2</v>
      </c>
      <c r="AE51" s="12">
        <v>0.398947943315416</v>
      </c>
      <c r="AF51" s="12">
        <v>4.0740283267457197E-2</v>
      </c>
      <c r="AG51" s="12">
        <v>3.41526679841897E-2</v>
      </c>
      <c r="AH51" s="12">
        <v>0.36252470355731198</v>
      </c>
      <c r="AI51" s="14">
        <v>0.250905797101449</v>
      </c>
      <c r="AJ51" s="4">
        <v>40497</v>
      </c>
      <c r="AK51" s="5">
        <v>16703</v>
      </c>
      <c r="AL51" s="5">
        <v>11223</v>
      </c>
      <c r="AM51" s="5">
        <v>5481</v>
      </c>
      <c r="AN51" s="6">
        <v>0.41245030496086099</v>
      </c>
      <c r="AO51" s="6">
        <v>0.27713163938069502</v>
      </c>
      <c r="AP51" s="6">
        <v>0.13534335876731601</v>
      </c>
      <c r="AQ51" s="6">
        <v>0.135318665580166</v>
      </c>
      <c r="AR51" s="6">
        <v>0.141788280613379</v>
      </c>
      <c r="AS51" s="6">
        <v>7.1733708669778004E-2</v>
      </c>
      <c r="AT51" s="6">
        <v>6.3609650097538106E-2</v>
      </c>
      <c r="AU51" s="7">
        <v>60321</v>
      </c>
      <c r="AV51" s="7">
        <v>84471</v>
      </c>
      <c r="AW51" s="7">
        <v>872417</v>
      </c>
      <c r="AX51" s="5">
        <v>103367</v>
      </c>
      <c r="AY51" s="5">
        <v>108195</v>
      </c>
      <c r="AZ51" s="6">
        <v>4.6707363084930398E-2</v>
      </c>
      <c r="BA51" s="6">
        <v>0.40968906969986302</v>
      </c>
      <c r="BB51" s="6">
        <v>4.0738340089196703E-2</v>
      </c>
      <c r="BC51" s="6">
        <v>3.6317199880039099E-2</v>
      </c>
      <c r="BD51" s="6">
        <v>0.36396528872851103</v>
      </c>
      <c r="BE51" s="8">
        <v>0.23834492633045401</v>
      </c>
      <c r="BF51" s="10">
        <v>65328</v>
      </c>
      <c r="BG51" s="11">
        <v>26621</v>
      </c>
      <c r="BH51" s="11">
        <v>18038</v>
      </c>
      <c r="BI51" s="11">
        <v>8588</v>
      </c>
      <c r="BJ51" s="12">
        <v>0.40749755082047501</v>
      </c>
      <c r="BK51" s="12">
        <v>0.276114376683811</v>
      </c>
      <c r="BL51" s="12">
        <v>0.131459710996816</v>
      </c>
      <c r="BM51" s="12">
        <v>0.131383174136664</v>
      </c>
      <c r="BN51" s="12">
        <v>0.144654665686995</v>
      </c>
      <c r="BO51" s="12">
        <v>7.0184300759245699E-2</v>
      </c>
      <c r="BP51" s="12">
        <v>6.1275410237570403E-2</v>
      </c>
      <c r="BQ51" s="13">
        <v>59134</v>
      </c>
      <c r="BR51" s="13">
        <v>82958</v>
      </c>
      <c r="BS51" s="13">
        <v>817776</v>
      </c>
      <c r="BT51" s="11">
        <v>164148</v>
      </c>
      <c r="BU51" s="11">
        <v>172736</v>
      </c>
      <c r="BV51" s="12">
        <v>5.2318639276750199E-2</v>
      </c>
      <c r="BW51" s="12">
        <v>0.41286895951240699</v>
      </c>
      <c r="BX51" s="12">
        <v>4.7639934693081899E-2</v>
      </c>
      <c r="BY51" s="12">
        <v>3.3457611423836998E-2</v>
      </c>
      <c r="BZ51" s="12">
        <v>0.33054316836025999</v>
      </c>
      <c r="CA51" s="14">
        <v>0.24158076857470101</v>
      </c>
      <c r="CB51" s="86">
        <f>IF(SUM(CC51:CF51)=0,"",SUM(CC51:CF51))</f>
        <v>20339573.302666042</v>
      </c>
      <c r="CC51" s="83">
        <v>8166124.5606664196</v>
      </c>
      <c r="CD51" s="83">
        <v>8754232.0493329596</v>
      </c>
      <c r="CE51" s="83">
        <v>2326830.2226666501</v>
      </c>
      <c r="CF51" s="83">
        <v>1092386.47000001</v>
      </c>
      <c r="CG51" s="90">
        <f t="shared" si="10"/>
        <v>0.40148947272143765</v>
      </c>
      <c r="CH51" s="90">
        <f t="shared" si="10"/>
        <v>0.43040391846300358</v>
      </c>
      <c r="CI51" s="90">
        <f t="shared" si="10"/>
        <v>0.11439916600225124</v>
      </c>
      <c r="CK51" s="86">
        <f t="shared" si="1"/>
        <v>20354177</v>
      </c>
      <c r="CL51" s="83">
        <v>7913524</v>
      </c>
      <c r="CM51" s="83">
        <v>9025090</v>
      </c>
      <c r="CN51" s="83">
        <v>2344350</v>
      </c>
      <c r="CO51" s="83">
        <v>1071213</v>
      </c>
      <c r="CP51" s="90">
        <f t="shared" si="2"/>
        <v>0.38879115574164458</v>
      </c>
      <c r="CQ51" s="90">
        <f t="shared" si="2"/>
        <v>0.44340235421948038</v>
      </c>
      <c r="CR51" s="90">
        <f t="shared" si="2"/>
        <v>0.11517783303151977</v>
      </c>
    </row>
    <row r="52" spans="1:96" ht="25.5" thickTop="1" thickBot="1" x14ac:dyDescent="0.3">
      <c r="A52" s="3" t="s">
        <v>691</v>
      </c>
      <c r="B52" s="3" t="s">
        <v>693</v>
      </c>
      <c r="C52" s="3" t="s">
        <v>693</v>
      </c>
      <c r="D52" s="16">
        <v>45484</v>
      </c>
      <c r="E52" s="39" t="s">
        <v>694</v>
      </c>
      <c r="F52" s="16" t="s">
        <v>695</v>
      </c>
      <c r="G52" s="17">
        <f>H52*0.8</f>
        <v>24800</v>
      </c>
      <c r="H52" s="17">
        <v>31000</v>
      </c>
      <c r="I52" s="17" t="s">
        <v>585</v>
      </c>
      <c r="J52" s="18"/>
      <c r="K52" s="18"/>
      <c r="L52" s="18"/>
      <c r="M52" s="18" t="s">
        <v>598</v>
      </c>
      <c r="N52" s="42">
        <v>48097</v>
      </c>
      <c r="O52" s="43">
        <v>20132</v>
      </c>
      <c r="P52" s="43">
        <v>13143</v>
      </c>
      <c r="Q52" s="43">
        <v>6185</v>
      </c>
      <c r="R52" s="44">
        <v>0.41857080483190201</v>
      </c>
      <c r="S52" s="44">
        <v>0.27326028650435602</v>
      </c>
      <c r="T52" s="44">
        <v>0.128594299020729</v>
      </c>
      <c r="U52" s="44">
        <v>0.14531051832754599</v>
      </c>
      <c r="V52" s="44">
        <v>0.144665987483627</v>
      </c>
      <c r="W52" s="44">
        <v>5.8797846019502303E-2</v>
      </c>
      <c r="X52" s="44">
        <v>6.9796453001226694E-2</v>
      </c>
      <c r="Y52" s="45">
        <v>63091</v>
      </c>
      <c r="Z52" s="45">
        <v>92570</v>
      </c>
      <c r="AA52" s="45">
        <v>768778</v>
      </c>
      <c r="AB52" s="43">
        <v>106377</v>
      </c>
      <c r="AC52" s="43">
        <v>108654</v>
      </c>
      <c r="AD52" s="44">
        <v>2.1405002961166399E-2</v>
      </c>
      <c r="AE52" s="44">
        <v>0.47751822846340802</v>
      </c>
      <c r="AF52" s="44">
        <v>0.111537268394484</v>
      </c>
      <c r="AG52" s="44">
        <v>4.6448010378183302E-2</v>
      </c>
      <c r="AH52" s="44">
        <v>7.9096045197740106E-2</v>
      </c>
      <c r="AI52" s="46">
        <v>0.219173317540446</v>
      </c>
      <c r="AJ52" s="70">
        <v>135834</v>
      </c>
      <c r="AK52" s="71">
        <v>51526</v>
      </c>
      <c r="AL52" s="71">
        <v>31993</v>
      </c>
      <c r="AM52" s="71">
        <v>12862</v>
      </c>
      <c r="AN52" s="72">
        <v>0.379330653591884</v>
      </c>
      <c r="AO52" s="72">
        <v>0.23553013236744799</v>
      </c>
      <c r="AP52" s="72">
        <v>9.46891058203395E-2</v>
      </c>
      <c r="AQ52" s="72">
        <v>0.14380052122443601</v>
      </c>
      <c r="AR52" s="72">
        <v>0.14084102654710901</v>
      </c>
      <c r="AS52" s="72">
        <v>4.7189952441951198E-2</v>
      </c>
      <c r="AT52" s="72">
        <v>4.7499153378388302E-2</v>
      </c>
      <c r="AU52" s="73">
        <v>58242</v>
      </c>
      <c r="AV52" s="73">
        <v>81435</v>
      </c>
      <c r="AW52" s="73">
        <v>551932</v>
      </c>
      <c r="AX52" s="71">
        <v>325260</v>
      </c>
      <c r="AY52" s="71">
        <v>332090</v>
      </c>
      <c r="AZ52" s="72">
        <v>2.0998585746787202E-2</v>
      </c>
      <c r="BA52" s="72">
        <v>0.36712759561578001</v>
      </c>
      <c r="BB52" s="72">
        <v>0.18953760068868</v>
      </c>
      <c r="BC52" s="72">
        <v>5.0817807292627401E-2</v>
      </c>
      <c r="BD52" s="72">
        <v>0.137320912500769</v>
      </c>
      <c r="BE52" s="74">
        <v>0.211058845231507</v>
      </c>
      <c r="BF52" s="42">
        <v>203209</v>
      </c>
      <c r="BG52" s="43">
        <v>85448</v>
      </c>
      <c r="BH52" s="43">
        <v>54541</v>
      </c>
      <c r="BI52" s="43">
        <v>22104</v>
      </c>
      <c r="BJ52" s="44">
        <v>0.42049318681751302</v>
      </c>
      <c r="BK52" s="44">
        <v>0.268398545340019</v>
      </c>
      <c r="BL52" s="44">
        <v>0.108774709781555</v>
      </c>
      <c r="BM52" s="44">
        <v>0.15209464147749399</v>
      </c>
      <c r="BN52" s="44">
        <v>0.15962383555846399</v>
      </c>
      <c r="BO52" s="44">
        <v>5.6444350397866203E-2</v>
      </c>
      <c r="BP52" s="44">
        <v>5.2330359383688699E-2</v>
      </c>
      <c r="BQ52" s="45">
        <v>62806</v>
      </c>
      <c r="BR52" s="45">
        <v>86340</v>
      </c>
      <c r="BS52" s="45">
        <v>628027</v>
      </c>
      <c r="BT52" s="43">
        <v>502862</v>
      </c>
      <c r="BU52" s="43">
        <v>513904</v>
      </c>
      <c r="BV52" s="44">
        <v>2.1958310629954101E-2</v>
      </c>
      <c r="BW52" s="44">
        <v>0.364203807940087</v>
      </c>
      <c r="BX52" s="44">
        <v>0.17314889572089401</v>
      </c>
      <c r="BY52" s="44">
        <v>4.5298710182913003E-2</v>
      </c>
      <c r="BZ52" s="44">
        <v>0.12816637566569</v>
      </c>
      <c r="CA52" s="46">
        <v>0.21691637069414699</v>
      </c>
      <c r="CB52" s="98">
        <v>20000000</v>
      </c>
      <c r="CC52" s="83" t="s">
        <v>598</v>
      </c>
      <c r="CD52" s="83" t="s">
        <v>598</v>
      </c>
      <c r="CE52" s="83" t="s">
        <v>598</v>
      </c>
      <c r="CF52" s="83" t="s">
        <v>598</v>
      </c>
      <c r="CG52" s="99">
        <v>0.32</v>
      </c>
      <c r="CH52" s="99">
        <v>0.48</v>
      </c>
      <c r="CI52" s="90" t="str">
        <f t="shared" si="10"/>
        <v/>
      </c>
      <c r="CK52" s="98">
        <v>20000000</v>
      </c>
      <c r="CL52" s="83" t="s">
        <v>598</v>
      </c>
      <c r="CM52" s="83" t="s">
        <v>598</v>
      </c>
      <c r="CN52" s="83" t="s">
        <v>598</v>
      </c>
      <c r="CO52" s="83" t="s">
        <v>598</v>
      </c>
      <c r="CP52" s="99">
        <v>0.32</v>
      </c>
      <c r="CQ52" s="99">
        <v>0.48</v>
      </c>
      <c r="CR52" s="90" t="str">
        <f t="shared" ref="CR52" si="11">IFERROR(CN52/$CB52,"")</f>
        <v/>
      </c>
    </row>
    <row r="53" spans="1:96" ht="37.5" thickTop="1" thickBot="1" x14ac:dyDescent="0.3">
      <c r="A53" s="3" t="s">
        <v>297</v>
      </c>
      <c r="B53" s="3">
        <v>1119</v>
      </c>
      <c r="C53" s="3" t="s">
        <v>185</v>
      </c>
      <c r="D53" s="16">
        <v>42824</v>
      </c>
      <c r="E53" s="16" t="s">
        <v>556</v>
      </c>
      <c r="F53" s="16" t="s">
        <v>453</v>
      </c>
      <c r="G53" s="17">
        <v>17900</v>
      </c>
      <c r="H53" s="17">
        <v>18000</v>
      </c>
      <c r="I53" s="17" t="s">
        <v>584</v>
      </c>
      <c r="J53" s="18"/>
      <c r="K53" s="18" t="s">
        <v>598</v>
      </c>
      <c r="L53" s="18"/>
      <c r="M53" s="18" t="s">
        <v>519</v>
      </c>
      <c r="N53" s="10">
        <v>36639</v>
      </c>
      <c r="O53" s="11">
        <v>18457</v>
      </c>
      <c r="P53" s="11">
        <v>13330</v>
      </c>
      <c r="Q53" s="11">
        <v>6139</v>
      </c>
      <c r="R53" s="12">
        <v>0.50375283168208695</v>
      </c>
      <c r="S53" s="12">
        <v>0.363819973252545</v>
      </c>
      <c r="T53" s="12">
        <v>0.16755369960970601</v>
      </c>
      <c r="U53" s="12">
        <v>0.13993285842954201</v>
      </c>
      <c r="V53" s="12">
        <v>0.19626627364283999</v>
      </c>
      <c r="W53" s="12">
        <v>8.3899669750812006E-2</v>
      </c>
      <c r="X53" s="12">
        <v>8.3654029858893503E-2</v>
      </c>
      <c r="Y53" s="13">
        <v>75497</v>
      </c>
      <c r="Z53" s="13">
        <v>98470</v>
      </c>
      <c r="AA53" s="13">
        <v>1051307</v>
      </c>
      <c r="AB53" s="11">
        <v>89940</v>
      </c>
      <c r="AC53" s="11">
        <v>92586</v>
      </c>
      <c r="AD53" s="12">
        <v>2.9419613075383599E-2</v>
      </c>
      <c r="AE53" s="12">
        <v>0.41804259759391099</v>
      </c>
      <c r="AF53" s="12">
        <v>0.30908383366688902</v>
      </c>
      <c r="AG53" s="12">
        <v>0.107416055147876</v>
      </c>
      <c r="AH53" s="12">
        <v>4.93662441627752E-2</v>
      </c>
      <c r="AI53" s="14">
        <v>0.23908160996219699</v>
      </c>
      <c r="AJ53" s="4">
        <v>95422</v>
      </c>
      <c r="AK53" s="5">
        <v>43659</v>
      </c>
      <c r="AL53" s="5">
        <v>30926</v>
      </c>
      <c r="AM53" s="5">
        <v>14744</v>
      </c>
      <c r="AN53" s="6">
        <v>0.45753599798788502</v>
      </c>
      <c r="AO53" s="6">
        <v>0.32409716836788199</v>
      </c>
      <c r="AP53" s="6">
        <v>0.15451363417241301</v>
      </c>
      <c r="AQ53" s="6">
        <v>0.133438829620004</v>
      </c>
      <c r="AR53" s="6">
        <v>0.16958353419546901</v>
      </c>
      <c r="AS53" s="6">
        <v>7.9447087673702094E-2</v>
      </c>
      <c r="AT53" s="6">
        <v>7.5066546498711001E-2</v>
      </c>
      <c r="AU53" s="7">
        <v>67022</v>
      </c>
      <c r="AV53" s="7">
        <v>91020</v>
      </c>
      <c r="AW53" s="7">
        <v>920392</v>
      </c>
      <c r="AX53" s="5">
        <v>255332</v>
      </c>
      <c r="AY53" s="5">
        <v>262556</v>
      </c>
      <c r="AZ53" s="6">
        <v>2.8292575940344299E-2</v>
      </c>
      <c r="BA53" s="6">
        <v>0.36382903981264603</v>
      </c>
      <c r="BB53" s="6">
        <v>0.36693011451756902</v>
      </c>
      <c r="BC53" s="6">
        <v>0.10984130465433201</v>
      </c>
      <c r="BD53" s="6">
        <v>6.24128585527862E-2</v>
      </c>
      <c r="BE53" s="8">
        <v>0.21685100183290801</v>
      </c>
      <c r="BF53" s="10">
        <v>161136</v>
      </c>
      <c r="BG53" s="11">
        <v>65427</v>
      </c>
      <c r="BH53" s="11">
        <v>44088</v>
      </c>
      <c r="BI53" s="11">
        <v>19794</v>
      </c>
      <c r="BJ53" s="12">
        <v>0.40603589514447402</v>
      </c>
      <c r="BK53" s="12">
        <v>0.27360738754840602</v>
      </c>
      <c r="BL53" s="12">
        <v>0.122840333631218</v>
      </c>
      <c r="BM53" s="12">
        <v>0.132428507596068</v>
      </c>
      <c r="BN53" s="12">
        <v>0.150767053917188</v>
      </c>
      <c r="BO53" s="12">
        <v>6.4585195114685703E-2</v>
      </c>
      <c r="BP53" s="12">
        <v>5.8255138516532599E-2</v>
      </c>
      <c r="BQ53" s="13">
        <v>59571</v>
      </c>
      <c r="BR53" s="13">
        <v>81426</v>
      </c>
      <c r="BS53" s="13">
        <v>713814</v>
      </c>
      <c r="BT53" s="11">
        <v>457558</v>
      </c>
      <c r="BU53" s="11">
        <v>470057</v>
      </c>
      <c r="BV53" s="12">
        <v>2.7316755471437498E-2</v>
      </c>
      <c r="BW53" s="12">
        <v>0.29168373617369903</v>
      </c>
      <c r="BX53" s="12">
        <v>0.43092460409390698</v>
      </c>
      <c r="BY53" s="12">
        <v>0.114210657446706</v>
      </c>
      <c r="BZ53" s="12">
        <v>6.3399612726692603E-2</v>
      </c>
      <c r="CA53" s="14">
        <v>0.207853430603333</v>
      </c>
      <c r="CB53" s="86">
        <f t="shared" ref="CB53:CB64" si="12">IF(SUM(CC53:CF53)=0,"",SUM(CC53:CF53))</f>
        <v>19436296.11499935</v>
      </c>
      <c r="CC53" s="83">
        <v>5914773.0399998203</v>
      </c>
      <c r="CD53" s="83">
        <v>9821527.0349995401</v>
      </c>
      <c r="CE53" s="83">
        <v>2429920.3699999801</v>
      </c>
      <c r="CF53" s="83">
        <v>1270075.6700000099</v>
      </c>
      <c r="CG53" s="90">
        <f t="shared" ref="CG53:CI78" si="13">IFERROR(CC53/$CB53,"")</f>
        <v>0.30431585344263612</v>
      </c>
      <c r="CH53" s="90">
        <f t="shared" si="13"/>
        <v>0.50531886203462839</v>
      </c>
      <c r="CI53" s="90">
        <f t="shared" si="10"/>
        <v>0.12501972369749839</v>
      </c>
      <c r="CK53" s="86">
        <f t="shared" si="1"/>
        <v>19249754</v>
      </c>
      <c r="CL53" s="83">
        <v>5581846</v>
      </c>
      <c r="CM53" s="83">
        <v>10009602</v>
      </c>
      <c r="CN53" s="83">
        <v>2422411</v>
      </c>
      <c r="CO53" s="83">
        <v>1235895</v>
      </c>
      <c r="CP53" s="90">
        <f t="shared" si="2"/>
        <v>0.28996973156124489</v>
      </c>
      <c r="CQ53" s="90">
        <f t="shared" si="2"/>
        <v>0.51998596969083344</v>
      </c>
      <c r="CR53" s="90">
        <f t="shared" si="2"/>
        <v>0.12584114061925156</v>
      </c>
    </row>
    <row r="54" spans="1:96" ht="37.5" thickTop="1" thickBot="1" x14ac:dyDescent="0.3">
      <c r="A54" s="3" t="s">
        <v>301</v>
      </c>
      <c r="B54" s="3">
        <v>1504</v>
      </c>
      <c r="C54" s="3" t="s">
        <v>229</v>
      </c>
      <c r="D54" s="16">
        <v>42543</v>
      </c>
      <c r="E54" s="16" t="s">
        <v>565</v>
      </c>
      <c r="F54" s="16" t="s">
        <v>485</v>
      </c>
      <c r="G54" s="17">
        <v>15598</v>
      </c>
      <c r="H54" s="17">
        <v>17584</v>
      </c>
      <c r="I54" s="17" t="s">
        <v>583</v>
      </c>
      <c r="J54" s="18"/>
      <c r="K54" s="18" t="s">
        <v>598</v>
      </c>
      <c r="L54" s="18"/>
      <c r="M54" s="18" t="s">
        <v>519</v>
      </c>
      <c r="N54" s="10">
        <v>29836</v>
      </c>
      <c r="O54" s="11">
        <v>16208</v>
      </c>
      <c r="P54" s="11">
        <v>12098</v>
      </c>
      <c r="Q54" s="11">
        <v>6531</v>
      </c>
      <c r="R54" s="12">
        <v>0.543236358761228</v>
      </c>
      <c r="S54" s="12">
        <v>0.40548330875452498</v>
      </c>
      <c r="T54" s="12">
        <v>0.21889663493765901</v>
      </c>
      <c r="U54" s="12">
        <v>0.13775305000670299</v>
      </c>
      <c r="V54" s="12">
        <v>0.186586673816866</v>
      </c>
      <c r="W54" s="12">
        <v>0.106582651830004</v>
      </c>
      <c r="X54" s="12">
        <v>0.112313983107655</v>
      </c>
      <c r="Y54" s="13">
        <v>81375</v>
      </c>
      <c r="Z54" s="13">
        <v>109501</v>
      </c>
      <c r="AA54" s="13">
        <v>1273806</v>
      </c>
      <c r="AB54" s="11">
        <v>74745</v>
      </c>
      <c r="AC54" s="11">
        <v>75036</v>
      </c>
      <c r="AD54" s="12">
        <v>3.8932370058197899E-3</v>
      </c>
      <c r="AE54" s="12">
        <v>0.46630401934119098</v>
      </c>
      <c r="AF54" s="12">
        <v>0.21384708007224601</v>
      </c>
      <c r="AG54" s="12">
        <v>9.6260619439427403E-2</v>
      </c>
      <c r="AH54" s="12">
        <v>9.4441099739112994E-2</v>
      </c>
      <c r="AI54" s="14">
        <v>0.25110709746471299</v>
      </c>
      <c r="AJ54" s="4">
        <v>105723</v>
      </c>
      <c r="AK54" s="5">
        <v>42363</v>
      </c>
      <c r="AL54" s="5">
        <v>30303</v>
      </c>
      <c r="AM54" s="5">
        <v>16190</v>
      </c>
      <c r="AN54" s="6">
        <v>0.40069805056610203</v>
      </c>
      <c r="AO54" s="6">
        <v>0.28662637269090002</v>
      </c>
      <c r="AP54" s="6">
        <v>0.15313602527359199</v>
      </c>
      <c r="AQ54" s="6">
        <v>0.114071677875202</v>
      </c>
      <c r="AR54" s="6">
        <v>0.133490347417308</v>
      </c>
      <c r="AS54" s="6">
        <v>7.3333144159738198E-2</v>
      </c>
      <c r="AT54" s="6">
        <v>7.9802881113854099E-2</v>
      </c>
      <c r="AU54" s="7">
        <v>57304</v>
      </c>
      <c r="AV54" s="7">
        <v>86566</v>
      </c>
      <c r="AW54" s="7">
        <v>858847</v>
      </c>
      <c r="AX54" s="5">
        <v>268541</v>
      </c>
      <c r="AY54" s="5">
        <v>269640</v>
      </c>
      <c r="AZ54" s="6">
        <v>4.0924849464327598E-3</v>
      </c>
      <c r="BA54" s="6">
        <v>0.35277226376614501</v>
      </c>
      <c r="BB54" s="6">
        <v>0.36310656473313202</v>
      </c>
      <c r="BC54" s="6">
        <v>6.2969900313173802E-2</v>
      </c>
      <c r="BD54" s="6">
        <v>0.14585854673960399</v>
      </c>
      <c r="BE54" s="8">
        <v>0.23525644128829501</v>
      </c>
      <c r="BF54" s="10">
        <v>155478</v>
      </c>
      <c r="BG54" s="11">
        <v>64898</v>
      </c>
      <c r="BH54" s="11">
        <v>46995</v>
      </c>
      <c r="BI54" s="11">
        <v>24828</v>
      </c>
      <c r="BJ54" s="12">
        <v>0.41740953704061001</v>
      </c>
      <c r="BK54" s="12">
        <v>0.30226141319029098</v>
      </c>
      <c r="BL54" s="12">
        <v>0.15968818739628801</v>
      </c>
      <c r="BM54" s="12">
        <v>0.11514812385032</v>
      </c>
      <c r="BN54" s="12">
        <v>0.142573225794003</v>
      </c>
      <c r="BO54" s="12">
        <v>7.5213213444989005E-2</v>
      </c>
      <c r="BP54" s="12">
        <v>8.4474973951298604E-2</v>
      </c>
      <c r="BQ54" s="13">
        <v>59579</v>
      </c>
      <c r="BR54" s="13">
        <v>89209</v>
      </c>
      <c r="BS54" s="13">
        <v>958222</v>
      </c>
      <c r="BT54" s="11">
        <v>395627</v>
      </c>
      <c r="BU54" s="11">
        <v>397687</v>
      </c>
      <c r="BV54" s="12">
        <v>5.2069247043300898E-3</v>
      </c>
      <c r="BW54" s="12">
        <v>0.35400057208657598</v>
      </c>
      <c r="BX54" s="12">
        <v>0.30548218397632099</v>
      </c>
      <c r="BY54" s="12">
        <v>5.9866995933037903E-2</v>
      </c>
      <c r="BZ54" s="12">
        <v>0.189660968538548</v>
      </c>
      <c r="CA54" s="14">
        <v>0.242056280284207</v>
      </c>
      <c r="CB54" s="86">
        <f t="shared" si="12"/>
        <v>17315042.109999362</v>
      </c>
      <c r="CC54" s="83">
        <v>7018598.5399997104</v>
      </c>
      <c r="CD54" s="83">
        <v>6285715.3599997396</v>
      </c>
      <c r="CE54" s="83">
        <v>3375449.10999991</v>
      </c>
      <c r="CF54" s="83">
        <v>635279.100000003</v>
      </c>
      <c r="CG54" s="90">
        <f t="shared" si="13"/>
        <v>0.40534689407116714</v>
      </c>
      <c r="CH54" s="90">
        <f t="shared" si="13"/>
        <v>0.36302050668243918</v>
      </c>
      <c r="CI54" s="90">
        <f t="shared" si="10"/>
        <v>0.19494316494041922</v>
      </c>
      <c r="CK54" s="86">
        <f t="shared" si="1"/>
        <v>17520742</v>
      </c>
      <c r="CL54" s="83">
        <v>6987811</v>
      </c>
      <c r="CM54" s="83">
        <v>6467389</v>
      </c>
      <c r="CN54" s="83">
        <v>3430531</v>
      </c>
      <c r="CO54" s="83">
        <v>635011</v>
      </c>
      <c r="CP54" s="90">
        <f t="shared" si="2"/>
        <v>0.39883076869689649</v>
      </c>
      <c r="CQ54" s="90">
        <f t="shared" si="2"/>
        <v>0.36912757461984202</v>
      </c>
      <c r="CR54" s="90">
        <f t="shared" si="2"/>
        <v>0.19579827155722057</v>
      </c>
    </row>
    <row r="55" spans="1:96" ht="37.5" thickTop="1" thickBot="1" x14ac:dyDescent="0.3">
      <c r="A55" s="3" t="s">
        <v>299</v>
      </c>
      <c r="B55" s="3">
        <v>1303</v>
      </c>
      <c r="C55" s="3" t="s">
        <v>212</v>
      </c>
      <c r="D55" s="16">
        <v>43216</v>
      </c>
      <c r="E55" s="16" t="s">
        <v>560</v>
      </c>
      <c r="F55" s="16" t="s">
        <v>470</v>
      </c>
      <c r="G55" s="17">
        <v>16708</v>
      </c>
      <c r="H55" s="17">
        <v>20115</v>
      </c>
      <c r="I55" s="17" t="s">
        <v>584</v>
      </c>
      <c r="J55" s="18"/>
      <c r="K55" s="18" t="s">
        <v>598</v>
      </c>
      <c r="L55" s="18"/>
      <c r="M55" s="18" t="s">
        <v>598</v>
      </c>
      <c r="N55" s="10">
        <v>22922</v>
      </c>
      <c r="O55" s="11">
        <v>7710</v>
      </c>
      <c r="P55" s="11">
        <v>4651</v>
      </c>
      <c r="Q55" s="11">
        <v>2140</v>
      </c>
      <c r="R55" s="12">
        <v>0.33635808393682898</v>
      </c>
      <c r="S55" s="12">
        <v>0.20290550562778101</v>
      </c>
      <c r="T55" s="12">
        <v>9.3360090742518095E-2</v>
      </c>
      <c r="U55" s="12">
        <v>0.133452578309048</v>
      </c>
      <c r="V55" s="12">
        <v>0.109545414885263</v>
      </c>
      <c r="W55" s="12">
        <v>5.3311229386615498E-2</v>
      </c>
      <c r="X55" s="12">
        <v>4.0048861355902597E-2</v>
      </c>
      <c r="Y55" s="13">
        <v>52617</v>
      </c>
      <c r="Z55" s="13">
        <v>71838</v>
      </c>
      <c r="AA55" s="13">
        <v>544055</v>
      </c>
      <c r="AB55" s="11">
        <v>56378</v>
      </c>
      <c r="AC55" s="11">
        <v>59815</v>
      </c>
      <c r="AD55" s="12">
        <v>6.0963496399304699E-2</v>
      </c>
      <c r="AE55" s="12">
        <v>0.32906985739704497</v>
      </c>
      <c r="AF55" s="12">
        <v>0.66472737592678</v>
      </c>
      <c r="AG55" s="12">
        <v>1.35336478768314E-2</v>
      </c>
      <c r="AH55" s="12">
        <v>1.2114654652524001E-2</v>
      </c>
      <c r="AI55" s="14">
        <v>0.25000886870765199</v>
      </c>
      <c r="AJ55" s="4">
        <v>38782</v>
      </c>
      <c r="AK55" s="5">
        <v>14774</v>
      </c>
      <c r="AL55" s="5">
        <v>9613</v>
      </c>
      <c r="AM55" s="5">
        <v>4735</v>
      </c>
      <c r="AN55" s="6">
        <v>0.380949925223042</v>
      </c>
      <c r="AO55" s="6">
        <v>0.24787272445980099</v>
      </c>
      <c r="AP55" s="6">
        <v>0.122092723428395</v>
      </c>
      <c r="AQ55" s="6">
        <v>0.133077200763241</v>
      </c>
      <c r="AR55" s="6">
        <v>0.12578000103140599</v>
      </c>
      <c r="AS55" s="6">
        <v>6.1626527770615197E-2</v>
      </c>
      <c r="AT55" s="6">
        <v>6.0466195657779401E-2</v>
      </c>
      <c r="AU55" s="7">
        <v>56987</v>
      </c>
      <c r="AV55" s="7">
        <v>80890</v>
      </c>
      <c r="AW55" s="7">
        <v>772125</v>
      </c>
      <c r="AX55" s="5">
        <v>88694</v>
      </c>
      <c r="AY55" s="5">
        <v>93315</v>
      </c>
      <c r="AZ55" s="6">
        <v>5.2100480303064502E-2</v>
      </c>
      <c r="BA55" s="6">
        <v>0.41127653232511802</v>
      </c>
      <c r="BB55" s="6">
        <v>0.57505580986312499</v>
      </c>
      <c r="BC55" s="6">
        <v>1.6585112859945399E-2</v>
      </c>
      <c r="BD55" s="6">
        <v>1.19286535729587E-2</v>
      </c>
      <c r="BE55" s="8">
        <v>0.27207026405393803</v>
      </c>
      <c r="BF55" s="10">
        <v>45453</v>
      </c>
      <c r="BG55" s="11">
        <v>18469</v>
      </c>
      <c r="BH55" s="11">
        <v>12578</v>
      </c>
      <c r="BI55" s="11">
        <v>6651</v>
      </c>
      <c r="BJ55" s="12">
        <v>0.40633181528172002</v>
      </c>
      <c r="BK55" s="12">
        <v>0.276725408663895</v>
      </c>
      <c r="BL55" s="12">
        <v>0.14632697511715401</v>
      </c>
      <c r="BM55" s="12">
        <v>0.12960640661782499</v>
      </c>
      <c r="BN55" s="12">
        <v>0.13039843354674099</v>
      </c>
      <c r="BO55" s="12">
        <v>6.5892240336171401E-2</v>
      </c>
      <c r="BP55" s="12">
        <v>8.0434734780982606E-2</v>
      </c>
      <c r="BQ55" s="13">
        <v>59643</v>
      </c>
      <c r="BR55" s="13">
        <v>88717</v>
      </c>
      <c r="BS55" s="13">
        <v>1023853</v>
      </c>
      <c r="BT55" s="11">
        <v>104312</v>
      </c>
      <c r="BU55" s="11">
        <v>108965</v>
      </c>
      <c r="BV55" s="12">
        <v>4.4606564920622697E-2</v>
      </c>
      <c r="BW55" s="12">
        <v>0.43239277948073002</v>
      </c>
      <c r="BX55" s="12">
        <v>0.54799064345425297</v>
      </c>
      <c r="BY55" s="12">
        <v>1.6230155686785801E-2</v>
      </c>
      <c r="BZ55" s="12">
        <v>1.17436153079224E-2</v>
      </c>
      <c r="CA55" s="14">
        <v>0.28822187284300899</v>
      </c>
      <c r="CB55" s="86">
        <f t="shared" si="12"/>
        <v>17931688.979999527</v>
      </c>
      <c r="CC55" s="83">
        <v>7106401.92999982</v>
      </c>
      <c r="CD55" s="83">
        <v>7296272.7399997199</v>
      </c>
      <c r="CE55" s="83">
        <v>2638416.49999998</v>
      </c>
      <c r="CF55" s="83">
        <v>890597.81000000704</v>
      </c>
      <c r="CG55" s="90">
        <f t="shared" si="13"/>
        <v>0.39630410375319858</v>
      </c>
      <c r="CH55" s="90">
        <f t="shared" si="13"/>
        <v>0.40689266628133947</v>
      </c>
      <c r="CI55" s="90">
        <f t="shared" si="10"/>
        <v>0.14713708803129427</v>
      </c>
      <c r="CK55" s="86">
        <f t="shared" si="1"/>
        <v>17779850</v>
      </c>
      <c r="CL55" s="83">
        <v>6867306</v>
      </c>
      <c r="CM55" s="83">
        <v>7469010</v>
      </c>
      <c r="CN55" s="83">
        <v>2532883</v>
      </c>
      <c r="CO55" s="83">
        <v>910651</v>
      </c>
      <c r="CP55" s="90">
        <f t="shared" si="2"/>
        <v>0.38624094129028086</v>
      </c>
      <c r="CQ55" s="90">
        <f t="shared" si="2"/>
        <v>0.420082846593194</v>
      </c>
      <c r="CR55" s="90">
        <f t="shared" si="2"/>
        <v>0.14245806348197537</v>
      </c>
    </row>
    <row r="56" spans="1:96" ht="49.5" thickTop="1" thickBot="1" x14ac:dyDescent="0.3">
      <c r="A56" s="3" t="s">
        <v>297</v>
      </c>
      <c r="B56" s="3">
        <v>1108</v>
      </c>
      <c r="C56" s="3" t="s">
        <v>174</v>
      </c>
      <c r="D56" s="16">
        <v>40834</v>
      </c>
      <c r="E56" s="16" t="s">
        <v>552</v>
      </c>
      <c r="F56" s="16" t="s">
        <v>443</v>
      </c>
      <c r="G56" s="17">
        <v>21239</v>
      </c>
      <c r="H56" s="17">
        <v>30890</v>
      </c>
      <c r="I56" s="17" t="s">
        <v>585</v>
      </c>
      <c r="J56" s="18"/>
      <c r="K56" s="18" t="s">
        <v>598</v>
      </c>
      <c r="L56" s="18"/>
      <c r="M56" s="18" t="s">
        <v>598</v>
      </c>
      <c r="N56" s="10">
        <v>56536</v>
      </c>
      <c r="O56" s="11">
        <v>22373</v>
      </c>
      <c r="P56" s="11">
        <v>15574</v>
      </c>
      <c r="Q56" s="11">
        <v>8116</v>
      </c>
      <c r="R56" s="12">
        <v>0.395730154238008</v>
      </c>
      <c r="S56" s="12">
        <v>0.27547049667468498</v>
      </c>
      <c r="T56" s="12">
        <v>0.143554549313712</v>
      </c>
      <c r="U56" s="12">
        <v>0.12025965756332201</v>
      </c>
      <c r="V56" s="12">
        <v>0.13191594736097401</v>
      </c>
      <c r="W56" s="12">
        <v>5.6388849582566902E-2</v>
      </c>
      <c r="X56" s="12">
        <v>8.7165699731144797E-2</v>
      </c>
      <c r="Y56" s="13">
        <v>55919</v>
      </c>
      <c r="Z56" s="13">
        <v>87104</v>
      </c>
      <c r="AA56" s="13">
        <v>780759</v>
      </c>
      <c r="AB56" s="11">
        <v>134308</v>
      </c>
      <c r="AC56" s="11">
        <v>138727</v>
      </c>
      <c r="AD56" s="12">
        <v>3.2901986478839698E-2</v>
      </c>
      <c r="AE56" s="12">
        <v>0.36681658622202701</v>
      </c>
      <c r="AF56" s="12">
        <v>0.26939571730648998</v>
      </c>
      <c r="AG56" s="12">
        <v>9.0582839443666796E-2</v>
      </c>
      <c r="AH56" s="12">
        <v>9.7388093039878498E-2</v>
      </c>
      <c r="AI56" s="14">
        <v>0.22999374571879599</v>
      </c>
      <c r="AJ56" s="4">
        <v>151263</v>
      </c>
      <c r="AK56" s="5">
        <v>63279</v>
      </c>
      <c r="AL56" s="5">
        <v>43107</v>
      </c>
      <c r="AM56" s="5">
        <v>20427</v>
      </c>
      <c r="AN56" s="6">
        <v>0.41833759742964199</v>
      </c>
      <c r="AO56" s="6">
        <v>0.28498046448900299</v>
      </c>
      <c r="AP56" s="6">
        <v>0.13504293845818199</v>
      </c>
      <c r="AQ56" s="6">
        <v>0.13335713294064</v>
      </c>
      <c r="AR56" s="6">
        <v>0.149937526030821</v>
      </c>
      <c r="AS56" s="6">
        <v>5.6662898395509802E-2</v>
      </c>
      <c r="AT56" s="6">
        <v>7.8380040062672296E-2</v>
      </c>
      <c r="AU56" s="7">
        <v>60692</v>
      </c>
      <c r="AV56" s="7">
        <v>87146</v>
      </c>
      <c r="AW56" s="7">
        <v>701980</v>
      </c>
      <c r="AX56" s="5">
        <v>367968</v>
      </c>
      <c r="AY56" s="5">
        <v>384557</v>
      </c>
      <c r="AZ56" s="6">
        <v>4.5082724584746499E-2</v>
      </c>
      <c r="BA56" s="6">
        <v>0.360061774250303</v>
      </c>
      <c r="BB56" s="6">
        <v>0.27583376815375199</v>
      </c>
      <c r="BC56" s="6">
        <v>0.103938385946604</v>
      </c>
      <c r="BD56" s="6">
        <v>0.106014653448126</v>
      </c>
      <c r="BE56" s="8">
        <v>0.22912318462475001</v>
      </c>
      <c r="BF56" s="10">
        <v>259784</v>
      </c>
      <c r="BG56" s="11">
        <v>105851</v>
      </c>
      <c r="BH56" s="11">
        <v>71012</v>
      </c>
      <c r="BI56" s="11">
        <v>32233</v>
      </c>
      <c r="BJ56" s="12">
        <v>0.40745773411757502</v>
      </c>
      <c r="BK56" s="12">
        <v>0.27335016783173699</v>
      </c>
      <c r="BL56" s="12">
        <v>0.124076155575401</v>
      </c>
      <c r="BM56" s="12">
        <v>0.134107566285837</v>
      </c>
      <c r="BN56" s="12">
        <v>0.14927401225633599</v>
      </c>
      <c r="BO56" s="12">
        <v>5.48994549317895E-2</v>
      </c>
      <c r="BP56" s="12">
        <v>6.9176700643611602E-2</v>
      </c>
      <c r="BQ56" s="13">
        <v>59684</v>
      </c>
      <c r="BR56" s="13">
        <v>83989</v>
      </c>
      <c r="BS56" s="13">
        <v>640962</v>
      </c>
      <c r="BT56" s="11">
        <v>673869</v>
      </c>
      <c r="BU56" s="11">
        <v>702586</v>
      </c>
      <c r="BV56" s="12">
        <v>4.2615107684134498E-2</v>
      </c>
      <c r="BW56" s="12">
        <v>0.31581089241486698</v>
      </c>
      <c r="BX56" s="12">
        <v>0.284629505141207</v>
      </c>
      <c r="BY56" s="12">
        <v>0.12414727491545099</v>
      </c>
      <c r="BZ56" s="12">
        <v>0.105909308782568</v>
      </c>
      <c r="CA56" s="14">
        <v>0.22188882408895499</v>
      </c>
      <c r="CB56" s="86">
        <f t="shared" si="12"/>
        <v>22040193.169165857</v>
      </c>
      <c r="CC56" s="83">
        <v>7670782.4774997998</v>
      </c>
      <c r="CD56" s="83">
        <v>10228047.526666099</v>
      </c>
      <c r="CE56" s="83">
        <v>2956379.17499995</v>
      </c>
      <c r="CF56" s="83">
        <v>1184983.99000001</v>
      </c>
      <c r="CG56" s="90">
        <f t="shared" si="13"/>
        <v>0.34803608201724812</v>
      </c>
      <c r="CH56" s="90">
        <f t="shared" si="13"/>
        <v>0.46406342486031826</v>
      </c>
      <c r="CI56" s="90">
        <f t="shared" si="10"/>
        <v>0.13413581053073131</v>
      </c>
      <c r="CK56" s="86">
        <f t="shared" si="1"/>
        <v>21075629</v>
      </c>
      <c r="CL56" s="83">
        <v>6369892</v>
      </c>
      <c r="CM56" s="83">
        <v>10578440</v>
      </c>
      <c r="CN56" s="83">
        <v>2955770</v>
      </c>
      <c r="CO56" s="83">
        <v>1171527</v>
      </c>
      <c r="CP56" s="90">
        <f t="shared" si="2"/>
        <v>0.3022397101410354</v>
      </c>
      <c r="CQ56" s="90">
        <f t="shared" si="2"/>
        <v>0.50192760557703875</v>
      </c>
      <c r="CR56" s="90">
        <f t="shared" si="2"/>
        <v>0.14024587356325166</v>
      </c>
    </row>
    <row r="57" spans="1:96" ht="37.5" thickTop="1" thickBot="1" x14ac:dyDescent="0.3">
      <c r="A57" s="3" t="s">
        <v>295</v>
      </c>
      <c r="B57" s="3">
        <v>910</v>
      </c>
      <c r="C57" s="3" t="s">
        <v>126</v>
      </c>
      <c r="D57" s="16">
        <v>39041</v>
      </c>
      <c r="E57" s="16" t="s">
        <v>543</v>
      </c>
      <c r="F57" s="16" t="s">
        <v>402</v>
      </c>
      <c r="G57" s="17">
        <v>14889</v>
      </c>
      <c r="H57" s="17">
        <v>17100</v>
      </c>
      <c r="I57" s="17" t="s">
        <v>583</v>
      </c>
      <c r="J57" s="18"/>
      <c r="K57" s="18" t="s">
        <v>598</v>
      </c>
      <c r="L57" s="18"/>
      <c r="M57" s="18" t="s">
        <v>598</v>
      </c>
      <c r="N57" s="10">
        <v>51052</v>
      </c>
      <c r="O57" s="11">
        <v>20652</v>
      </c>
      <c r="P57" s="11">
        <v>13665</v>
      </c>
      <c r="Q57" s="11">
        <v>6297</v>
      </c>
      <c r="R57" s="12">
        <v>0.404528715819165</v>
      </c>
      <c r="S57" s="12">
        <v>0.26766825981352299</v>
      </c>
      <c r="T57" s="12">
        <v>0.12334482488443201</v>
      </c>
      <c r="U57" s="12">
        <v>0.13686045600564101</v>
      </c>
      <c r="V57" s="12">
        <v>0.144323434929092</v>
      </c>
      <c r="W57" s="12">
        <v>5.8038862336441302E-2</v>
      </c>
      <c r="X57" s="12">
        <v>6.5305962547990301E-2</v>
      </c>
      <c r="Y57" s="13">
        <v>59057</v>
      </c>
      <c r="Z57" s="13">
        <v>83943</v>
      </c>
      <c r="AA57" s="13">
        <v>1071269</v>
      </c>
      <c r="AB57" s="11">
        <v>109197</v>
      </c>
      <c r="AC57" s="11">
        <v>111692</v>
      </c>
      <c r="AD57" s="12">
        <v>2.28486130571353E-2</v>
      </c>
      <c r="AE57" s="12">
        <v>0.34791990823291602</v>
      </c>
      <c r="AF57" s="12">
        <v>0.10753042666007299</v>
      </c>
      <c r="AG57" s="12">
        <v>2.8737053215747699E-2</v>
      </c>
      <c r="AH57" s="12">
        <v>3.8306913193585902E-2</v>
      </c>
      <c r="AI57" s="14">
        <v>0.31001767447823703</v>
      </c>
      <c r="AJ57" s="4">
        <v>104154</v>
      </c>
      <c r="AK57" s="5">
        <v>40942</v>
      </c>
      <c r="AL57" s="5">
        <v>27040</v>
      </c>
      <c r="AM57" s="5">
        <v>12096</v>
      </c>
      <c r="AN57" s="6">
        <v>0.39309099986558399</v>
      </c>
      <c r="AO57" s="6">
        <v>0.25961556925322099</v>
      </c>
      <c r="AP57" s="6">
        <v>0.116135722103808</v>
      </c>
      <c r="AQ57" s="6">
        <v>0.133475430612362</v>
      </c>
      <c r="AR57" s="6">
        <v>0.143479847149413</v>
      </c>
      <c r="AS57" s="6">
        <v>5.5744378516427599E-2</v>
      </c>
      <c r="AT57" s="6">
        <v>6.03913435873802E-2</v>
      </c>
      <c r="AU57" s="7">
        <v>57520</v>
      </c>
      <c r="AV57" s="7">
        <v>81669</v>
      </c>
      <c r="AW57" s="7">
        <v>935480</v>
      </c>
      <c r="AX57" s="5">
        <v>232160</v>
      </c>
      <c r="AY57" s="5">
        <v>237904</v>
      </c>
      <c r="AZ57" s="6">
        <v>2.4741557546519601E-2</v>
      </c>
      <c r="BA57" s="6">
        <v>0.33830469973314498</v>
      </c>
      <c r="BB57" s="6">
        <v>0.13364490006891799</v>
      </c>
      <c r="BC57" s="6">
        <v>2.7554272915230899E-2</v>
      </c>
      <c r="BD57" s="6">
        <v>6.4085113714679495E-2</v>
      </c>
      <c r="BE57" s="8">
        <v>0.29846657477601701</v>
      </c>
      <c r="BF57" s="10">
        <v>148526</v>
      </c>
      <c r="BG57" s="11">
        <v>61071</v>
      </c>
      <c r="BH57" s="11">
        <v>41096</v>
      </c>
      <c r="BI57" s="11">
        <v>18982</v>
      </c>
      <c r="BJ57" s="12">
        <v>0.41118053404791099</v>
      </c>
      <c r="BK57" s="12">
        <v>0.27669229629829101</v>
      </c>
      <c r="BL57" s="12">
        <v>0.127802539622692</v>
      </c>
      <c r="BM57" s="12">
        <v>0.13448823774961999</v>
      </c>
      <c r="BN57" s="12">
        <v>0.14888975667559901</v>
      </c>
      <c r="BO57" s="12">
        <v>6.2608566850248404E-2</v>
      </c>
      <c r="BP57" s="12">
        <v>6.5193972772443903E-2</v>
      </c>
      <c r="BQ57" s="13">
        <v>59803</v>
      </c>
      <c r="BR57" s="13">
        <v>84672</v>
      </c>
      <c r="BS57" s="13">
        <v>965719</v>
      </c>
      <c r="BT57" s="11">
        <v>331312</v>
      </c>
      <c r="BU57" s="11">
        <v>340720</v>
      </c>
      <c r="BV57" s="12">
        <v>2.8396194523591101E-2</v>
      </c>
      <c r="BW57" s="12">
        <v>0.34492967024450699</v>
      </c>
      <c r="BX57" s="12">
        <v>0.132811368136379</v>
      </c>
      <c r="BY57" s="12">
        <v>3.0418457526440301E-2</v>
      </c>
      <c r="BZ57" s="12">
        <v>6.2850123146761999E-2</v>
      </c>
      <c r="CA57" s="14">
        <v>0.29976879799101802</v>
      </c>
      <c r="CB57" s="86">
        <f t="shared" si="12"/>
        <v>20170328.042499371</v>
      </c>
      <c r="CC57" s="83">
        <v>8258870.5324997604</v>
      </c>
      <c r="CD57" s="83">
        <v>7970904.1099996502</v>
      </c>
      <c r="CE57" s="83">
        <v>2903474.1799999499</v>
      </c>
      <c r="CF57" s="83">
        <v>1037079.22000001</v>
      </c>
      <c r="CG57" s="90">
        <f t="shared" si="13"/>
        <v>0.40945643100588747</v>
      </c>
      <c r="CH57" s="90">
        <f t="shared" si="13"/>
        <v>0.39517969629471378</v>
      </c>
      <c r="CI57" s="90">
        <f t="shared" si="10"/>
        <v>0.14394779172070277</v>
      </c>
      <c r="CK57" s="86">
        <f t="shared" si="1"/>
        <v>20028234</v>
      </c>
      <c r="CL57" s="83">
        <v>8145268</v>
      </c>
      <c r="CM57" s="83">
        <v>8052612</v>
      </c>
      <c r="CN57" s="83">
        <v>2825073</v>
      </c>
      <c r="CO57" s="83">
        <v>1005281</v>
      </c>
      <c r="CP57" s="90">
        <f t="shared" si="2"/>
        <v>0.40668927674801481</v>
      </c>
      <c r="CQ57" s="90">
        <f t="shared" si="2"/>
        <v>0.40206300765209751</v>
      </c>
      <c r="CR57" s="90">
        <f t="shared" si="2"/>
        <v>0.14105452332941587</v>
      </c>
    </row>
    <row r="58" spans="1:96" ht="37.5" thickTop="1" thickBot="1" x14ac:dyDescent="0.3">
      <c r="A58" s="3" t="s">
        <v>295</v>
      </c>
      <c r="B58" s="3">
        <v>927</v>
      </c>
      <c r="C58" s="3" t="s">
        <v>142</v>
      </c>
      <c r="D58" s="16">
        <v>42327</v>
      </c>
      <c r="E58" s="16" t="s">
        <v>545</v>
      </c>
      <c r="F58" s="16" t="s">
        <v>418</v>
      </c>
      <c r="G58" s="17">
        <v>18071</v>
      </c>
      <c r="H58" s="17">
        <v>25251</v>
      </c>
      <c r="I58" s="17" t="s">
        <v>584</v>
      </c>
      <c r="J58" s="18"/>
      <c r="K58" s="18" t="s">
        <v>598</v>
      </c>
      <c r="L58" s="18"/>
      <c r="M58" s="18" t="s">
        <v>598</v>
      </c>
      <c r="N58" s="10">
        <v>56955</v>
      </c>
      <c r="O58" s="11">
        <v>25557</v>
      </c>
      <c r="P58" s="11">
        <v>17947</v>
      </c>
      <c r="Q58" s="11">
        <v>8677</v>
      </c>
      <c r="R58" s="12">
        <v>0.44872267579668201</v>
      </c>
      <c r="S58" s="12">
        <v>0.31510841892722302</v>
      </c>
      <c r="T58" s="12">
        <v>0.15234834518479501</v>
      </c>
      <c r="U58" s="12">
        <v>0.13361425686945799</v>
      </c>
      <c r="V58" s="12">
        <v>0.16276007374242801</v>
      </c>
      <c r="W58" s="12">
        <v>7.2969888508471595E-2</v>
      </c>
      <c r="X58" s="12">
        <v>7.93784566763234E-2</v>
      </c>
      <c r="Y58" s="13">
        <v>66144</v>
      </c>
      <c r="Z58" s="13">
        <v>90777</v>
      </c>
      <c r="AA58" s="13">
        <v>910415</v>
      </c>
      <c r="AB58" s="11">
        <v>158998</v>
      </c>
      <c r="AC58" s="11">
        <v>162559</v>
      </c>
      <c r="AD58" s="12">
        <v>2.2396508132177799E-2</v>
      </c>
      <c r="AE58" s="12">
        <v>0.32852372690734999</v>
      </c>
      <c r="AF58" s="12">
        <v>0.31806060453590601</v>
      </c>
      <c r="AG58" s="12">
        <v>5.1818261864929098E-2</v>
      </c>
      <c r="AH58" s="12">
        <v>0.24952515125976399</v>
      </c>
      <c r="AI58" s="14">
        <v>0.26877696574799698</v>
      </c>
      <c r="AJ58" s="4">
        <v>131996</v>
      </c>
      <c r="AK58" s="5">
        <v>56433</v>
      </c>
      <c r="AL58" s="5">
        <v>39885</v>
      </c>
      <c r="AM58" s="5">
        <v>20164</v>
      </c>
      <c r="AN58" s="6">
        <v>0.42753568289948202</v>
      </c>
      <c r="AO58" s="6">
        <v>0.30216824752265198</v>
      </c>
      <c r="AP58" s="6">
        <v>0.15276220491529999</v>
      </c>
      <c r="AQ58" s="6">
        <v>0.12536743537683001</v>
      </c>
      <c r="AR58" s="6">
        <v>0.14940604260735199</v>
      </c>
      <c r="AS58" s="6">
        <v>6.7676293221006698E-2</v>
      </c>
      <c r="AT58" s="6">
        <v>8.5085911694293803E-2</v>
      </c>
      <c r="AU58" s="7">
        <v>62860</v>
      </c>
      <c r="AV58" s="7">
        <v>90672</v>
      </c>
      <c r="AW58" s="7">
        <v>897605</v>
      </c>
      <c r="AX58" s="5">
        <v>354533</v>
      </c>
      <c r="AY58" s="5">
        <v>364563</v>
      </c>
      <c r="AZ58" s="6">
        <v>2.82907373925699E-2</v>
      </c>
      <c r="BA58" s="6">
        <v>0.33576547742936202</v>
      </c>
      <c r="BB58" s="6">
        <v>0.29847151040946801</v>
      </c>
      <c r="BC58" s="6">
        <v>4.9188650985944903E-2</v>
      </c>
      <c r="BD58" s="6">
        <v>0.27134850634496599</v>
      </c>
      <c r="BE58" s="8">
        <v>0.259575272259564</v>
      </c>
      <c r="BF58" s="10">
        <v>207692</v>
      </c>
      <c r="BG58" s="11">
        <v>84146</v>
      </c>
      <c r="BH58" s="11">
        <v>57895</v>
      </c>
      <c r="BI58" s="11">
        <v>27207</v>
      </c>
      <c r="BJ58" s="12">
        <v>0.40514800762667802</v>
      </c>
      <c r="BK58" s="12">
        <v>0.27875411667276501</v>
      </c>
      <c r="BL58" s="12">
        <v>0.13099686073608999</v>
      </c>
      <c r="BM58" s="12">
        <v>0.12639389095391301</v>
      </c>
      <c r="BN58" s="12">
        <v>0.14775725593667499</v>
      </c>
      <c r="BO58" s="12">
        <v>5.9732681085453501E-2</v>
      </c>
      <c r="BP58" s="12">
        <v>7.12641796506365E-2</v>
      </c>
      <c r="BQ58" s="13">
        <v>60018</v>
      </c>
      <c r="BR58" s="13">
        <v>85198</v>
      </c>
      <c r="BS58" s="13">
        <v>796381</v>
      </c>
      <c r="BT58" s="11">
        <v>550602</v>
      </c>
      <c r="BU58" s="11">
        <v>568575</v>
      </c>
      <c r="BV58" s="12">
        <v>3.2642453169439999E-2</v>
      </c>
      <c r="BW58" s="12">
        <v>0.32380756062122001</v>
      </c>
      <c r="BX58" s="12">
        <v>0.282728722380231</v>
      </c>
      <c r="BY58" s="12">
        <v>4.4972593633877102E-2</v>
      </c>
      <c r="BZ58" s="12">
        <v>0.301104972375691</v>
      </c>
      <c r="CA58" s="14">
        <v>0.25886393438454602</v>
      </c>
      <c r="CB58" s="86">
        <f t="shared" si="12"/>
        <v>21780959.586665921</v>
      </c>
      <c r="CC58" s="83">
        <v>7172774.4899997301</v>
      </c>
      <c r="CD58" s="83">
        <v>10889193.556666199</v>
      </c>
      <c r="CE58" s="83">
        <v>2338647.2899999898</v>
      </c>
      <c r="CF58" s="83">
        <v>1380344.25</v>
      </c>
      <c r="CG58" s="90">
        <f t="shared" si="13"/>
        <v>0.32931398001357243</v>
      </c>
      <c r="CH58" s="90">
        <f t="shared" si="13"/>
        <v>0.49994094674012668</v>
      </c>
      <c r="CI58" s="90">
        <f t="shared" si="10"/>
        <v>0.10737117805551991</v>
      </c>
      <c r="CK58" s="86">
        <f t="shared" si="1"/>
        <v>21639858</v>
      </c>
      <c r="CL58" s="83">
        <v>6918655</v>
      </c>
      <c r="CM58" s="83">
        <v>11054868</v>
      </c>
      <c r="CN58" s="83">
        <v>2264008</v>
      </c>
      <c r="CO58" s="83">
        <v>1402327</v>
      </c>
      <c r="CP58" s="90">
        <f t="shared" si="2"/>
        <v>0.31971813308571617</v>
      </c>
      <c r="CQ58" s="90">
        <f t="shared" si="2"/>
        <v>0.51085677179582234</v>
      </c>
      <c r="CR58" s="90">
        <f t="shared" si="2"/>
        <v>0.10462212829677534</v>
      </c>
    </row>
    <row r="59" spans="1:96" ht="49.5" thickTop="1" thickBot="1" x14ac:dyDescent="0.3">
      <c r="A59" s="3" t="s">
        <v>311</v>
      </c>
      <c r="B59" s="3">
        <v>2502</v>
      </c>
      <c r="C59" s="3" t="s">
        <v>268</v>
      </c>
      <c r="D59" s="16">
        <v>44047</v>
      </c>
      <c r="E59" s="16" t="s">
        <v>578</v>
      </c>
      <c r="F59" s="16" t="s">
        <v>516</v>
      </c>
      <c r="G59" s="17">
        <v>23271</v>
      </c>
      <c r="H59" s="17">
        <v>26000</v>
      </c>
      <c r="I59" s="17" t="s">
        <v>585</v>
      </c>
      <c r="J59" s="18"/>
      <c r="K59" s="18" t="s">
        <v>598</v>
      </c>
      <c r="L59" s="18"/>
      <c r="M59" s="18" t="s">
        <v>598</v>
      </c>
      <c r="N59" s="10">
        <v>27686</v>
      </c>
      <c r="O59" s="11">
        <v>14251</v>
      </c>
      <c r="P59" s="11">
        <v>10846</v>
      </c>
      <c r="Q59" s="11">
        <v>6149</v>
      </c>
      <c r="R59" s="12">
        <v>0.51473669002383904</v>
      </c>
      <c r="S59" s="12">
        <v>0.39175034313371399</v>
      </c>
      <c r="T59" s="12">
        <v>0.22209781116809901</v>
      </c>
      <c r="U59" s="12">
        <v>0.122986346890125</v>
      </c>
      <c r="V59" s="12">
        <v>0.169652531965614</v>
      </c>
      <c r="W59" s="12">
        <v>8.7336559994220894E-2</v>
      </c>
      <c r="X59" s="12">
        <v>0.13476125117387799</v>
      </c>
      <c r="Y59" s="13">
        <v>77328</v>
      </c>
      <c r="Z59" s="13">
        <v>110341</v>
      </c>
      <c r="AA59" s="13">
        <v>1299861</v>
      </c>
      <c r="AB59" s="11">
        <v>66400</v>
      </c>
      <c r="AC59" s="11">
        <v>70085</v>
      </c>
      <c r="AD59" s="12">
        <v>5.54969879518072E-2</v>
      </c>
      <c r="AE59" s="12">
        <v>0.49318400000000001</v>
      </c>
      <c r="AF59" s="12">
        <v>5.1234939759036098E-2</v>
      </c>
      <c r="AG59" s="12">
        <v>3.3328313253011999E-2</v>
      </c>
      <c r="AH59" s="12">
        <v>0.112454819277108</v>
      </c>
      <c r="AI59" s="14">
        <v>0.242846385542169</v>
      </c>
      <c r="AJ59" s="4">
        <v>54953</v>
      </c>
      <c r="AK59" s="5">
        <v>25393</v>
      </c>
      <c r="AL59" s="5">
        <v>18233</v>
      </c>
      <c r="AM59" s="5">
        <v>9525</v>
      </c>
      <c r="AN59" s="6">
        <v>0.46208578239586601</v>
      </c>
      <c r="AO59" s="6">
        <v>0.33179262278674498</v>
      </c>
      <c r="AP59" s="6">
        <v>0.173329936491183</v>
      </c>
      <c r="AQ59" s="6">
        <v>0.130293159609121</v>
      </c>
      <c r="AR59" s="6">
        <v>0.15846268629556201</v>
      </c>
      <c r="AS59" s="6">
        <v>7.4791185194620899E-2</v>
      </c>
      <c r="AT59" s="6">
        <v>9.8538751296562505E-2</v>
      </c>
      <c r="AU59" s="7">
        <v>67352</v>
      </c>
      <c r="AV59" s="7">
        <v>95730</v>
      </c>
      <c r="AW59" s="7">
        <v>972716</v>
      </c>
      <c r="AX59" s="5">
        <v>135862</v>
      </c>
      <c r="AY59" s="5">
        <v>142886</v>
      </c>
      <c r="AZ59" s="6">
        <v>5.1699518629197298E-2</v>
      </c>
      <c r="BA59" s="6">
        <v>0.44368701837581498</v>
      </c>
      <c r="BB59" s="6">
        <v>5.8272364605261202E-2</v>
      </c>
      <c r="BC59" s="6">
        <v>2.9603568326684399E-2</v>
      </c>
      <c r="BD59" s="6">
        <v>0.14882012630463301</v>
      </c>
      <c r="BE59" s="8">
        <v>0.22129808187719899</v>
      </c>
      <c r="BF59" s="10">
        <v>76473</v>
      </c>
      <c r="BG59" s="11">
        <v>32348</v>
      </c>
      <c r="BH59" s="11">
        <v>22656</v>
      </c>
      <c r="BI59" s="11">
        <v>11400</v>
      </c>
      <c r="BJ59" s="12">
        <v>0.42299896695565797</v>
      </c>
      <c r="BK59" s="12">
        <v>0.29626142560119301</v>
      </c>
      <c r="BL59" s="12">
        <v>0.149072221568397</v>
      </c>
      <c r="BM59" s="12">
        <v>0.12673754135446499</v>
      </c>
      <c r="BN59" s="12">
        <v>0.14718920403279601</v>
      </c>
      <c r="BO59" s="12">
        <v>6.7461718515031494E-2</v>
      </c>
      <c r="BP59" s="12">
        <v>8.1610503053365202E-2</v>
      </c>
      <c r="BQ59" s="13">
        <v>60197</v>
      </c>
      <c r="BR59" s="13">
        <v>87190</v>
      </c>
      <c r="BS59" s="13">
        <v>820883</v>
      </c>
      <c r="BT59" s="11">
        <v>191950</v>
      </c>
      <c r="BU59" s="11">
        <v>201607</v>
      </c>
      <c r="BV59" s="12">
        <v>5.0309976556394902E-2</v>
      </c>
      <c r="BW59" s="12">
        <v>0.37874661520744501</v>
      </c>
      <c r="BX59" s="12">
        <v>5.1690544412607502E-2</v>
      </c>
      <c r="BY59" s="12">
        <v>2.38030737171138E-2</v>
      </c>
      <c r="BZ59" s="12">
        <v>0.241213857775462</v>
      </c>
      <c r="CA59" s="14">
        <v>0.22567335243552999</v>
      </c>
      <c r="CB59" s="86">
        <f t="shared" si="12"/>
        <v>21318539.092388131</v>
      </c>
      <c r="CC59" s="83">
        <v>8191269.6151663205</v>
      </c>
      <c r="CD59" s="83">
        <v>9060172.8399995994</v>
      </c>
      <c r="CE59" s="83">
        <v>2458712.86499999</v>
      </c>
      <c r="CF59" s="83">
        <v>1608383.77222222</v>
      </c>
      <c r="CG59" s="90">
        <f t="shared" si="13"/>
        <v>0.38423222058827877</v>
      </c>
      <c r="CH59" s="90">
        <f t="shared" si="13"/>
        <v>0.42499032418382598</v>
      </c>
      <c r="CI59" s="90">
        <f t="shared" si="13"/>
        <v>0.11533214608865404</v>
      </c>
      <c r="CK59" s="86">
        <f t="shared" si="1"/>
        <v>21541444</v>
      </c>
      <c r="CL59" s="83">
        <v>8206252</v>
      </c>
      <c r="CM59" s="83">
        <v>9256175</v>
      </c>
      <c r="CN59" s="83">
        <v>2493243</v>
      </c>
      <c r="CO59" s="83">
        <v>1585774</v>
      </c>
      <c r="CP59" s="90">
        <f t="shared" si="2"/>
        <v>0.3809518062020355</v>
      </c>
      <c r="CQ59" s="90">
        <f t="shared" si="2"/>
        <v>0.42969148214947894</v>
      </c>
      <c r="CR59" s="90">
        <f t="shared" si="2"/>
        <v>0.11574168379798494</v>
      </c>
    </row>
    <row r="60" spans="1:96" ht="49.5" thickTop="1" thickBot="1" x14ac:dyDescent="0.3">
      <c r="A60" s="3" t="s">
        <v>298</v>
      </c>
      <c r="B60" s="3">
        <v>1202</v>
      </c>
      <c r="C60" s="3" t="s">
        <v>206</v>
      </c>
      <c r="D60" s="16">
        <v>40409</v>
      </c>
      <c r="E60" s="16" t="s">
        <v>558</v>
      </c>
      <c r="F60" s="16" t="s">
        <v>464</v>
      </c>
      <c r="G60" s="17">
        <v>17115</v>
      </c>
      <c r="H60" s="17">
        <v>20598</v>
      </c>
      <c r="I60" s="17" t="s">
        <v>584</v>
      </c>
      <c r="J60" s="18"/>
      <c r="K60" s="18" t="s">
        <v>598</v>
      </c>
      <c r="L60" s="18"/>
      <c r="M60" s="18" t="s">
        <v>598</v>
      </c>
      <c r="N60" s="10">
        <v>56030</v>
      </c>
      <c r="O60" s="11">
        <v>25184</v>
      </c>
      <c r="P60" s="11">
        <v>17466</v>
      </c>
      <c r="Q60" s="11">
        <v>8335</v>
      </c>
      <c r="R60" s="12">
        <v>0.449473496341246</v>
      </c>
      <c r="S60" s="12">
        <v>0.31172586114581502</v>
      </c>
      <c r="T60" s="12">
        <v>0.148759593075138</v>
      </c>
      <c r="U60" s="12">
        <v>0.13774763519543101</v>
      </c>
      <c r="V60" s="12">
        <v>0.16296626807067599</v>
      </c>
      <c r="W60" s="12">
        <v>7.2996608959485995E-2</v>
      </c>
      <c r="X60" s="12">
        <v>7.5762984115652299E-2</v>
      </c>
      <c r="Y60" s="13">
        <v>66746</v>
      </c>
      <c r="Z60" s="13">
        <v>90575</v>
      </c>
      <c r="AA60" s="13">
        <v>713676</v>
      </c>
      <c r="AB60" s="11">
        <v>144246</v>
      </c>
      <c r="AC60" s="11">
        <v>157324</v>
      </c>
      <c r="AD60" s="12">
        <v>9.0664559155886504E-2</v>
      </c>
      <c r="AE60" s="12">
        <v>0.31791405594750599</v>
      </c>
      <c r="AF60" s="12">
        <v>0.26380627539065199</v>
      </c>
      <c r="AG60" s="12">
        <v>8.7593416801852397E-2</v>
      </c>
      <c r="AH60" s="12">
        <v>9.8845028631643198E-2</v>
      </c>
      <c r="AI60" s="14">
        <v>0.236408635248118</v>
      </c>
      <c r="AJ60" s="4">
        <v>122940</v>
      </c>
      <c r="AK60" s="5">
        <v>52661</v>
      </c>
      <c r="AL60" s="5">
        <v>36107</v>
      </c>
      <c r="AM60" s="5">
        <v>16513</v>
      </c>
      <c r="AN60" s="6">
        <v>0.42834716121685401</v>
      </c>
      <c r="AO60" s="6">
        <v>0.293696111924516</v>
      </c>
      <c r="AP60" s="6">
        <v>0.134317553278022</v>
      </c>
      <c r="AQ60" s="6">
        <v>0.13465104929233801</v>
      </c>
      <c r="AR60" s="6">
        <v>0.159378558646494</v>
      </c>
      <c r="AS60" s="6">
        <v>6.4039368797787502E-2</v>
      </c>
      <c r="AT60" s="6">
        <v>7.0278184480234304E-2</v>
      </c>
      <c r="AU60" s="7">
        <v>63610</v>
      </c>
      <c r="AV60" s="7">
        <v>87053</v>
      </c>
      <c r="AW60" s="7">
        <v>764478</v>
      </c>
      <c r="AX60" s="5">
        <v>316379</v>
      </c>
      <c r="AY60" s="5">
        <v>340586</v>
      </c>
      <c r="AZ60" s="6">
        <v>7.6512663609152307E-2</v>
      </c>
      <c r="BA60" s="6">
        <v>0.28355471891543199</v>
      </c>
      <c r="BB60" s="6">
        <v>0.27623198758451101</v>
      </c>
      <c r="BC60" s="6">
        <v>8.7233982027884294E-2</v>
      </c>
      <c r="BD60" s="6">
        <v>9.1937201900252494E-2</v>
      </c>
      <c r="BE60" s="8">
        <v>0.24711185002797301</v>
      </c>
      <c r="BF60" s="10">
        <v>229532</v>
      </c>
      <c r="BG60" s="11">
        <v>93076</v>
      </c>
      <c r="BH60" s="11">
        <v>62905</v>
      </c>
      <c r="BI60" s="11">
        <v>27744</v>
      </c>
      <c r="BJ60" s="12">
        <v>0.40550337207883902</v>
      </c>
      <c r="BK60" s="12">
        <v>0.27405764773539198</v>
      </c>
      <c r="BL60" s="12">
        <v>0.12087203527177</v>
      </c>
      <c r="BM60" s="12">
        <v>0.13144572434344701</v>
      </c>
      <c r="BN60" s="12">
        <v>0.153185612463622</v>
      </c>
      <c r="BO60" s="12">
        <v>5.9190004008155703E-2</v>
      </c>
      <c r="BP60" s="12">
        <v>6.1682031263614698E-2</v>
      </c>
      <c r="BQ60" s="13">
        <v>60351</v>
      </c>
      <c r="BR60" s="13">
        <v>82827</v>
      </c>
      <c r="BS60" s="13">
        <v>664029</v>
      </c>
      <c r="BT60" s="11">
        <v>602309</v>
      </c>
      <c r="BU60" s="11">
        <v>647125</v>
      </c>
      <c r="BV60" s="12">
        <v>7.4406990431821501E-2</v>
      </c>
      <c r="BW60" s="12">
        <v>0.26792513326119199</v>
      </c>
      <c r="BX60" s="12">
        <v>0.306148505169274</v>
      </c>
      <c r="BY60" s="12">
        <v>9.3790728679133101E-2</v>
      </c>
      <c r="BZ60" s="12">
        <v>9.6194810305009606E-2</v>
      </c>
      <c r="CA60" s="14">
        <v>0.24064558225097099</v>
      </c>
      <c r="CB60" s="86">
        <f t="shared" si="12"/>
        <v>20479718.315332692</v>
      </c>
      <c r="CC60" s="83">
        <v>6937087.0253331298</v>
      </c>
      <c r="CD60" s="83">
        <v>9655523.9199995808</v>
      </c>
      <c r="CE60" s="83">
        <v>2531613.3599999798</v>
      </c>
      <c r="CF60" s="83">
        <v>1355494.01</v>
      </c>
      <c r="CG60" s="90">
        <f t="shared" si="13"/>
        <v>0.33872961134135782</v>
      </c>
      <c r="CH60" s="90">
        <f t="shared" si="13"/>
        <v>0.47146761353503153</v>
      </c>
      <c r="CI60" s="90">
        <f t="shared" si="13"/>
        <v>0.1236156338197591</v>
      </c>
      <c r="CK60" s="86">
        <f t="shared" si="1"/>
        <v>20232124</v>
      </c>
      <c r="CL60" s="83">
        <v>6757323</v>
      </c>
      <c r="CM60" s="83">
        <v>9681512</v>
      </c>
      <c r="CN60" s="83">
        <v>2475905</v>
      </c>
      <c r="CO60" s="83">
        <v>1317384</v>
      </c>
      <c r="CP60" s="90">
        <f t="shared" si="2"/>
        <v>0.33398979761096759</v>
      </c>
      <c r="CQ60" s="90">
        <f t="shared" si="2"/>
        <v>0.47852178051103283</v>
      </c>
      <c r="CR60" s="90">
        <f t="shared" si="2"/>
        <v>0.12237494194875437</v>
      </c>
    </row>
    <row r="61" spans="1:96" ht="37.5" thickTop="1" thickBot="1" x14ac:dyDescent="0.3">
      <c r="A61" s="3" t="s">
        <v>295</v>
      </c>
      <c r="B61" s="3">
        <v>906</v>
      </c>
      <c r="C61" s="3" t="s">
        <v>122</v>
      </c>
      <c r="D61" s="16">
        <v>39367</v>
      </c>
      <c r="E61" s="16" t="s">
        <v>545</v>
      </c>
      <c r="F61" s="16" t="s">
        <v>399</v>
      </c>
      <c r="G61" s="17">
        <v>20993</v>
      </c>
      <c r="H61" s="17">
        <v>25000</v>
      </c>
      <c r="I61" s="17" t="s">
        <v>585</v>
      </c>
      <c r="J61" s="18"/>
      <c r="K61" s="18" t="s">
        <v>598</v>
      </c>
      <c r="L61" s="18"/>
      <c r="M61" s="18" t="s">
        <v>598</v>
      </c>
      <c r="N61" s="10">
        <v>51911</v>
      </c>
      <c r="O61" s="11">
        <v>20071</v>
      </c>
      <c r="P61" s="11">
        <v>12980</v>
      </c>
      <c r="Q61" s="11">
        <v>5900</v>
      </c>
      <c r="R61" s="12">
        <v>0.386642522779372</v>
      </c>
      <c r="S61" s="12">
        <v>0.25004334341469098</v>
      </c>
      <c r="T61" s="12">
        <v>0.113656065188496</v>
      </c>
      <c r="U61" s="12">
        <v>0.13659917936468199</v>
      </c>
      <c r="V61" s="12">
        <v>0.13638727822619501</v>
      </c>
      <c r="W61" s="12">
        <v>5.4612702510065302E-2</v>
      </c>
      <c r="X61" s="12">
        <v>5.9043362678430397E-2</v>
      </c>
      <c r="Y61" s="13">
        <v>57992</v>
      </c>
      <c r="Z61" s="13">
        <v>81260</v>
      </c>
      <c r="AA61" s="13">
        <v>866664</v>
      </c>
      <c r="AB61" s="11">
        <v>121653</v>
      </c>
      <c r="AC61" s="11">
        <v>129188</v>
      </c>
      <c r="AD61" s="12">
        <v>6.19384643206497E-2</v>
      </c>
      <c r="AE61" s="12">
        <v>0.30855848533125302</v>
      </c>
      <c r="AF61" s="12">
        <v>0.18812524146547999</v>
      </c>
      <c r="AG61" s="12">
        <v>2.5243931510114798E-2</v>
      </c>
      <c r="AH61" s="12">
        <v>0.284884055469245</v>
      </c>
      <c r="AI61" s="14">
        <v>0.25751111768719198</v>
      </c>
      <c r="AJ61" s="4">
        <v>107171</v>
      </c>
      <c r="AK61" s="5">
        <v>46083</v>
      </c>
      <c r="AL61" s="5">
        <v>31137</v>
      </c>
      <c r="AM61" s="5">
        <v>14547</v>
      </c>
      <c r="AN61" s="6">
        <v>0.42999505463231702</v>
      </c>
      <c r="AO61" s="6">
        <v>0.29053568595982099</v>
      </c>
      <c r="AP61" s="6">
        <v>0.13573634658629699</v>
      </c>
      <c r="AQ61" s="6">
        <v>0.139459368672495</v>
      </c>
      <c r="AR61" s="6">
        <v>0.154799339373525</v>
      </c>
      <c r="AS61" s="6">
        <v>6.1910404866988303E-2</v>
      </c>
      <c r="AT61" s="6">
        <v>7.3825941719308397E-2</v>
      </c>
      <c r="AU61" s="7">
        <v>63029</v>
      </c>
      <c r="AV61" s="7">
        <v>88700</v>
      </c>
      <c r="AW61" s="7">
        <v>1144939</v>
      </c>
      <c r="AX61" s="5">
        <v>252867</v>
      </c>
      <c r="AY61" s="5">
        <v>266303</v>
      </c>
      <c r="AZ61" s="6">
        <v>5.3134651813008402E-2</v>
      </c>
      <c r="BA61" s="6">
        <v>0.350837087339474</v>
      </c>
      <c r="BB61" s="6">
        <v>0.19136542134798101</v>
      </c>
      <c r="BC61" s="6">
        <v>2.63023644840964E-2</v>
      </c>
      <c r="BD61" s="6">
        <v>0.24495881234008399</v>
      </c>
      <c r="BE61" s="8">
        <v>0.25218395441081698</v>
      </c>
      <c r="BF61" s="10">
        <v>188790</v>
      </c>
      <c r="BG61" s="11">
        <v>78373</v>
      </c>
      <c r="BH61" s="11">
        <v>53700</v>
      </c>
      <c r="BI61" s="11">
        <v>25363</v>
      </c>
      <c r="BJ61" s="12">
        <v>0.41513321680173698</v>
      </c>
      <c r="BK61" s="12">
        <v>0.284443031940251</v>
      </c>
      <c r="BL61" s="12">
        <v>0.13434503946183601</v>
      </c>
      <c r="BM61" s="12">
        <v>0.13069018486148601</v>
      </c>
      <c r="BN61" s="12">
        <v>0.15009799247841499</v>
      </c>
      <c r="BO61" s="12">
        <v>5.92510196514646E-2</v>
      </c>
      <c r="BP61" s="12">
        <v>7.5094019810371296E-2</v>
      </c>
      <c r="BQ61" s="13">
        <v>60496</v>
      </c>
      <c r="BR61" s="13">
        <v>87334</v>
      </c>
      <c r="BS61" s="13">
        <v>1099529</v>
      </c>
      <c r="BT61" s="11">
        <v>457708</v>
      </c>
      <c r="BU61" s="11">
        <v>480869</v>
      </c>
      <c r="BV61" s="12">
        <v>5.0602130616025899E-2</v>
      </c>
      <c r="BW61" s="12">
        <v>0.34119187188177302</v>
      </c>
      <c r="BX61" s="12">
        <v>0.247786798570268</v>
      </c>
      <c r="BY61" s="12">
        <v>2.7222596065613901E-2</v>
      </c>
      <c r="BZ61" s="12">
        <v>0.21615090843944201</v>
      </c>
      <c r="CA61" s="14">
        <v>0.24206262507974499</v>
      </c>
      <c r="CB61" s="86">
        <f t="shared" si="12"/>
        <v>28446584.83133224</v>
      </c>
      <c r="CC61" s="83">
        <v>11580212.1513329</v>
      </c>
      <c r="CD61" s="83">
        <v>12275422.7499994</v>
      </c>
      <c r="CE61" s="83">
        <v>3159903.9999999399</v>
      </c>
      <c r="CF61" s="83">
        <v>1431045.93</v>
      </c>
      <c r="CG61" s="90">
        <f t="shared" si="13"/>
        <v>0.40708620103239873</v>
      </c>
      <c r="CH61" s="90">
        <f t="shared" si="13"/>
        <v>0.43152535964453437</v>
      </c>
      <c r="CI61" s="90">
        <f t="shared" si="13"/>
        <v>0.11108201630304287</v>
      </c>
      <c r="CK61" s="86">
        <f t="shared" si="1"/>
        <v>27488231</v>
      </c>
      <c r="CL61" s="83">
        <v>11042004</v>
      </c>
      <c r="CM61" s="83">
        <v>12068691</v>
      </c>
      <c r="CN61" s="83">
        <v>3031797</v>
      </c>
      <c r="CO61" s="83">
        <v>1345739</v>
      </c>
      <c r="CP61" s="90">
        <f t="shared" si="2"/>
        <v>0.40169933088818993</v>
      </c>
      <c r="CQ61" s="90">
        <f t="shared" si="2"/>
        <v>0.43904938808175759</v>
      </c>
      <c r="CR61" s="90">
        <f t="shared" si="2"/>
        <v>0.11029436561414228</v>
      </c>
    </row>
    <row r="62" spans="1:96" ht="37.5" thickTop="1" thickBot="1" x14ac:dyDescent="0.3">
      <c r="A62" s="3" t="s">
        <v>298</v>
      </c>
      <c r="B62" s="3">
        <v>1205</v>
      </c>
      <c r="C62" s="3" t="s">
        <v>209</v>
      </c>
      <c r="D62" s="16">
        <v>42670</v>
      </c>
      <c r="E62" s="16" t="s">
        <v>558</v>
      </c>
      <c r="F62" s="16" t="s">
        <v>467</v>
      </c>
      <c r="G62" s="17">
        <v>18203</v>
      </c>
      <c r="H62" s="17">
        <v>22000</v>
      </c>
      <c r="I62" s="17" t="s">
        <v>584</v>
      </c>
      <c r="J62" s="18"/>
      <c r="K62" s="18" t="s">
        <v>519</v>
      </c>
      <c r="L62" s="18"/>
      <c r="M62" s="18" t="s">
        <v>598</v>
      </c>
      <c r="N62" s="10">
        <v>28725</v>
      </c>
      <c r="O62" s="11">
        <v>12356</v>
      </c>
      <c r="P62" s="11">
        <v>8278</v>
      </c>
      <c r="Q62" s="11">
        <v>3624</v>
      </c>
      <c r="R62" s="12">
        <v>0.43014795474325501</v>
      </c>
      <c r="S62" s="12">
        <v>0.28818102697998299</v>
      </c>
      <c r="T62" s="12">
        <v>0.12616187989556099</v>
      </c>
      <c r="U62" s="12">
        <v>0.14196692776327199</v>
      </c>
      <c r="V62" s="12">
        <v>0.162019147084421</v>
      </c>
      <c r="W62" s="12">
        <v>5.8833768494342902E-2</v>
      </c>
      <c r="X62" s="12">
        <v>6.7328111401218499E-2</v>
      </c>
      <c r="Y62" s="13">
        <v>63792</v>
      </c>
      <c r="Z62" s="13">
        <v>85859</v>
      </c>
      <c r="AA62" s="13">
        <v>556707</v>
      </c>
      <c r="AB62" s="11">
        <v>69501</v>
      </c>
      <c r="AC62" s="11">
        <v>74961</v>
      </c>
      <c r="AD62" s="12">
        <v>7.8560020719126294E-2</v>
      </c>
      <c r="AE62" s="12">
        <v>0.276310346865213</v>
      </c>
      <c r="AF62" s="12">
        <v>0.27098890663443698</v>
      </c>
      <c r="AG62" s="12">
        <v>0.13742248312973901</v>
      </c>
      <c r="AH62" s="12">
        <v>0.11677529819714801</v>
      </c>
      <c r="AI62" s="14">
        <v>0.24307563919943601</v>
      </c>
      <c r="AJ62" s="4">
        <v>144212</v>
      </c>
      <c r="AK62" s="5">
        <v>54614</v>
      </c>
      <c r="AL62" s="5">
        <v>35249</v>
      </c>
      <c r="AM62" s="5">
        <v>15201</v>
      </c>
      <c r="AN62" s="6">
        <v>0.37870634898621502</v>
      </c>
      <c r="AO62" s="6">
        <v>0.24442487449033401</v>
      </c>
      <c r="AP62" s="6">
        <v>0.10540731700552</v>
      </c>
      <c r="AQ62" s="6">
        <v>0.13428147449588099</v>
      </c>
      <c r="AR62" s="6">
        <v>0.13901755748481401</v>
      </c>
      <c r="AS62" s="6">
        <v>5.2096912878262597E-2</v>
      </c>
      <c r="AT62" s="6">
        <v>5.3310404127257099E-2</v>
      </c>
      <c r="AU62" s="7">
        <v>57086</v>
      </c>
      <c r="AV62" s="7">
        <v>77714</v>
      </c>
      <c r="AW62" s="7">
        <v>483096</v>
      </c>
      <c r="AX62" s="5">
        <v>354245</v>
      </c>
      <c r="AY62" s="5">
        <v>380917</v>
      </c>
      <c r="AZ62" s="6">
        <v>7.5292523535970907E-2</v>
      </c>
      <c r="BA62" s="6">
        <v>0.26729619286536999</v>
      </c>
      <c r="BB62" s="6">
        <v>0.29301472144984397</v>
      </c>
      <c r="BC62" s="6">
        <v>0.148860252085421</v>
      </c>
      <c r="BD62" s="6">
        <v>0.121684145153778</v>
      </c>
      <c r="BE62" s="8">
        <v>0.23224039859419299</v>
      </c>
      <c r="BF62" s="10">
        <v>298408</v>
      </c>
      <c r="BG62" s="11">
        <v>121885</v>
      </c>
      <c r="BH62" s="11">
        <v>81289</v>
      </c>
      <c r="BI62" s="11">
        <v>37137</v>
      </c>
      <c r="BJ62" s="12">
        <v>0.408450845821828</v>
      </c>
      <c r="BK62" s="12">
        <v>0.27240891665102801</v>
      </c>
      <c r="BL62" s="12">
        <v>0.124450416878904</v>
      </c>
      <c r="BM62" s="12">
        <v>0.13604192917079999</v>
      </c>
      <c r="BN62" s="12">
        <v>0.147958499772124</v>
      </c>
      <c r="BO62" s="12">
        <v>5.9334870378810203E-2</v>
      </c>
      <c r="BP62" s="12">
        <v>6.5115546500093796E-2</v>
      </c>
      <c r="BQ62" s="13">
        <v>60598</v>
      </c>
      <c r="BR62" s="13">
        <v>83294</v>
      </c>
      <c r="BS62" s="13">
        <v>605399</v>
      </c>
      <c r="BT62" s="11">
        <v>763452</v>
      </c>
      <c r="BU62" s="11">
        <v>828482</v>
      </c>
      <c r="BV62" s="12">
        <v>8.5178897952982002E-2</v>
      </c>
      <c r="BW62" s="12">
        <v>0.28121047626960599</v>
      </c>
      <c r="BX62" s="12">
        <v>0.30315461875795702</v>
      </c>
      <c r="BY62" s="12">
        <v>0.14247392108475701</v>
      </c>
      <c r="BZ62" s="12">
        <v>0.10620576015256999</v>
      </c>
      <c r="CA62" s="14">
        <v>0.23202768477913499</v>
      </c>
      <c r="CB62" s="86">
        <f t="shared" si="12"/>
        <v>25692690.47333242</v>
      </c>
      <c r="CC62" s="83">
        <v>8390727.5333330501</v>
      </c>
      <c r="CD62" s="83">
        <v>12981457.049999399</v>
      </c>
      <c r="CE62" s="83">
        <v>2495684.2699999702</v>
      </c>
      <c r="CF62" s="83">
        <v>1824821.62</v>
      </c>
      <c r="CG62" s="90">
        <f t="shared" si="13"/>
        <v>0.32658033778292533</v>
      </c>
      <c r="CH62" s="90">
        <f t="shared" si="13"/>
        <v>0.50525876468536557</v>
      </c>
      <c r="CI62" s="90">
        <f t="shared" si="13"/>
        <v>9.7135964510620301E-2</v>
      </c>
      <c r="CK62" s="86">
        <f t="shared" si="1"/>
        <v>25120661</v>
      </c>
      <c r="CL62" s="83">
        <v>8033242</v>
      </c>
      <c r="CM62" s="83">
        <v>12810391</v>
      </c>
      <c r="CN62" s="83">
        <v>2473224</v>
      </c>
      <c r="CO62" s="83">
        <v>1803804</v>
      </c>
      <c r="CP62" s="90">
        <f t="shared" si="2"/>
        <v>0.31978625084745976</v>
      </c>
      <c r="CQ62" s="90">
        <f t="shared" si="2"/>
        <v>0.50995437580245206</v>
      </c>
      <c r="CR62" s="90">
        <f t="shared" si="2"/>
        <v>9.8453778744118231E-2</v>
      </c>
    </row>
    <row r="63" spans="1:96" ht="37.5" thickTop="1" thickBot="1" x14ac:dyDescent="0.3">
      <c r="A63" s="3" t="s">
        <v>295</v>
      </c>
      <c r="B63" s="3">
        <v>928</v>
      </c>
      <c r="C63" s="3" t="s">
        <v>143</v>
      </c>
      <c r="D63" s="16">
        <v>42579</v>
      </c>
      <c r="E63" s="16" t="s">
        <v>543</v>
      </c>
      <c r="F63" s="16" t="s">
        <v>419</v>
      </c>
      <c r="G63" s="17">
        <v>18660</v>
      </c>
      <c r="H63" s="17">
        <v>28000</v>
      </c>
      <c r="I63" s="17" t="s">
        <v>584</v>
      </c>
      <c r="J63" s="18"/>
      <c r="K63" s="18" t="s">
        <v>598</v>
      </c>
      <c r="L63" s="18"/>
      <c r="M63" s="18" t="s">
        <v>598</v>
      </c>
      <c r="N63" s="10">
        <v>40335</v>
      </c>
      <c r="O63" s="11">
        <v>14135</v>
      </c>
      <c r="P63" s="11">
        <v>8537</v>
      </c>
      <c r="Q63" s="11">
        <v>3207</v>
      </c>
      <c r="R63" s="12">
        <v>0.35044006446014597</v>
      </c>
      <c r="S63" s="12">
        <v>0.21165241105739399</v>
      </c>
      <c r="T63" s="12">
        <v>7.9509111193752299E-2</v>
      </c>
      <c r="U63" s="12">
        <v>0.13878765340275201</v>
      </c>
      <c r="V63" s="12">
        <v>0.13214329986364201</v>
      </c>
      <c r="W63" s="12">
        <v>4.5270856576174502E-2</v>
      </c>
      <c r="X63" s="12">
        <v>3.4238254617577797E-2</v>
      </c>
      <c r="Y63" s="13">
        <v>57604</v>
      </c>
      <c r="Z63" s="13">
        <v>73250</v>
      </c>
      <c r="AA63" s="13">
        <v>347577</v>
      </c>
      <c r="AB63" s="11">
        <v>99390</v>
      </c>
      <c r="AC63" s="11">
        <v>108411</v>
      </c>
      <c r="AD63" s="12">
        <v>9.0763658315725901E-2</v>
      </c>
      <c r="AE63" s="12">
        <v>0.34396570837336499</v>
      </c>
      <c r="AF63" s="12">
        <v>0.30209276587181799</v>
      </c>
      <c r="AG63" s="12">
        <v>4.5064895864775099E-2</v>
      </c>
      <c r="AH63" s="12">
        <v>0.226954421974042</v>
      </c>
      <c r="AI63" s="14">
        <v>0.20657007747258299</v>
      </c>
      <c r="AJ63" s="4">
        <v>81740</v>
      </c>
      <c r="AK63" s="5">
        <v>31547</v>
      </c>
      <c r="AL63" s="5">
        <v>19708</v>
      </c>
      <c r="AM63" s="5">
        <v>7648</v>
      </c>
      <c r="AN63" s="6">
        <v>0.38594323464643998</v>
      </c>
      <c r="AO63" s="6">
        <v>0.24110594568142901</v>
      </c>
      <c r="AP63" s="6">
        <v>9.3564962074871499E-2</v>
      </c>
      <c r="AQ63" s="6">
        <v>0.144837288965011</v>
      </c>
      <c r="AR63" s="6">
        <v>0.14754098360655701</v>
      </c>
      <c r="AS63" s="6">
        <v>5.27648642035723E-2</v>
      </c>
      <c r="AT63" s="6">
        <v>4.08000978712992E-2</v>
      </c>
      <c r="AU63" s="7">
        <v>59842</v>
      </c>
      <c r="AV63" s="7">
        <v>76937</v>
      </c>
      <c r="AW63" s="7">
        <v>537330</v>
      </c>
      <c r="AX63" s="5">
        <v>217720</v>
      </c>
      <c r="AY63" s="5">
        <v>236167</v>
      </c>
      <c r="AZ63" s="6">
        <v>8.4728091126217195E-2</v>
      </c>
      <c r="BA63" s="6">
        <v>0.30442595232569702</v>
      </c>
      <c r="BB63" s="6">
        <v>0.27982730112070497</v>
      </c>
      <c r="BC63" s="6">
        <v>4.02994672055852E-2</v>
      </c>
      <c r="BD63" s="6">
        <v>0.19626584604078601</v>
      </c>
      <c r="BE63" s="8">
        <v>0.23500826749954101</v>
      </c>
      <c r="BF63" s="10">
        <v>121333</v>
      </c>
      <c r="BG63" s="11">
        <v>47977</v>
      </c>
      <c r="BH63" s="11">
        <v>30739</v>
      </c>
      <c r="BI63" s="11">
        <v>12251</v>
      </c>
      <c r="BJ63" s="12">
        <v>0.39541592147231203</v>
      </c>
      <c r="BK63" s="12">
        <v>0.253344102593688</v>
      </c>
      <c r="BL63" s="12">
        <v>0.100970057610048</v>
      </c>
      <c r="BM63" s="12">
        <v>0.142071818878623</v>
      </c>
      <c r="BN63" s="12">
        <v>0.15237404498363999</v>
      </c>
      <c r="BO63" s="12">
        <v>5.6126527820131403E-2</v>
      </c>
      <c r="BP63" s="12">
        <v>4.4843529789917E-2</v>
      </c>
      <c r="BQ63" s="13">
        <v>60608</v>
      </c>
      <c r="BR63" s="13">
        <v>78687</v>
      </c>
      <c r="BS63" s="13">
        <v>603313</v>
      </c>
      <c r="BT63" s="11">
        <v>333698</v>
      </c>
      <c r="BU63" s="11">
        <v>362656</v>
      </c>
      <c r="BV63" s="12">
        <v>8.6779063704307505E-2</v>
      </c>
      <c r="BW63" s="12">
        <v>0.29745198200988499</v>
      </c>
      <c r="BX63" s="12">
        <v>0.27012748053629299</v>
      </c>
      <c r="BY63" s="12">
        <v>3.9526757727046599E-2</v>
      </c>
      <c r="BZ63" s="12">
        <v>0.19447524408297301</v>
      </c>
      <c r="CA63" s="14">
        <v>0.23911740555831901</v>
      </c>
      <c r="CB63" s="86">
        <f t="shared" si="12"/>
        <v>23627959.600237157</v>
      </c>
      <c r="CC63" s="83">
        <v>7039858.3202378396</v>
      </c>
      <c r="CD63" s="83">
        <v>11929080.5099994</v>
      </c>
      <c r="CE63" s="83">
        <v>3448425.6899999101</v>
      </c>
      <c r="CF63" s="83">
        <v>1210595.0800000101</v>
      </c>
      <c r="CG63" s="90">
        <f t="shared" si="13"/>
        <v>0.2979460960381522</v>
      </c>
      <c r="CH63" s="90">
        <f t="shared" si="13"/>
        <v>0.50487137746247313</v>
      </c>
      <c r="CI63" s="90">
        <f t="shared" si="13"/>
        <v>0.14594682521656663</v>
      </c>
      <c r="CK63" s="86">
        <f t="shared" si="1"/>
        <v>23859158</v>
      </c>
      <c r="CL63" s="83">
        <v>6838674</v>
      </c>
      <c r="CM63" s="83">
        <v>12358107</v>
      </c>
      <c r="CN63" s="83">
        <v>3424479</v>
      </c>
      <c r="CO63" s="83">
        <v>1237898</v>
      </c>
      <c r="CP63" s="90">
        <f t="shared" si="2"/>
        <v>0.28662679546361192</v>
      </c>
      <c r="CQ63" s="90">
        <f t="shared" si="2"/>
        <v>0.51796073440646984</v>
      </c>
      <c r="CR63" s="90">
        <f t="shared" si="2"/>
        <v>0.14352891246204078</v>
      </c>
    </row>
    <row r="64" spans="1:96" ht="61.5" thickTop="1" thickBot="1" x14ac:dyDescent="0.3">
      <c r="A64" s="3" t="s">
        <v>295</v>
      </c>
      <c r="B64" s="3">
        <v>907</v>
      </c>
      <c r="C64" s="3" t="s">
        <v>123</v>
      </c>
      <c r="D64" s="16">
        <v>38876</v>
      </c>
      <c r="E64" s="16" t="s">
        <v>546</v>
      </c>
      <c r="F64" s="16" t="s">
        <v>400</v>
      </c>
      <c r="G64" s="17">
        <v>19190</v>
      </c>
      <c r="H64" s="17">
        <v>22100</v>
      </c>
      <c r="I64" s="17" t="s">
        <v>585</v>
      </c>
      <c r="J64" s="18"/>
      <c r="K64" s="18" t="s">
        <v>598</v>
      </c>
      <c r="L64" s="18"/>
      <c r="M64" s="18" t="s">
        <v>598</v>
      </c>
      <c r="N64" s="10">
        <v>29190</v>
      </c>
      <c r="O64" s="11">
        <v>12638</v>
      </c>
      <c r="P64" s="11">
        <v>8063</v>
      </c>
      <c r="Q64" s="11">
        <v>3618</v>
      </c>
      <c r="R64" s="12">
        <v>0.43295649194929797</v>
      </c>
      <c r="S64" s="12">
        <v>0.27622473449811602</v>
      </c>
      <c r="T64" s="12">
        <v>0.12394655704008201</v>
      </c>
      <c r="U64" s="12">
        <v>0.15673175745118201</v>
      </c>
      <c r="V64" s="12">
        <v>0.15227817745803399</v>
      </c>
      <c r="W64" s="12">
        <v>5.9917780061665003E-2</v>
      </c>
      <c r="X64" s="12">
        <v>6.4028776978417301E-2</v>
      </c>
      <c r="Y64" s="13">
        <v>64961</v>
      </c>
      <c r="Z64" s="13">
        <v>86216</v>
      </c>
      <c r="AA64" s="13">
        <v>502887</v>
      </c>
      <c r="AB64" s="11">
        <v>68393</v>
      </c>
      <c r="AC64" s="11">
        <v>74352</v>
      </c>
      <c r="AD64" s="12">
        <v>8.71287997309666E-2</v>
      </c>
      <c r="AE64" s="12">
        <v>0.45260542602985898</v>
      </c>
      <c r="AF64" s="12">
        <v>0.17317561738774401</v>
      </c>
      <c r="AG64" s="12">
        <v>9.2948108724577094E-2</v>
      </c>
      <c r="AH64" s="12">
        <v>0.15987016215109701</v>
      </c>
      <c r="AI64" s="14">
        <v>0.17399441463307599</v>
      </c>
      <c r="AJ64" s="4">
        <v>79803</v>
      </c>
      <c r="AK64" s="5">
        <v>33160</v>
      </c>
      <c r="AL64" s="5">
        <v>21886</v>
      </c>
      <c r="AM64" s="5">
        <v>10187</v>
      </c>
      <c r="AN64" s="6">
        <v>0.41552322594388702</v>
      </c>
      <c r="AO64" s="6">
        <v>0.27425034146586003</v>
      </c>
      <c r="AP64" s="6">
        <v>0.127651842662557</v>
      </c>
      <c r="AQ64" s="6">
        <v>0.14127288447802699</v>
      </c>
      <c r="AR64" s="6">
        <v>0.146598498803303</v>
      </c>
      <c r="AS64" s="6">
        <v>6.03611393055399E-2</v>
      </c>
      <c r="AT64" s="6">
        <v>6.7290703357016701E-2</v>
      </c>
      <c r="AU64" s="7">
        <v>62306</v>
      </c>
      <c r="AV64" s="7">
        <v>85298</v>
      </c>
      <c r="AW64" s="7">
        <v>566903</v>
      </c>
      <c r="AX64" s="5">
        <v>191797</v>
      </c>
      <c r="AY64" s="5">
        <v>206770</v>
      </c>
      <c r="AZ64" s="6">
        <v>7.8066914498141293E-2</v>
      </c>
      <c r="BA64" s="6">
        <v>0.40202446806068798</v>
      </c>
      <c r="BB64" s="6">
        <v>0.165586531593299</v>
      </c>
      <c r="BC64" s="6">
        <v>9.3531181405340003E-2</v>
      </c>
      <c r="BD64" s="6">
        <v>0.17854293862782</v>
      </c>
      <c r="BE64" s="8">
        <v>0.20351726043681601</v>
      </c>
      <c r="BF64" s="10">
        <v>141521</v>
      </c>
      <c r="BG64" s="11">
        <v>57528</v>
      </c>
      <c r="BH64" s="11">
        <v>38076</v>
      </c>
      <c r="BI64" s="11">
        <v>17684</v>
      </c>
      <c r="BJ64" s="12">
        <v>0.40649797556546402</v>
      </c>
      <c r="BK64" s="12">
        <v>0.26904840977664102</v>
      </c>
      <c r="BL64" s="12">
        <v>0.12495672020406901</v>
      </c>
      <c r="BM64" s="12">
        <v>0.137449565788823</v>
      </c>
      <c r="BN64" s="12">
        <v>0.14409168957257201</v>
      </c>
      <c r="BO64" s="12">
        <v>6.1496173712735198E-2</v>
      </c>
      <c r="BP64" s="12">
        <v>6.3460546491333397E-2</v>
      </c>
      <c r="BQ64" s="13">
        <v>60755</v>
      </c>
      <c r="BR64" s="13">
        <v>83850</v>
      </c>
      <c r="BS64" s="13">
        <v>633830</v>
      </c>
      <c r="BT64" s="11">
        <v>343709</v>
      </c>
      <c r="BU64" s="11">
        <v>366806</v>
      </c>
      <c r="BV64" s="12">
        <v>6.71992877695958E-2</v>
      </c>
      <c r="BW64" s="12">
        <v>0.37315190150202698</v>
      </c>
      <c r="BX64" s="12">
        <v>0.15502649043231301</v>
      </c>
      <c r="BY64" s="12">
        <v>7.7152474913371502E-2</v>
      </c>
      <c r="BZ64" s="12">
        <v>0.19230511857414301</v>
      </c>
      <c r="CA64" s="14">
        <v>0.22561236394740899</v>
      </c>
      <c r="CB64" s="86">
        <f t="shared" si="12"/>
        <v>35300094.995661639</v>
      </c>
      <c r="CC64" s="83">
        <v>13198107.4091927</v>
      </c>
      <c r="CD64" s="83">
        <v>16214636.559165999</v>
      </c>
      <c r="CE64" s="83">
        <v>4066833.37730294</v>
      </c>
      <c r="CF64" s="83">
        <v>1820517.65</v>
      </c>
      <c r="CG64" s="90">
        <f t="shared" si="13"/>
        <v>0.37388305642845265</v>
      </c>
      <c r="CH64" s="90">
        <f t="shared" si="13"/>
        <v>0.45933691003264349</v>
      </c>
      <c r="CI64" s="90">
        <f t="shared" si="13"/>
        <v>0.11520743436533958</v>
      </c>
      <c r="CK64" s="86">
        <f t="shared" si="1"/>
        <v>34405159</v>
      </c>
      <c r="CL64" s="83">
        <v>12639038</v>
      </c>
      <c r="CM64" s="83">
        <v>16076592</v>
      </c>
      <c r="CN64" s="83">
        <v>3910842</v>
      </c>
      <c r="CO64" s="83">
        <v>1778687</v>
      </c>
      <c r="CP64" s="90">
        <f t="shared" si="2"/>
        <v>0.36735880220754102</v>
      </c>
      <c r="CQ64" s="90">
        <f t="shared" si="2"/>
        <v>0.46727271337417742</v>
      </c>
      <c r="CR64" s="90">
        <f t="shared" si="2"/>
        <v>0.11367022021319535</v>
      </c>
    </row>
    <row r="65" spans="1:96" ht="25.5" thickTop="1" thickBot="1" x14ac:dyDescent="0.3">
      <c r="A65" s="3" t="s">
        <v>295</v>
      </c>
      <c r="B65" s="3">
        <v>939</v>
      </c>
      <c r="C65" s="3" t="s">
        <v>615</v>
      </c>
      <c r="D65" s="16">
        <v>45267</v>
      </c>
      <c r="E65" s="16" t="s">
        <v>545</v>
      </c>
      <c r="F65" s="16" t="s">
        <v>616</v>
      </c>
      <c r="G65" s="17">
        <f>H65*0.8</f>
        <v>17280</v>
      </c>
      <c r="H65" s="17">
        <v>21600</v>
      </c>
      <c r="I65" s="17" t="s">
        <v>584</v>
      </c>
      <c r="J65" s="18"/>
      <c r="K65" s="18"/>
      <c r="L65" s="18"/>
      <c r="M65" s="18" t="s">
        <v>598</v>
      </c>
      <c r="N65" s="137">
        <v>20791</v>
      </c>
      <c r="O65" s="138">
        <v>8449</v>
      </c>
      <c r="P65" s="138">
        <v>5367</v>
      </c>
      <c r="Q65" s="138">
        <v>2156</v>
      </c>
      <c r="R65" s="135">
        <v>0.40637775960752198</v>
      </c>
      <c r="S65" s="135">
        <v>0.25814054158049199</v>
      </c>
      <c r="T65" s="135">
        <v>0.10369871579048601</v>
      </c>
      <c r="U65" s="135">
        <v>0.14823721802703099</v>
      </c>
      <c r="V65" s="135">
        <v>0.15444182579000501</v>
      </c>
      <c r="W65" s="135">
        <v>6.3729498340628202E-2</v>
      </c>
      <c r="X65" s="135">
        <v>3.9969217449858097E-2</v>
      </c>
      <c r="Y65" s="139">
        <v>62176</v>
      </c>
      <c r="Z65" s="139">
        <v>79621</v>
      </c>
      <c r="AA65" s="139">
        <v>827601</v>
      </c>
      <c r="AB65" s="138">
        <v>54227</v>
      </c>
      <c r="AC65" s="138">
        <v>62582</v>
      </c>
      <c r="AD65" s="135">
        <v>0.154074538514024</v>
      </c>
      <c r="AE65" s="135">
        <v>0.29610356963298101</v>
      </c>
      <c r="AF65" s="135">
        <v>0.22610507680675701</v>
      </c>
      <c r="AG65" s="135">
        <v>2.61493352020211E-2</v>
      </c>
      <c r="AH65" s="135">
        <v>0.172939679495454</v>
      </c>
      <c r="AI65" s="136">
        <v>0.256274549578623</v>
      </c>
      <c r="AJ65" s="137">
        <v>49433</v>
      </c>
      <c r="AK65" s="138">
        <v>20417</v>
      </c>
      <c r="AL65" s="138">
        <v>13023</v>
      </c>
      <c r="AM65" s="138">
        <v>5147</v>
      </c>
      <c r="AN65" s="135">
        <v>0.41302368862905298</v>
      </c>
      <c r="AO65" s="135">
        <v>0.26344749458863498</v>
      </c>
      <c r="AP65" s="135">
        <v>0.104120729067627</v>
      </c>
      <c r="AQ65" s="135">
        <v>0.149576194040418</v>
      </c>
      <c r="AR65" s="135">
        <v>0.159326765521008</v>
      </c>
      <c r="AS65" s="135">
        <v>6.4106973074666701E-2</v>
      </c>
      <c r="AT65" s="135">
        <v>4.0013755992960198E-2</v>
      </c>
      <c r="AU65" s="139">
        <v>62986</v>
      </c>
      <c r="AV65" s="139">
        <v>80195</v>
      </c>
      <c r="AW65" s="139">
        <v>748645</v>
      </c>
      <c r="AX65" s="138">
        <v>134774</v>
      </c>
      <c r="AY65" s="138">
        <v>153757</v>
      </c>
      <c r="AZ65" s="135">
        <v>0.14085060916794001</v>
      </c>
      <c r="BA65" s="135">
        <v>0.257546497578305</v>
      </c>
      <c r="BB65" s="135">
        <v>0.22849362636710299</v>
      </c>
      <c r="BC65" s="135">
        <v>2.5494531586211001E-2</v>
      </c>
      <c r="BD65" s="135">
        <v>0.18483535400003001</v>
      </c>
      <c r="BE65" s="136">
        <v>0.258989122531052</v>
      </c>
      <c r="BF65" s="141">
        <v>74619</v>
      </c>
      <c r="BG65" s="142">
        <v>29721</v>
      </c>
      <c r="BH65" s="142">
        <v>18384</v>
      </c>
      <c r="BI65" s="142">
        <v>6972</v>
      </c>
      <c r="BJ65" s="143">
        <v>0.39830338117637598</v>
      </c>
      <c r="BK65" s="143">
        <v>0.24637156756322101</v>
      </c>
      <c r="BL65" s="143">
        <v>9.3434648011900406E-2</v>
      </c>
      <c r="BM65" s="143">
        <v>0.151931813613155</v>
      </c>
      <c r="BN65" s="143">
        <v>0.15293691955132099</v>
      </c>
      <c r="BO65" s="143">
        <v>5.9609482839491301E-2</v>
      </c>
      <c r="BP65" s="143">
        <v>3.3825165172409202E-2</v>
      </c>
      <c r="BQ65" s="144">
        <v>60999</v>
      </c>
      <c r="BR65" s="144">
        <v>76959</v>
      </c>
      <c r="BS65" s="144">
        <v>675856</v>
      </c>
      <c r="BT65" s="142">
        <v>199128</v>
      </c>
      <c r="BU65" s="142">
        <v>221558</v>
      </c>
      <c r="BV65" s="143">
        <v>0.112641115262545</v>
      </c>
      <c r="BW65" s="143">
        <v>0.243184507948812</v>
      </c>
      <c r="BX65" s="143">
        <v>0.22019505041983001</v>
      </c>
      <c r="BY65" s="143">
        <v>2.3356835804105899E-2</v>
      </c>
      <c r="BZ65" s="143">
        <v>0.17820698244345301</v>
      </c>
      <c r="CA65" s="146">
        <v>0.26313727853440999</v>
      </c>
      <c r="CB65" s="98">
        <v>18000000</v>
      </c>
      <c r="CC65" s="83" t="s">
        <v>598</v>
      </c>
      <c r="CD65" s="83" t="s">
        <v>598</v>
      </c>
      <c r="CE65" s="83" t="s">
        <v>598</v>
      </c>
      <c r="CF65" s="83" t="s">
        <v>598</v>
      </c>
      <c r="CG65" s="90" t="str">
        <f t="shared" si="13"/>
        <v/>
      </c>
      <c r="CH65" s="90" t="str">
        <f t="shared" si="13"/>
        <v/>
      </c>
      <c r="CI65" s="90" t="str">
        <f t="shared" si="13"/>
        <v/>
      </c>
      <c r="CK65" s="98">
        <v>18000000</v>
      </c>
      <c r="CL65" s="83"/>
      <c r="CM65" s="83"/>
      <c r="CN65" s="83"/>
      <c r="CO65" s="83"/>
      <c r="CP65" s="90"/>
      <c r="CQ65" s="90"/>
      <c r="CR65" s="90"/>
    </row>
    <row r="66" spans="1:96" ht="49.5" thickTop="1" thickBot="1" x14ac:dyDescent="0.3">
      <c r="A66" s="3" t="s">
        <v>295</v>
      </c>
      <c r="B66" s="3">
        <v>902</v>
      </c>
      <c r="C66" s="3" t="s">
        <v>118</v>
      </c>
      <c r="D66" s="16">
        <v>38694</v>
      </c>
      <c r="E66" s="16" t="s">
        <v>544</v>
      </c>
      <c r="F66" s="16" t="s">
        <v>395</v>
      </c>
      <c r="G66" s="17">
        <v>19826</v>
      </c>
      <c r="H66" s="17">
        <v>22822</v>
      </c>
      <c r="I66" s="17" t="s">
        <v>584</v>
      </c>
      <c r="J66" s="18"/>
      <c r="K66" s="18" t="s">
        <v>598</v>
      </c>
      <c r="L66" s="18"/>
      <c r="M66" s="18" t="s">
        <v>598</v>
      </c>
      <c r="N66" s="10">
        <v>32141</v>
      </c>
      <c r="O66" s="11">
        <v>12200</v>
      </c>
      <c r="P66" s="11">
        <v>7727</v>
      </c>
      <c r="Q66" s="11">
        <v>3268</v>
      </c>
      <c r="R66" s="12">
        <v>0.37957748669923203</v>
      </c>
      <c r="S66" s="12">
        <v>0.24040944587909499</v>
      </c>
      <c r="T66" s="12">
        <v>0.101676985781401</v>
      </c>
      <c r="U66" s="12">
        <v>0.13916804082013601</v>
      </c>
      <c r="V66" s="12">
        <v>0.13873246009769499</v>
      </c>
      <c r="W66" s="12">
        <v>4.7758314924862301E-2</v>
      </c>
      <c r="X66" s="12">
        <v>5.3918670856538398E-2</v>
      </c>
      <c r="Y66" s="13">
        <v>58654</v>
      </c>
      <c r="Z66" s="13">
        <v>80179</v>
      </c>
      <c r="AA66" s="13">
        <v>897888</v>
      </c>
      <c r="AB66" s="11">
        <v>66204</v>
      </c>
      <c r="AC66" s="11">
        <v>70967</v>
      </c>
      <c r="AD66" s="12">
        <v>7.1944293396169395E-2</v>
      </c>
      <c r="AE66" s="12">
        <v>0.34622331223027097</v>
      </c>
      <c r="AF66" s="12">
        <v>0.18696755483052399</v>
      </c>
      <c r="AG66" s="12">
        <v>2.2702555736813498E-2</v>
      </c>
      <c r="AH66" s="12">
        <v>5.1401727992266298E-2</v>
      </c>
      <c r="AI66" s="14">
        <v>0.26573923025799001</v>
      </c>
      <c r="AJ66" s="4">
        <v>63515</v>
      </c>
      <c r="AK66" s="5">
        <v>26018</v>
      </c>
      <c r="AL66" s="5">
        <v>17289</v>
      </c>
      <c r="AM66" s="5">
        <v>8397</v>
      </c>
      <c r="AN66" s="6">
        <v>0.4096355191687</v>
      </c>
      <c r="AO66" s="6">
        <v>0.272203416515784</v>
      </c>
      <c r="AP66" s="6">
        <v>0.13220499094702001</v>
      </c>
      <c r="AQ66" s="6">
        <v>0.137432102652917</v>
      </c>
      <c r="AR66" s="6">
        <v>0.13999842556876299</v>
      </c>
      <c r="AS66" s="6">
        <v>5.3436196174132103E-2</v>
      </c>
      <c r="AT66" s="6">
        <v>7.8768794772888298E-2</v>
      </c>
      <c r="AU66" s="7">
        <v>60995</v>
      </c>
      <c r="AV66" s="7">
        <v>88661</v>
      </c>
      <c r="AW66" s="7">
        <v>1186673</v>
      </c>
      <c r="AX66" s="5">
        <v>136297</v>
      </c>
      <c r="AY66" s="5">
        <v>148968</v>
      </c>
      <c r="AZ66" s="6">
        <v>9.2966096098960394E-2</v>
      </c>
      <c r="BA66" s="6">
        <v>0.37017634610862898</v>
      </c>
      <c r="BB66" s="6">
        <v>0.17550643080918901</v>
      </c>
      <c r="BC66" s="6">
        <v>2.4241179189564002E-2</v>
      </c>
      <c r="BD66" s="6">
        <v>8.1564524530987503E-2</v>
      </c>
      <c r="BE66" s="8">
        <v>0.26853122225727599</v>
      </c>
      <c r="BF66" s="10">
        <v>111816</v>
      </c>
      <c r="BG66" s="11">
        <v>45775</v>
      </c>
      <c r="BH66" s="11">
        <v>30149</v>
      </c>
      <c r="BI66" s="11">
        <v>14675</v>
      </c>
      <c r="BJ66" s="12">
        <v>0.40937790656077799</v>
      </c>
      <c r="BK66" s="12">
        <v>0.26963046433426302</v>
      </c>
      <c r="BL66" s="12">
        <v>0.131242398225656</v>
      </c>
      <c r="BM66" s="12">
        <v>0.139747442226515</v>
      </c>
      <c r="BN66" s="12">
        <v>0.13838806610860699</v>
      </c>
      <c r="BO66" s="12">
        <v>5.4500250411390103E-2</v>
      </c>
      <c r="BP66" s="12">
        <v>7.6742147814266304E-2</v>
      </c>
      <c r="BQ66" s="13">
        <v>61021</v>
      </c>
      <c r="BR66" s="13">
        <v>88193</v>
      </c>
      <c r="BS66" s="13">
        <v>1197578</v>
      </c>
      <c r="BT66" s="11">
        <v>246743</v>
      </c>
      <c r="BU66" s="11">
        <v>269528</v>
      </c>
      <c r="BV66" s="12">
        <v>9.2343045192771395E-2</v>
      </c>
      <c r="BW66" s="12">
        <v>0.33553409284486502</v>
      </c>
      <c r="BX66" s="12">
        <v>0.177561268202137</v>
      </c>
      <c r="BY66" s="12">
        <v>2.14879449467665E-2</v>
      </c>
      <c r="BZ66" s="12">
        <v>9.5313747502462104E-2</v>
      </c>
      <c r="CA66" s="14">
        <v>0.286905808878063</v>
      </c>
      <c r="CB66" s="86">
        <f t="shared" ref="CB66:CB78" si="14">IF(SUM(CC66:CF66)=0,"",SUM(CC66:CF66))</f>
        <v>30988525.828109995</v>
      </c>
      <c r="CC66" s="83">
        <v>11794412.499110701</v>
      </c>
      <c r="CD66" s="83">
        <v>13356782.9089994</v>
      </c>
      <c r="CE66" s="83">
        <v>4271052.7499998901</v>
      </c>
      <c r="CF66" s="83">
        <v>1566277.67</v>
      </c>
      <c r="CG66" s="90">
        <f t="shared" si="13"/>
        <v>0.38060579469101025</v>
      </c>
      <c r="CH66" s="90">
        <f t="shared" si="13"/>
        <v>0.43102350150788171</v>
      </c>
      <c r="CI66" s="90">
        <f t="shared" si="13"/>
        <v>0.13782690966620867</v>
      </c>
      <c r="CK66" s="86">
        <f t="shared" si="1"/>
        <v>31450951</v>
      </c>
      <c r="CL66" s="83">
        <v>11865297</v>
      </c>
      <c r="CM66" s="83">
        <v>13721249</v>
      </c>
      <c r="CN66" s="83">
        <v>4308029</v>
      </c>
      <c r="CO66" s="83">
        <v>1556376</v>
      </c>
      <c r="CP66" s="90">
        <f t="shared" si="2"/>
        <v>0.37726353648256933</v>
      </c>
      <c r="CQ66" s="90">
        <f t="shared" si="2"/>
        <v>0.43627453427401924</v>
      </c>
      <c r="CR66" s="90">
        <f t="shared" si="2"/>
        <v>0.13697611242343674</v>
      </c>
    </row>
    <row r="67" spans="1:96" ht="49.5" thickTop="1" thickBot="1" x14ac:dyDescent="0.3">
      <c r="A67" s="3" t="s">
        <v>295</v>
      </c>
      <c r="B67" s="3">
        <v>917</v>
      </c>
      <c r="C67" s="3" t="s">
        <v>132</v>
      </c>
      <c r="D67" s="16">
        <v>40633</v>
      </c>
      <c r="E67" s="16" t="s">
        <v>545</v>
      </c>
      <c r="F67" s="16" t="s">
        <v>408</v>
      </c>
      <c r="G67" s="17">
        <v>15691</v>
      </c>
      <c r="H67" s="17">
        <v>18335</v>
      </c>
      <c r="I67" s="17" t="s">
        <v>583</v>
      </c>
      <c r="J67" s="18"/>
      <c r="K67" s="18" t="s">
        <v>598</v>
      </c>
      <c r="L67" s="18"/>
      <c r="M67" s="18" t="s">
        <v>598</v>
      </c>
      <c r="N67" s="10">
        <v>21866</v>
      </c>
      <c r="O67" s="11">
        <v>12797</v>
      </c>
      <c r="P67" s="11">
        <v>9554</v>
      </c>
      <c r="Q67" s="11">
        <v>5019</v>
      </c>
      <c r="R67" s="12">
        <v>0.58524650141772605</v>
      </c>
      <c r="S67" s="12">
        <v>0.43693405286746501</v>
      </c>
      <c r="T67" s="12">
        <v>0.22953443702551901</v>
      </c>
      <c r="U67" s="12">
        <v>0.14831244855026099</v>
      </c>
      <c r="V67" s="12">
        <v>0.20739961584194599</v>
      </c>
      <c r="W67" s="12">
        <v>9.3798591420470104E-2</v>
      </c>
      <c r="X67" s="12">
        <v>0.135735845605049</v>
      </c>
      <c r="Y67" s="13">
        <v>87571</v>
      </c>
      <c r="Z67" s="13">
        <v>116547</v>
      </c>
      <c r="AA67" s="13">
        <v>1367563</v>
      </c>
      <c r="AB67" s="11">
        <v>65869</v>
      </c>
      <c r="AC67" s="11">
        <v>71183</v>
      </c>
      <c r="AD67" s="12">
        <v>8.0675279721872203E-2</v>
      </c>
      <c r="AE67" s="12">
        <v>0.41289881896703701</v>
      </c>
      <c r="AF67" s="12">
        <v>0.27808225417115801</v>
      </c>
      <c r="AG67" s="12">
        <v>5.4152939926217197E-2</v>
      </c>
      <c r="AH67" s="12">
        <v>0.22218342467625099</v>
      </c>
      <c r="AI67" s="14">
        <v>0.25061865217325302</v>
      </c>
      <c r="AJ67" s="4">
        <v>77995</v>
      </c>
      <c r="AK67" s="5">
        <v>36692</v>
      </c>
      <c r="AL67" s="5">
        <v>26272</v>
      </c>
      <c r="AM67" s="5">
        <v>12668</v>
      </c>
      <c r="AN67" s="6">
        <v>0.47044041284697702</v>
      </c>
      <c r="AO67" s="6">
        <v>0.336842105263158</v>
      </c>
      <c r="AP67" s="6">
        <v>0.16242066799153801</v>
      </c>
      <c r="AQ67" s="6">
        <v>0.13359830758381899</v>
      </c>
      <c r="AR67" s="6">
        <v>0.17442143727161999</v>
      </c>
      <c r="AS67" s="6">
        <v>7.3055965125969596E-2</v>
      </c>
      <c r="AT67" s="6">
        <v>8.9364702865568302E-2</v>
      </c>
      <c r="AU67" s="7">
        <v>69365</v>
      </c>
      <c r="AV67" s="7">
        <v>95305</v>
      </c>
      <c r="AW67" s="7">
        <v>1092108</v>
      </c>
      <c r="AX67" s="5">
        <v>214224</v>
      </c>
      <c r="AY67" s="5">
        <v>227262</v>
      </c>
      <c r="AZ67" s="6">
        <v>6.0861528120098603E-2</v>
      </c>
      <c r="BA67" s="6">
        <v>0.35005888816512398</v>
      </c>
      <c r="BB67" s="6">
        <v>0.326186608409889</v>
      </c>
      <c r="BC67" s="6">
        <v>3.72834042871013E-2</v>
      </c>
      <c r="BD67" s="6">
        <v>0.200187654044365</v>
      </c>
      <c r="BE67" s="8">
        <v>0.25127903502875498</v>
      </c>
      <c r="BF67" s="10">
        <v>135205</v>
      </c>
      <c r="BG67" s="11">
        <v>56527</v>
      </c>
      <c r="BH67" s="11">
        <v>39297</v>
      </c>
      <c r="BI67" s="11">
        <v>18051</v>
      </c>
      <c r="BJ67" s="12">
        <v>0.41808365075256099</v>
      </c>
      <c r="BK67" s="12">
        <v>0.29064753522428899</v>
      </c>
      <c r="BL67" s="12">
        <v>0.13350837616951999</v>
      </c>
      <c r="BM67" s="12">
        <v>0.127436115528272</v>
      </c>
      <c r="BN67" s="12">
        <v>0.157139159054769</v>
      </c>
      <c r="BO67" s="12">
        <v>6.06634370030694E-2</v>
      </c>
      <c r="BP67" s="12">
        <v>7.2844939166450906E-2</v>
      </c>
      <c r="BQ67" s="13">
        <v>61290</v>
      </c>
      <c r="BR67" s="13">
        <v>86505</v>
      </c>
      <c r="BS67" s="13">
        <v>933481</v>
      </c>
      <c r="BT67" s="11">
        <v>375136</v>
      </c>
      <c r="BU67" s="11">
        <v>395136</v>
      </c>
      <c r="BV67" s="12">
        <v>5.3313998123347299E-2</v>
      </c>
      <c r="BW67" s="12">
        <v>0.307632911679876</v>
      </c>
      <c r="BX67" s="12">
        <v>0.36061854900622697</v>
      </c>
      <c r="BY67" s="12">
        <v>3.3211955130939198E-2</v>
      </c>
      <c r="BZ67" s="12">
        <v>0.20189744519321001</v>
      </c>
      <c r="CA67" s="14">
        <v>0.242232150473428</v>
      </c>
      <c r="CB67" s="86">
        <f t="shared" si="14"/>
        <v>19053113.894666031</v>
      </c>
      <c r="CC67" s="83">
        <v>7102213.0679997504</v>
      </c>
      <c r="CD67" s="83">
        <v>8823001.8099996094</v>
      </c>
      <c r="CE67" s="83">
        <v>2104598.40499999</v>
      </c>
      <c r="CF67" s="83">
        <v>1023300.61166668</v>
      </c>
      <c r="CG67" s="90">
        <f t="shared" si="13"/>
        <v>0.37275865285138687</v>
      </c>
      <c r="CH67" s="90">
        <f t="shared" si="13"/>
        <v>0.46307400768068846</v>
      </c>
      <c r="CI67" s="90">
        <f t="shared" si="13"/>
        <v>0.11045955094978872</v>
      </c>
      <c r="CK67" s="86">
        <f t="shared" si="1"/>
        <v>18787986</v>
      </c>
      <c r="CL67" s="83">
        <v>6917034</v>
      </c>
      <c r="CM67" s="83">
        <v>8845860</v>
      </c>
      <c r="CN67" s="83">
        <v>2045850</v>
      </c>
      <c r="CO67" s="83">
        <v>979242</v>
      </c>
      <c r="CP67" s="90">
        <f t="shared" si="2"/>
        <v>0.36816261200109474</v>
      </c>
      <c r="CQ67" s="90">
        <f t="shared" si="2"/>
        <v>0.47082534551601218</v>
      </c>
      <c r="CR67" s="90">
        <f t="shared" si="2"/>
        <v>0.10889139474555708</v>
      </c>
    </row>
    <row r="68" spans="1:96" ht="37.5" thickTop="1" thickBot="1" x14ac:dyDescent="0.3">
      <c r="A68" s="3" t="s">
        <v>298</v>
      </c>
      <c r="B68" s="3">
        <v>1201</v>
      </c>
      <c r="C68" s="3" t="s">
        <v>205</v>
      </c>
      <c r="D68" s="16">
        <v>40241</v>
      </c>
      <c r="E68" s="16" t="s">
        <v>558</v>
      </c>
      <c r="F68" s="16" t="s">
        <v>463</v>
      </c>
      <c r="G68" s="17">
        <v>20922</v>
      </c>
      <c r="H68" s="17">
        <v>26691</v>
      </c>
      <c r="I68" s="17" t="s">
        <v>585</v>
      </c>
      <c r="J68" s="18" t="s">
        <v>581</v>
      </c>
      <c r="K68" s="18" t="s">
        <v>519</v>
      </c>
      <c r="L68" s="18"/>
      <c r="M68" s="18" t="s">
        <v>598</v>
      </c>
      <c r="N68" s="10">
        <v>67401</v>
      </c>
      <c r="O68" s="11">
        <v>30696</v>
      </c>
      <c r="P68" s="11">
        <v>21383</v>
      </c>
      <c r="Q68" s="11">
        <v>10604</v>
      </c>
      <c r="R68" s="12">
        <v>0.45542351003694298</v>
      </c>
      <c r="S68" s="12">
        <v>0.317250485897835</v>
      </c>
      <c r="T68" s="12">
        <v>0.15732704262548</v>
      </c>
      <c r="U68" s="12">
        <v>0.13817302413910801</v>
      </c>
      <c r="V68" s="12">
        <v>0.159923443272355</v>
      </c>
      <c r="W68" s="12">
        <v>6.5770537529116796E-2</v>
      </c>
      <c r="X68" s="12">
        <v>9.1556505096363594E-2</v>
      </c>
      <c r="Y68" s="13">
        <v>67095</v>
      </c>
      <c r="Z68" s="13">
        <v>95395</v>
      </c>
      <c r="AA68" s="13">
        <v>907766</v>
      </c>
      <c r="AB68" s="11">
        <v>166241</v>
      </c>
      <c r="AC68" s="11">
        <v>175938</v>
      </c>
      <c r="AD68" s="12">
        <v>5.8330977316065201E-2</v>
      </c>
      <c r="AE68" s="12">
        <v>0.34230010881214801</v>
      </c>
      <c r="AF68" s="12">
        <v>0.21101292701559801</v>
      </c>
      <c r="AG68" s="12">
        <v>0.12083661671910099</v>
      </c>
      <c r="AH68" s="12">
        <v>0.115410759078687</v>
      </c>
      <c r="AI68" s="14">
        <v>0.271316943473632</v>
      </c>
      <c r="AJ68" s="4">
        <v>170684</v>
      </c>
      <c r="AK68" s="5">
        <v>74705</v>
      </c>
      <c r="AL68" s="5">
        <v>51287</v>
      </c>
      <c r="AM68" s="5">
        <v>25616</v>
      </c>
      <c r="AN68" s="6">
        <v>0.43768015748400602</v>
      </c>
      <c r="AO68" s="6">
        <v>0.30047924820135502</v>
      </c>
      <c r="AP68" s="6">
        <v>0.15007850765156699</v>
      </c>
      <c r="AQ68" s="6">
        <v>0.137200909282651</v>
      </c>
      <c r="AR68" s="6">
        <v>0.150400740549788</v>
      </c>
      <c r="AS68" s="6">
        <v>5.9999765648801301E-2</v>
      </c>
      <c r="AT68" s="6">
        <v>9.0078742002765305E-2</v>
      </c>
      <c r="AU68" s="7">
        <v>64506</v>
      </c>
      <c r="AV68" s="7">
        <v>93228</v>
      </c>
      <c r="AW68" s="7">
        <v>873551</v>
      </c>
      <c r="AX68" s="5">
        <v>437860</v>
      </c>
      <c r="AY68" s="5">
        <v>468393</v>
      </c>
      <c r="AZ68" s="6">
        <v>6.9732334536153101E-2</v>
      </c>
      <c r="BA68" s="6">
        <v>0.31523355104322898</v>
      </c>
      <c r="BB68" s="6">
        <v>0.26348376193303802</v>
      </c>
      <c r="BC68" s="6">
        <v>0.115607728497693</v>
      </c>
      <c r="BD68" s="6">
        <v>0.11461882793587</v>
      </c>
      <c r="BE68" s="8">
        <v>0.25163979354131499</v>
      </c>
      <c r="BF68" s="10">
        <v>263020</v>
      </c>
      <c r="BG68" s="11">
        <v>108858</v>
      </c>
      <c r="BH68" s="11">
        <v>72665</v>
      </c>
      <c r="BI68" s="11">
        <v>34714</v>
      </c>
      <c r="BJ68" s="12">
        <v>0.41387727169036598</v>
      </c>
      <c r="BK68" s="12">
        <v>0.27627176640559697</v>
      </c>
      <c r="BL68" s="12">
        <v>0.13198235875598799</v>
      </c>
      <c r="BM68" s="12">
        <v>0.137605505284769</v>
      </c>
      <c r="BN68" s="12">
        <v>0.14428940764960799</v>
      </c>
      <c r="BO68" s="12">
        <v>5.6105999543760901E-2</v>
      </c>
      <c r="BP68" s="12">
        <v>7.5876359212227198E-2</v>
      </c>
      <c r="BQ68" s="13">
        <v>61346</v>
      </c>
      <c r="BR68" s="13">
        <v>87377</v>
      </c>
      <c r="BS68" s="13">
        <v>765284</v>
      </c>
      <c r="BT68" s="11">
        <v>680380</v>
      </c>
      <c r="BU68" s="11">
        <v>733506</v>
      </c>
      <c r="BV68" s="12">
        <v>7.8082836062200497E-2</v>
      </c>
      <c r="BW68" s="12">
        <v>0.28425227280712101</v>
      </c>
      <c r="BX68" s="12">
        <v>0.28959552015050399</v>
      </c>
      <c r="BY68" s="12">
        <v>0.114558041094682</v>
      </c>
      <c r="BZ68" s="12">
        <v>0.127643375760604</v>
      </c>
      <c r="CA68" s="14">
        <v>0.245424615655957</v>
      </c>
      <c r="CB68" s="86">
        <f t="shared" si="14"/>
        <v>26807695.30417563</v>
      </c>
      <c r="CC68" s="83">
        <v>11194489.046319099</v>
      </c>
      <c r="CD68" s="83">
        <v>11624872.604999401</v>
      </c>
      <c r="CE68" s="83">
        <v>2320563.5528571298</v>
      </c>
      <c r="CF68" s="83">
        <v>1667770.1</v>
      </c>
      <c r="CG68" s="90">
        <f t="shared" si="13"/>
        <v>0.41758491057511454</v>
      </c>
      <c r="CH68" s="90">
        <f t="shared" si="13"/>
        <v>0.43363938873136487</v>
      </c>
      <c r="CI68" s="90">
        <f t="shared" si="13"/>
        <v>8.6563336628780366E-2</v>
      </c>
      <c r="CK68" s="86">
        <f t="shared" ref="CK68:CK131" si="15">IF(SUM(CL68:CO68)=0,"",SUM(CL68:CO68))</f>
        <v>26580736</v>
      </c>
      <c r="CL68" s="83">
        <v>11030504</v>
      </c>
      <c r="CM68" s="83">
        <v>11633776</v>
      </c>
      <c r="CN68" s="83">
        <v>2249178</v>
      </c>
      <c r="CO68" s="83">
        <v>1667278</v>
      </c>
      <c r="CP68" s="90">
        <f t="shared" ref="CP68:CR131" si="16">IFERROR(CL68/$CK68,"")</f>
        <v>0.41498113521010105</v>
      </c>
      <c r="CQ68" s="90">
        <f t="shared" si="16"/>
        <v>0.43767697026899482</v>
      </c>
      <c r="CR68" s="90">
        <f t="shared" si="16"/>
        <v>8.461684431913398E-2</v>
      </c>
    </row>
    <row r="69" spans="1:96" ht="49.5" thickTop="1" thickBot="1" x14ac:dyDescent="0.3">
      <c r="A69" s="3" t="s">
        <v>300</v>
      </c>
      <c r="B69" s="3">
        <v>1408</v>
      </c>
      <c r="C69" s="3" t="s">
        <v>220</v>
      </c>
      <c r="D69" s="16">
        <v>41599</v>
      </c>
      <c r="E69" s="16" t="s">
        <v>562</v>
      </c>
      <c r="F69" s="16" t="s">
        <v>478</v>
      </c>
      <c r="G69" s="17">
        <v>20793</v>
      </c>
      <c r="H69" s="17">
        <v>25000</v>
      </c>
      <c r="I69" s="17" t="s">
        <v>585</v>
      </c>
      <c r="J69" s="18"/>
      <c r="K69" s="18" t="s">
        <v>598</v>
      </c>
      <c r="L69" s="18"/>
      <c r="M69" s="18" t="s">
        <v>598</v>
      </c>
      <c r="N69" s="10">
        <v>28371</v>
      </c>
      <c r="O69" s="11">
        <v>9563</v>
      </c>
      <c r="P69" s="11">
        <v>5537</v>
      </c>
      <c r="Q69" s="11">
        <v>2027</v>
      </c>
      <c r="R69" s="12">
        <v>0.33706954284304402</v>
      </c>
      <c r="S69" s="12">
        <v>0.19516407599309199</v>
      </c>
      <c r="T69" s="12">
        <v>7.1446195058334203E-2</v>
      </c>
      <c r="U69" s="12">
        <v>0.14190546684995201</v>
      </c>
      <c r="V69" s="12">
        <v>0.123717880934757</v>
      </c>
      <c r="W69" s="12">
        <v>5.0192097564414402E-2</v>
      </c>
      <c r="X69" s="12">
        <v>2.12540974939198E-2</v>
      </c>
      <c r="Y69" s="13">
        <v>53464</v>
      </c>
      <c r="Z69" s="13">
        <v>67974</v>
      </c>
      <c r="AA69" s="13">
        <v>392327</v>
      </c>
      <c r="AB69" s="11">
        <v>69281</v>
      </c>
      <c r="AC69" s="11">
        <v>74191</v>
      </c>
      <c r="AD69" s="12">
        <v>7.0870801518453805E-2</v>
      </c>
      <c r="AE69" s="12">
        <v>0.24292662296468601</v>
      </c>
      <c r="AF69" s="12">
        <v>7.1029575208210002E-2</v>
      </c>
      <c r="AG69" s="12">
        <v>2.0510673922143199E-2</v>
      </c>
      <c r="AH69" s="12">
        <v>1.3380291854909699E-2</v>
      </c>
      <c r="AI69" s="14">
        <v>0.225242129876878</v>
      </c>
      <c r="AJ69" s="4">
        <v>50088</v>
      </c>
      <c r="AK69" s="5">
        <v>19999</v>
      </c>
      <c r="AL69" s="5">
        <v>12901</v>
      </c>
      <c r="AM69" s="5">
        <v>5307</v>
      </c>
      <c r="AN69" s="6">
        <v>0.39927727200127799</v>
      </c>
      <c r="AO69" s="6">
        <v>0.25756668263855598</v>
      </c>
      <c r="AP69" s="6">
        <v>0.10595352180162899</v>
      </c>
      <c r="AQ69" s="6">
        <v>0.14171058936272199</v>
      </c>
      <c r="AR69" s="6">
        <v>0.151613160836927</v>
      </c>
      <c r="AS69" s="6">
        <v>6.9896981312889295E-2</v>
      </c>
      <c r="AT69" s="6">
        <v>3.6056540488739797E-2</v>
      </c>
      <c r="AU69" s="7">
        <v>59752</v>
      </c>
      <c r="AV69" s="7">
        <v>77652</v>
      </c>
      <c r="AW69" s="7">
        <v>631785</v>
      </c>
      <c r="AX69" s="5">
        <v>125159</v>
      </c>
      <c r="AY69" s="5">
        <v>134363</v>
      </c>
      <c r="AZ69" s="6">
        <v>7.3538459080050203E-2</v>
      </c>
      <c r="BA69" s="6">
        <v>0.282673062798384</v>
      </c>
      <c r="BB69" s="6">
        <v>6.2120982110755098E-2</v>
      </c>
      <c r="BC69" s="6">
        <v>2.07895556851685E-2</v>
      </c>
      <c r="BD69" s="6">
        <v>1.18888773480133E-2</v>
      </c>
      <c r="BE69" s="8">
        <v>0.24698183910066401</v>
      </c>
      <c r="BF69" s="10">
        <v>65340</v>
      </c>
      <c r="BG69" s="11">
        <v>27191</v>
      </c>
      <c r="BH69" s="11">
        <v>17878</v>
      </c>
      <c r="BI69" s="11">
        <v>7917</v>
      </c>
      <c r="BJ69" s="12">
        <v>0.41614631160085702</v>
      </c>
      <c r="BK69" s="12">
        <v>0.27361493725130098</v>
      </c>
      <c r="BL69" s="12">
        <v>0.121166207529844</v>
      </c>
      <c r="BM69" s="12">
        <v>0.14253137434955601</v>
      </c>
      <c r="BN69" s="12">
        <v>0.15244872972145701</v>
      </c>
      <c r="BO69" s="12">
        <v>7.9813284358738898E-2</v>
      </c>
      <c r="BP69" s="12">
        <v>4.1352923171104998E-2</v>
      </c>
      <c r="BQ69" s="13">
        <v>61808</v>
      </c>
      <c r="BR69" s="13">
        <v>80641</v>
      </c>
      <c r="BS69" s="13">
        <v>706223</v>
      </c>
      <c r="BT69" s="11">
        <v>165670</v>
      </c>
      <c r="BU69" s="11">
        <v>177351</v>
      </c>
      <c r="BV69" s="12">
        <v>7.05076356612543E-2</v>
      </c>
      <c r="BW69" s="12">
        <v>0.29877719990955098</v>
      </c>
      <c r="BX69" s="12">
        <v>6.18277298243496E-2</v>
      </c>
      <c r="BY69" s="12">
        <v>2.3872759099414501E-2</v>
      </c>
      <c r="BZ69" s="12">
        <v>1.39313092291906E-2</v>
      </c>
      <c r="CA69" s="14">
        <v>0.24935715579163401</v>
      </c>
      <c r="CB69" s="86">
        <f t="shared" si="14"/>
        <v>20502138.619999371</v>
      </c>
      <c r="CC69" s="83">
        <v>6099882.6699998397</v>
      </c>
      <c r="CD69" s="83">
        <v>8787805.9599996209</v>
      </c>
      <c r="CE69" s="83">
        <v>4047741.5399999102</v>
      </c>
      <c r="CF69" s="83">
        <v>1566708.45</v>
      </c>
      <c r="CG69" s="90">
        <f t="shared" si="13"/>
        <v>0.29752421359835812</v>
      </c>
      <c r="CH69" s="90">
        <f t="shared" si="13"/>
        <v>0.42862874565813908</v>
      </c>
      <c r="CI69" s="90">
        <f t="shared" si="13"/>
        <v>0.19743021033188363</v>
      </c>
      <c r="CK69" s="86">
        <f t="shared" si="15"/>
        <v>20259485</v>
      </c>
      <c r="CL69" s="83">
        <v>5972971</v>
      </c>
      <c r="CM69" s="83">
        <v>8871975</v>
      </c>
      <c r="CN69" s="83">
        <v>3914539</v>
      </c>
      <c r="CO69" s="83">
        <v>1500000</v>
      </c>
      <c r="CP69" s="90">
        <f t="shared" si="16"/>
        <v>0.29482343702221453</v>
      </c>
      <c r="CQ69" s="90">
        <f t="shared" si="16"/>
        <v>0.43791710401325601</v>
      </c>
      <c r="CR69" s="90">
        <f t="shared" si="16"/>
        <v>0.19322006457715979</v>
      </c>
    </row>
    <row r="70" spans="1:96" ht="37.5" thickTop="1" thickBot="1" x14ac:dyDescent="0.3">
      <c r="A70" s="3" t="s">
        <v>291</v>
      </c>
      <c r="B70" s="3">
        <v>525</v>
      </c>
      <c r="C70" s="3" t="s">
        <v>80</v>
      </c>
      <c r="D70" s="16">
        <v>42880</v>
      </c>
      <c r="E70" s="16" t="s">
        <v>532</v>
      </c>
      <c r="F70" s="16" t="s">
        <v>362</v>
      </c>
      <c r="G70" s="17">
        <v>17500</v>
      </c>
      <c r="H70" s="17">
        <v>23608</v>
      </c>
      <c r="I70" s="17" t="s">
        <v>584</v>
      </c>
      <c r="J70" s="18"/>
      <c r="K70" s="18" t="s">
        <v>598</v>
      </c>
      <c r="L70" s="18"/>
      <c r="M70" s="18" t="s">
        <v>598</v>
      </c>
      <c r="N70" s="10">
        <v>52426</v>
      </c>
      <c r="O70" s="11">
        <v>25661</v>
      </c>
      <c r="P70" s="11">
        <v>17915</v>
      </c>
      <c r="Q70" s="11">
        <v>8174</v>
      </c>
      <c r="R70" s="12">
        <v>0.48947087323083999</v>
      </c>
      <c r="S70" s="12">
        <v>0.34171975737229598</v>
      </c>
      <c r="T70" s="12">
        <v>0.15591500400564601</v>
      </c>
      <c r="U70" s="12">
        <v>0.147751115858543</v>
      </c>
      <c r="V70" s="12">
        <v>0.18580475336665001</v>
      </c>
      <c r="W70" s="12">
        <v>8.0513485675046695E-2</v>
      </c>
      <c r="X70" s="12">
        <v>7.5401518330599299E-2</v>
      </c>
      <c r="Y70" s="13">
        <v>73115</v>
      </c>
      <c r="Z70" s="13">
        <v>93786</v>
      </c>
      <c r="AA70" s="13">
        <v>819285</v>
      </c>
      <c r="AB70" s="11">
        <v>161976</v>
      </c>
      <c r="AC70" s="11">
        <v>170644</v>
      </c>
      <c r="AD70" s="12">
        <v>5.3514100854447598E-2</v>
      </c>
      <c r="AE70" s="12">
        <v>0.33167067941794298</v>
      </c>
      <c r="AF70" s="12">
        <v>0.42977972045241303</v>
      </c>
      <c r="AG70" s="12">
        <v>0.11048550402528801</v>
      </c>
      <c r="AH70" s="12">
        <v>0.15772707067713701</v>
      </c>
      <c r="AI70" s="14">
        <v>0.21860646021632801</v>
      </c>
      <c r="AJ70" s="4">
        <v>108482</v>
      </c>
      <c r="AK70" s="5">
        <v>55690</v>
      </c>
      <c r="AL70" s="5">
        <v>39933</v>
      </c>
      <c r="AM70" s="5">
        <v>20238</v>
      </c>
      <c r="AN70" s="6">
        <v>0.51335705462657399</v>
      </c>
      <c r="AO70" s="6">
        <v>0.36810715141682498</v>
      </c>
      <c r="AP70" s="6">
        <v>0.186556295053557</v>
      </c>
      <c r="AQ70" s="6">
        <v>0.14524990320974901</v>
      </c>
      <c r="AR70" s="6">
        <v>0.18155085636326801</v>
      </c>
      <c r="AS70" s="6">
        <v>9.2697406021275394E-2</v>
      </c>
      <c r="AT70" s="6">
        <v>9.38588890322819E-2</v>
      </c>
      <c r="AU70" s="7">
        <v>76729</v>
      </c>
      <c r="AV70" s="7">
        <v>100340</v>
      </c>
      <c r="AW70" s="7">
        <v>927696</v>
      </c>
      <c r="AX70" s="5">
        <v>336449</v>
      </c>
      <c r="AY70" s="5">
        <v>360784</v>
      </c>
      <c r="AZ70" s="6">
        <v>7.2328941384875597E-2</v>
      </c>
      <c r="BA70" s="6">
        <v>0.354581209709325</v>
      </c>
      <c r="BB70" s="6">
        <v>0.40534821027852702</v>
      </c>
      <c r="BC70" s="6">
        <v>0.11392811391919699</v>
      </c>
      <c r="BD70" s="6">
        <v>0.164842219771793</v>
      </c>
      <c r="BE70" s="8">
        <v>0.20834955669358499</v>
      </c>
      <c r="BF70" s="10">
        <v>166811</v>
      </c>
      <c r="BG70" s="11">
        <v>85513</v>
      </c>
      <c r="BH70" s="11">
        <v>60991</v>
      </c>
      <c r="BI70" s="11">
        <v>30391</v>
      </c>
      <c r="BJ70" s="12">
        <v>0.51263405890498803</v>
      </c>
      <c r="BK70" s="12">
        <v>0.36562936496993598</v>
      </c>
      <c r="BL70" s="12">
        <v>0.18218822499715201</v>
      </c>
      <c r="BM70" s="12">
        <v>0.147004693935052</v>
      </c>
      <c r="BN70" s="12">
        <v>0.183441139972784</v>
      </c>
      <c r="BO70" s="12">
        <v>8.9928122246134806E-2</v>
      </c>
      <c r="BP70" s="12">
        <v>9.2260102751017606E-2</v>
      </c>
      <c r="BQ70" s="13">
        <v>76610</v>
      </c>
      <c r="BR70" s="13">
        <v>100013</v>
      </c>
      <c r="BS70" s="13">
        <v>909998</v>
      </c>
      <c r="BT70" s="11">
        <v>512280</v>
      </c>
      <c r="BU70" s="11">
        <v>549361</v>
      </c>
      <c r="BV70" s="12">
        <v>7.2384242992113698E-2</v>
      </c>
      <c r="BW70" s="12">
        <v>0.35559014692227903</v>
      </c>
      <c r="BX70" s="12">
        <v>0.403027641133755</v>
      </c>
      <c r="BY70" s="12">
        <v>0.11230772233934599</v>
      </c>
      <c r="BZ70" s="12">
        <v>0.158038572655579</v>
      </c>
      <c r="CA70" s="14">
        <v>0.21093152182400199</v>
      </c>
      <c r="CB70" s="86">
        <f t="shared" si="14"/>
        <v>17115173.049582697</v>
      </c>
      <c r="CC70" s="83">
        <v>3890964.8984165899</v>
      </c>
      <c r="CD70" s="83">
        <v>10859403.0691661</v>
      </c>
      <c r="CE70" s="83">
        <v>1637279.24</v>
      </c>
      <c r="CF70" s="83">
        <v>727525.842000006</v>
      </c>
      <c r="CG70" s="90">
        <f t="shared" si="13"/>
        <v>0.22734008514809961</v>
      </c>
      <c r="CH70" s="90">
        <f t="shared" si="13"/>
        <v>0.63448982009742949</v>
      </c>
      <c r="CI70" s="90">
        <f t="shared" si="13"/>
        <v>9.566244146388693E-2</v>
      </c>
      <c r="CK70" s="86">
        <f t="shared" si="15"/>
        <v>17176061</v>
      </c>
      <c r="CL70" s="83">
        <v>3761932</v>
      </c>
      <c r="CM70" s="83">
        <v>10996394</v>
      </c>
      <c r="CN70" s="83">
        <v>1665997</v>
      </c>
      <c r="CO70" s="83">
        <v>751738</v>
      </c>
      <c r="CP70" s="90">
        <f t="shared" si="16"/>
        <v>0.21902181181121794</v>
      </c>
      <c r="CQ70" s="90">
        <f t="shared" si="16"/>
        <v>0.64021628707536615</v>
      </c>
      <c r="CR70" s="90">
        <f t="shared" si="16"/>
        <v>9.6995288966428339E-2</v>
      </c>
    </row>
    <row r="71" spans="1:96" ht="49.5" thickTop="1" thickBot="1" x14ac:dyDescent="0.3">
      <c r="A71" s="3" t="s">
        <v>302</v>
      </c>
      <c r="B71" s="3">
        <v>1602</v>
      </c>
      <c r="C71" s="3" t="s">
        <v>231</v>
      </c>
      <c r="D71" s="16">
        <v>41711</v>
      </c>
      <c r="E71" s="16" t="s">
        <v>567</v>
      </c>
      <c r="F71" s="16" t="s">
        <v>486</v>
      </c>
      <c r="G71" s="17">
        <v>25740</v>
      </c>
      <c r="H71" s="17">
        <v>29360</v>
      </c>
      <c r="I71" s="17" t="s">
        <v>584</v>
      </c>
      <c r="J71" s="18"/>
      <c r="K71" s="18" t="s">
        <v>598</v>
      </c>
      <c r="L71" s="18"/>
      <c r="M71" s="18" t="s">
        <v>598</v>
      </c>
      <c r="N71" s="10">
        <v>36979</v>
      </c>
      <c r="O71" s="11">
        <v>19274</v>
      </c>
      <c r="P71" s="11">
        <v>13842</v>
      </c>
      <c r="Q71" s="11">
        <v>6166</v>
      </c>
      <c r="R71" s="12">
        <v>0.52121474350306896</v>
      </c>
      <c r="S71" s="12">
        <v>0.37432056031801803</v>
      </c>
      <c r="T71" s="12">
        <v>0.166743286730306</v>
      </c>
      <c r="U71" s="12">
        <v>0.14689418318505101</v>
      </c>
      <c r="V71" s="12">
        <v>0.207577273587712</v>
      </c>
      <c r="W71" s="12">
        <v>9.6703534438465105E-2</v>
      </c>
      <c r="X71" s="12">
        <v>7.0039752291841298E-2</v>
      </c>
      <c r="Y71" s="13">
        <v>77760</v>
      </c>
      <c r="Z71" s="13">
        <v>96534</v>
      </c>
      <c r="AA71" s="13">
        <v>951194</v>
      </c>
      <c r="AB71" s="11">
        <v>85367</v>
      </c>
      <c r="AC71" s="11">
        <v>87529</v>
      </c>
      <c r="AD71" s="12">
        <v>2.5325945623015898E-2</v>
      </c>
      <c r="AE71" s="12">
        <v>0.59045184696569897</v>
      </c>
      <c r="AF71" s="12">
        <v>4.9246195836798803E-2</v>
      </c>
      <c r="AG71" s="12">
        <v>0.106750852202842</v>
      </c>
      <c r="AH71" s="12">
        <v>7.7102393196434194E-2</v>
      </c>
      <c r="AI71" s="14">
        <v>0.233884287839563</v>
      </c>
      <c r="AJ71" s="4">
        <v>140763</v>
      </c>
      <c r="AK71" s="5">
        <v>62732</v>
      </c>
      <c r="AL71" s="5">
        <v>43596</v>
      </c>
      <c r="AM71" s="5">
        <v>20118</v>
      </c>
      <c r="AN71" s="6">
        <v>0.44565688426646199</v>
      </c>
      <c r="AO71" s="6">
        <v>0.30971206922273598</v>
      </c>
      <c r="AP71" s="6">
        <v>0.142921080113382</v>
      </c>
      <c r="AQ71" s="6">
        <v>0.13594481504372599</v>
      </c>
      <c r="AR71" s="6">
        <v>0.166790989109354</v>
      </c>
      <c r="AS71" s="6">
        <v>7.6554208137081498E-2</v>
      </c>
      <c r="AT71" s="6">
        <v>6.6366871976300604E-2</v>
      </c>
      <c r="AU71" s="7">
        <v>64444</v>
      </c>
      <c r="AV71" s="7">
        <v>87409</v>
      </c>
      <c r="AW71" s="7">
        <v>644223</v>
      </c>
      <c r="AX71" s="5">
        <v>340941</v>
      </c>
      <c r="AY71" s="5">
        <v>360187</v>
      </c>
      <c r="AZ71" s="6">
        <v>5.6449649646126497E-2</v>
      </c>
      <c r="BA71" s="6">
        <v>0.50125012998639096</v>
      </c>
      <c r="BB71" s="6">
        <v>7.0161699531590502E-2</v>
      </c>
      <c r="BC71" s="6">
        <v>0.12640603506178499</v>
      </c>
      <c r="BD71" s="6">
        <v>0.168433834593082</v>
      </c>
      <c r="BE71" s="8">
        <v>0.20591245992708401</v>
      </c>
      <c r="BF71" s="10">
        <v>301390</v>
      </c>
      <c r="BG71" s="11">
        <v>129996</v>
      </c>
      <c r="BH71" s="11">
        <v>89690</v>
      </c>
      <c r="BI71" s="11">
        <v>41339</v>
      </c>
      <c r="BJ71" s="12">
        <v>0.43132154351504698</v>
      </c>
      <c r="BK71" s="12">
        <v>0.29758784299412699</v>
      </c>
      <c r="BL71" s="12">
        <v>0.13716115332293699</v>
      </c>
      <c r="BM71" s="12">
        <v>0.13373370052092001</v>
      </c>
      <c r="BN71" s="12">
        <v>0.16042668967119</v>
      </c>
      <c r="BO71" s="12">
        <v>7.17409336739772E-2</v>
      </c>
      <c r="BP71" s="12">
        <v>6.5420219648959804E-2</v>
      </c>
      <c r="BQ71" s="13">
        <v>62400</v>
      </c>
      <c r="BR71" s="13">
        <v>85766</v>
      </c>
      <c r="BS71" s="13">
        <v>616608</v>
      </c>
      <c r="BT71" s="11">
        <v>731261</v>
      </c>
      <c r="BU71" s="11">
        <v>768152</v>
      </c>
      <c r="BV71" s="12">
        <v>5.04484718862349E-2</v>
      </c>
      <c r="BW71" s="12">
        <v>0.467564876444511</v>
      </c>
      <c r="BX71" s="12">
        <v>9.2210578712662097E-2</v>
      </c>
      <c r="BY71" s="12">
        <v>0.11930076949269799</v>
      </c>
      <c r="BZ71" s="12">
        <v>0.20235182786993999</v>
      </c>
      <c r="CA71" s="14">
        <v>0.208419428904317</v>
      </c>
      <c r="CB71" s="86">
        <f t="shared" si="14"/>
        <v>38294338.891280711</v>
      </c>
      <c r="CC71" s="83">
        <v>12273108.943332899</v>
      </c>
      <c r="CD71" s="83">
        <v>15454100.6233327</v>
      </c>
      <c r="CE71" s="83">
        <v>9459879.8396151103</v>
      </c>
      <c r="CF71" s="83">
        <v>1107249.4850000001</v>
      </c>
      <c r="CG71" s="90">
        <f t="shared" si="13"/>
        <v>0.3204940808137931</v>
      </c>
      <c r="CH71" s="90">
        <f t="shared" si="13"/>
        <v>0.40356097195482504</v>
      </c>
      <c r="CI71" s="90">
        <f t="shared" si="13"/>
        <v>0.24703076521237563</v>
      </c>
      <c r="CK71" s="86">
        <f t="shared" si="15"/>
        <v>37936288</v>
      </c>
      <c r="CL71" s="83">
        <v>11698282</v>
      </c>
      <c r="CM71" s="83">
        <v>15379133</v>
      </c>
      <c r="CN71" s="83">
        <v>9750897</v>
      </c>
      <c r="CO71" s="83">
        <v>1107976</v>
      </c>
      <c r="CP71" s="90">
        <f t="shared" si="16"/>
        <v>0.30836654340034536</v>
      </c>
      <c r="CQ71" s="90">
        <f t="shared" si="16"/>
        <v>0.40539372223239134</v>
      </c>
      <c r="CR71" s="90">
        <f t="shared" si="16"/>
        <v>0.25703350311975698</v>
      </c>
    </row>
    <row r="72" spans="1:96" ht="49.5" thickTop="1" thickBot="1" x14ac:dyDescent="0.3">
      <c r="A72" s="3" t="s">
        <v>297</v>
      </c>
      <c r="B72" s="3">
        <v>1116</v>
      </c>
      <c r="C72" s="3" t="s">
        <v>182</v>
      </c>
      <c r="D72" s="16">
        <v>42640</v>
      </c>
      <c r="E72" s="16" t="s">
        <v>553</v>
      </c>
      <c r="F72" s="16" t="s">
        <v>450</v>
      </c>
      <c r="G72" s="17">
        <v>18971</v>
      </c>
      <c r="H72" s="17">
        <v>23129</v>
      </c>
      <c r="I72" s="17" t="s">
        <v>584</v>
      </c>
      <c r="J72" s="18"/>
      <c r="K72" s="18" t="s">
        <v>598</v>
      </c>
      <c r="L72" s="18"/>
      <c r="M72" s="18" t="s">
        <v>598</v>
      </c>
      <c r="N72" s="10">
        <v>70336</v>
      </c>
      <c r="O72" s="11">
        <v>41187</v>
      </c>
      <c r="P72" s="11">
        <v>32306</v>
      </c>
      <c r="Q72" s="11">
        <v>18370</v>
      </c>
      <c r="R72" s="12">
        <v>0.58557495450409502</v>
      </c>
      <c r="S72" s="12">
        <v>0.45930959963603302</v>
      </c>
      <c r="T72" s="12">
        <v>0.26117493175614198</v>
      </c>
      <c r="U72" s="12">
        <v>0.12626535486806201</v>
      </c>
      <c r="V72" s="12">
        <v>0.19813466787989101</v>
      </c>
      <c r="W72" s="12">
        <v>0.11122327115559601</v>
      </c>
      <c r="X72" s="12">
        <v>0.14995166060054599</v>
      </c>
      <c r="Y72" s="13">
        <v>90433</v>
      </c>
      <c r="Z72" s="13">
        <v>121594</v>
      </c>
      <c r="AA72" s="13">
        <v>1315655</v>
      </c>
      <c r="AB72" s="11">
        <v>200867</v>
      </c>
      <c r="AC72" s="11">
        <v>207896</v>
      </c>
      <c r="AD72" s="12">
        <v>3.4993304027042801E-2</v>
      </c>
      <c r="AE72" s="12">
        <v>0.41522130870593499</v>
      </c>
      <c r="AF72" s="12">
        <v>0.33645148282196702</v>
      </c>
      <c r="AG72" s="12">
        <v>0.14559385065739999</v>
      </c>
      <c r="AH72" s="12">
        <v>4.1729104332717697E-2</v>
      </c>
      <c r="AI72" s="14">
        <v>0.24469922884296599</v>
      </c>
      <c r="AJ72" s="4">
        <v>136560</v>
      </c>
      <c r="AK72" s="5">
        <v>77266</v>
      </c>
      <c r="AL72" s="5">
        <v>60075</v>
      </c>
      <c r="AM72" s="5">
        <v>33785</v>
      </c>
      <c r="AN72" s="6">
        <v>0.56580257762155794</v>
      </c>
      <c r="AO72" s="6">
        <v>0.439916520210896</v>
      </c>
      <c r="AP72" s="6">
        <v>0.24740041007615701</v>
      </c>
      <c r="AQ72" s="6">
        <v>0.125886057410662</v>
      </c>
      <c r="AR72" s="6">
        <v>0.19251611013473899</v>
      </c>
      <c r="AS72" s="6">
        <v>0.102768014059754</v>
      </c>
      <c r="AT72" s="6">
        <v>0.14463239601640299</v>
      </c>
      <c r="AU72" s="7">
        <v>86390</v>
      </c>
      <c r="AV72" s="7">
        <v>120264</v>
      </c>
      <c r="AW72" s="7">
        <v>1286108</v>
      </c>
      <c r="AX72" s="5">
        <v>392523</v>
      </c>
      <c r="AY72" s="5">
        <v>401848</v>
      </c>
      <c r="AZ72" s="6">
        <v>2.3756569678719499E-2</v>
      </c>
      <c r="BA72" s="6">
        <v>0.40472230983169399</v>
      </c>
      <c r="BB72" s="6">
        <v>0.34271367537698399</v>
      </c>
      <c r="BC72" s="6">
        <v>0.13790274710017</v>
      </c>
      <c r="BD72" s="6">
        <v>4.0542847170738999E-2</v>
      </c>
      <c r="BE72" s="8">
        <v>0.249972613069807</v>
      </c>
      <c r="BF72" s="10">
        <v>192839</v>
      </c>
      <c r="BG72" s="11">
        <v>111828</v>
      </c>
      <c r="BH72" s="11">
        <v>88014</v>
      </c>
      <c r="BI72" s="11">
        <v>51162</v>
      </c>
      <c r="BJ72" s="12">
        <v>0.57990344276831995</v>
      </c>
      <c r="BK72" s="12">
        <v>0.45641182540876102</v>
      </c>
      <c r="BL72" s="12">
        <v>0.26530940318089202</v>
      </c>
      <c r="BM72" s="12">
        <v>0.12349161735955901</v>
      </c>
      <c r="BN72" s="12">
        <v>0.191102422227869</v>
      </c>
      <c r="BO72" s="12">
        <v>0.108007197714155</v>
      </c>
      <c r="BP72" s="12">
        <v>0.15730220546673701</v>
      </c>
      <c r="BQ72" s="13">
        <v>89625</v>
      </c>
      <c r="BR72" s="13">
        <v>125056</v>
      </c>
      <c r="BS72" s="13">
        <v>1388339</v>
      </c>
      <c r="BT72" s="11">
        <v>550966</v>
      </c>
      <c r="BU72" s="11">
        <v>561912</v>
      </c>
      <c r="BV72" s="12">
        <v>1.98669246378179E-2</v>
      </c>
      <c r="BW72" s="12">
        <v>0.42550619060008299</v>
      </c>
      <c r="BX72" s="12">
        <v>0.32259703865574302</v>
      </c>
      <c r="BY72" s="12">
        <v>0.14448441464627601</v>
      </c>
      <c r="BZ72" s="12">
        <v>4.1459908596900699E-2</v>
      </c>
      <c r="CA72" s="14">
        <v>0.250848509708403</v>
      </c>
      <c r="CB72" s="86">
        <f t="shared" si="14"/>
        <v>13137313.929999584</v>
      </c>
      <c r="CC72" s="83">
        <v>4734453.9299998796</v>
      </c>
      <c r="CD72" s="83">
        <v>6740010.3999996902</v>
      </c>
      <c r="CE72" s="83">
        <v>1022991.60000001</v>
      </c>
      <c r="CF72" s="83">
        <v>639858.00000000303</v>
      </c>
      <c r="CG72" s="90">
        <f t="shared" si="13"/>
        <v>0.3603821873502287</v>
      </c>
      <c r="CH72" s="90">
        <f t="shared" si="13"/>
        <v>0.51304326256591959</v>
      </c>
      <c r="CI72" s="90">
        <f t="shared" si="13"/>
        <v>7.7869159970667026E-2</v>
      </c>
      <c r="CK72" s="86">
        <f t="shared" si="15"/>
        <v>11417952</v>
      </c>
      <c r="CL72" s="83">
        <v>4023439</v>
      </c>
      <c r="CM72" s="83">
        <v>5844155</v>
      </c>
      <c r="CN72" s="83">
        <v>956073</v>
      </c>
      <c r="CO72" s="83">
        <v>594285</v>
      </c>
      <c r="CP72" s="90">
        <f t="shared" si="16"/>
        <v>0.35237834245580996</v>
      </c>
      <c r="CQ72" s="90">
        <f t="shared" si="16"/>
        <v>0.51183916345067837</v>
      </c>
      <c r="CR72" s="90">
        <f t="shared" si="16"/>
        <v>8.3734193312425903E-2</v>
      </c>
    </row>
    <row r="73" spans="1:96" ht="49.5" thickTop="1" thickBot="1" x14ac:dyDescent="0.3">
      <c r="A73" s="3" t="s">
        <v>291</v>
      </c>
      <c r="B73" s="3">
        <v>514</v>
      </c>
      <c r="C73" s="3" t="s">
        <v>69</v>
      </c>
      <c r="D73" s="16">
        <v>42985</v>
      </c>
      <c r="E73" s="16" t="s">
        <v>531</v>
      </c>
      <c r="F73" s="16" t="s">
        <v>351</v>
      </c>
      <c r="G73" s="17">
        <v>20561</v>
      </c>
      <c r="H73" s="17">
        <v>26034</v>
      </c>
      <c r="I73" s="17" t="s">
        <v>585</v>
      </c>
      <c r="J73" s="18"/>
      <c r="K73" s="18" t="s">
        <v>598</v>
      </c>
      <c r="L73" s="18"/>
      <c r="M73" s="18" t="s">
        <v>598</v>
      </c>
      <c r="N73" s="10">
        <v>69862</v>
      </c>
      <c r="O73" s="11">
        <v>29063</v>
      </c>
      <c r="P73" s="11">
        <v>22240</v>
      </c>
      <c r="Q73" s="11">
        <v>11840</v>
      </c>
      <c r="R73" s="12">
        <v>0.41600584008473901</v>
      </c>
      <c r="S73" s="12">
        <v>0.31834187398013197</v>
      </c>
      <c r="T73" s="12">
        <v>0.16947696888150901</v>
      </c>
      <c r="U73" s="12">
        <v>9.7663966104606204E-2</v>
      </c>
      <c r="V73" s="12">
        <v>0.14886490509862299</v>
      </c>
      <c r="W73" s="12">
        <v>8.1660988806504298E-2</v>
      </c>
      <c r="X73" s="12">
        <v>8.7815980075005004E-2</v>
      </c>
      <c r="Y73" s="13">
        <v>57442</v>
      </c>
      <c r="Z73" s="13">
        <v>88383</v>
      </c>
      <c r="AA73" s="13">
        <v>449051</v>
      </c>
      <c r="AB73" s="11">
        <v>169702</v>
      </c>
      <c r="AC73" s="11">
        <v>185754</v>
      </c>
      <c r="AD73" s="12">
        <v>9.45893389588809E-2</v>
      </c>
      <c r="AE73" s="12">
        <v>0.570694513509034</v>
      </c>
      <c r="AF73" s="12">
        <v>0.32205866754664098</v>
      </c>
      <c r="AG73" s="12">
        <v>8.2226491143298205E-2</v>
      </c>
      <c r="AH73" s="12">
        <v>0.12663374621395199</v>
      </c>
      <c r="AI73" s="14">
        <v>0.147876866507171</v>
      </c>
      <c r="AJ73" s="4">
        <v>155078</v>
      </c>
      <c r="AK73" s="5">
        <v>69999</v>
      </c>
      <c r="AL73" s="5">
        <v>54942</v>
      </c>
      <c r="AM73" s="5">
        <v>31403</v>
      </c>
      <c r="AN73" s="6">
        <v>0.451379305897677</v>
      </c>
      <c r="AO73" s="6">
        <v>0.35428623015514799</v>
      </c>
      <c r="AP73" s="6">
        <v>0.20249809773146399</v>
      </c>
      <c r="AQ73" s="6">
        <v>9.7093075742529594E-2</v>
      </c>
      <c r="AR73" s="6">
        <v>0.151788132423684</v>
      </c>
      <c r="AS73" s="6">
        <v>8.9374379344587904E-2</v>
      </c>
      <c r="AT73" s="6">
        <v>0.113123718386876</v>
      </c>
      <c r="AU73" s="7">
        <v>64147</v>
      </c>
      <c r="AV73" s="7">
        <v>101149</v>
      </c>
      <c r="AW73" s="7">
        <v>619907</v>
      </c>
      <c r="AX73" s="5">
        <v>374791</v>
      </c>
      <c r="AY73" s="5">
        <v>414711</v>
      </c>
      <c r="AZ73" s="6">
        <v>0.10651269640946601</v>
      </c>
      <c r="BA73" s="6">
        <v>0.53638487421328795</v>
      </c>
      <c r="BB73" s="6">
        <v>0.38567361542833201</v>
      </c>
      <c r="BC73" s="6">
        <v>6.57940025240734E-2</v>
      </c>
      <c r="BD73" s="6">
        <v>0.106200522424498</v>
      </c>
      <c r="BE73" s="8">
        <v>0.164726474221633</v>
      </c>
      <c r="BF73" s="10">
        <v>233895</v>
      </c>
      <c r="BG73" s="11">
        <v>109729</v>
      </c>
      <c r="BH73" s="11">
        <v>85448</v>
      </c>
      <c r="BI73" s="11">
        <v>48403</v>
      </c>
      <c r="BJ73" s="12">
        <v>0.46913786100600702</v>
      </c>
      <c r="BK73" s="12">
        <v>0.36532632164005202</v>
      </c>
      <c r="BL73" s="12">
        <v>0.206943286517454</v>
      </c>
      <c r="BM73" s="12">
        <v>0.103811539365955</v>
      </c>
      <c r="BN73" s="12">
        <v>0.15838303512259799</v>
      </c>
      <c r="BO73" s="12">
        <v>8.9296479189379802E-2</v>
      </c>
      <c r="BP73" s="12">
        <v>0.117646807328075</v>
      </c>
      <c r="BQ73" s="13">
        <v>68216</v>
      </c>
      <c r="BR73" s="13">
        <v>104777</v>
      </c>
      <c r="BS73" s="13">
        <v>703247</v>
      </c>
      <c r="BT73" s="11">
        <v>555166</v>
      </c>
      <c r="BU73" s="11">
        <v>612013</v>
      </c>
      <c r="BV73" s="12">
        <v>0.10239640035593001</v>
      </c>
      <c r="BW73" s="12">
        <v>0.542820404625596</v>
      </c>
      <c r="BX73" s="12">
        <v>0.381673229268363</v>
      </c>
      <c r="BY73" s="12">
        <v>6.6349524286429706E-2</v>
      </c>
      <c r="BZ73" s="12">
        <v>9.8122003148607806E-2</v>
      </c>
      <c r="CA73" s="14">
        <v>0.17183689202869101</v>
      </c>
      <c r="CB73" s="86">
        <f t="shared" si="14"/>
        <v>17337966.936461255</v>
      </c>
      <c r="CC73" s="83">
        <v>4619582.13919988</v>
      </c>
      <c r="CD73" s="83">
        <v>9765649.3172613792</v>
      </c>
      <c r="CE73" s="83">
        <v>2082867.03999999</v>
      </c>
      <c r="CF73" s="83">
        <v>869868.44000000705</v>
      </c>
      <c r="CG73" s="90">
        <f t="shared" si="13"/>
        <v>0.26644312773979451</v>
      </c>
      <c r="CH73" s="90">
        <f t="shared" si="13"/>
        <v>0.56325227479379336</v>
      </c>
      <c r="CI73" s="90">
        <f t="shared" si="13"/>
        <v>0.12013329173098027</v>
      </c>
      <c r="CK73" s="86">
        <f t="shared" si="15"/>
        <v>17669250</v>
      </c>
      <c r="CL73" s="83">
        <v>4647143</v>
      </c>
      <c r="CM73" s="83">
        <v>9997933</v>
      </c>
      <c r="CN73" s="83">
        <v>2145867</v>
      </c>
      <c r="CO73" s="83">
        <v>878307</v>
      </c>
      <c r="CP73" s="90">
        <f t="shared" si="16"/>
        <v>0.26300737156359211</v>
      </c>
      <c r="CQ73" s="90">
        <f t="shared" si="16"/>
        <v>0.56583799538746693</v>
      </c>
      <c r="CR73" s="90">
        <f t="shared" si="16"/>
        <v>0.12144641113799397</v>
      </c>
    </row>
    <row r="74" spans="1:96" ht="49.5" thickTop="1" thickBot="1" x14ac:dyDescent="0.3">
      <c r="A74" s="3" t="s">
        <v>292</v>
      </c>
      <c r="B74" s="3">
        <v>605</v>
      </c>
      <c r="C74" s="3" t="s">
        <v>97</v>
      </c>
      <c r="D74" s="16">
        <v>37593</v>
      </c>
      <c r="E74" s="16" t="s">
        <v>536</v>
      </c>
      <c r="F74" s="16" t="s">
        <v>377</v>
      </c>
      <c r="G74" s="17">
        <v>11420</v>
      </c>
      <c r="H74" s="17">
        <v>15150</v>
      </c>
      <c r="I74" s="17" t="s">
        <v>584</v>
      </c>
      <c r="J74" s="18"/>
      <c r="K74" s="18" t="s">
        <v>598</v>
      </c>
      <c r="L74" s="18"/>
      <c r="M74" s="18" t="s">
        <v>598</v>
      </c>
      <c r="N74" s="10">
        <v>48523</v>
      </c>
      <c r="O74" s="11">
        <v>26462</v>
      </c>
      <c r="P74" s="11">
        <v>20939</v>
      </c>
      <c r="Q74" s="11">
        <v>13545</v>
      </c>
      <c r="R74" s="12">
        <v>0.54534962801145803</v>
      </c>
      <c r="S74" s="12">
        <v>0.43152731694248098</v>
      </c>
      <c r="T74" s="12">
        <v>0.27914597201327201</v>
      </c>
      <c r="U74" s="12">
        <v>0.113822311068978</v>
      </c>
      <c r="V74" s="12">
        <v>0.15238134492920899</v>
      </c>
      <c r="W74" s="12">
        <v>7.8663726480225904E-2</v>
      </c>
      <c r="X74" s="12">
        <v>0.200482245533046</v>
      </c>
      <c r="Y74" s="13">
        <v>83440</v>
      </c>
      <c r="Z74" s="13">
        <v>135294</v>
      </c>
      <c r="AA74" s="13">
        <v>1207688</v>
      </c>
      <c r="AB74" s="11">
        <v>105285</v>
      </c>
      <c r="AC74" s="11">
        <v>117456</v>
      </c>
      <c r="AD74" s="12">
        <v>0.11560051289357499</v>
      </c>
      <c r="AE74" s="12">
        <v>0.66541836224262196</v>
      </c>
      <c r="AF74" s="12">
        <v>0.12935365911573299</v>
      </c>
      <c r="AG74" s="12">
        <v>4.5343591204825E-2</v>
      </c>
      <c r="AH74" s="12">
        <v>0.18154532934416101</v>
      </c>
      <c r="AI74" s="14">
        <v>0.21792278102293799</v>
      </c>
      <c r="AJ74" s="4">
        <v>119342</v>
      </c>
      <c r="AK74" s="5">
        <v>58856</v>
      </c>
      <c r="AL74" s="5">
        <v>44723</v>
      </c>
      <c r="AM74" s="5">
        <v>26673</v>
      </c>
      <c r="AN74" s="6">
        <v>0.49317088703055101</v>
      </c>
      <c r="AO74" s="6">
        <v>0.37474652678855702</v>
      </c>
      <c r="AP74" s="6">
        <v>0.22350052789462199</v>
      </c>
      <c r="AQ74" s="6">
        <v>0.118424360241994</v>
      </c>
      <c r="AR74" s="6">
        <v>0.151245998893935</v>
      </c>
      <c r="AS74" s="6">
        <v>7.2480769553049204E-2</v>
      </c>
      <c r="AT74" s="6">
        <v>0.151019758341573</v>
      </c>
      <c r="AU74" s="7">
        <v>73576</v>
      </c>
      <c r="AV74" s="7">
        <v>116016</v>
      </c>
      <c r="AW74" s="7">
        <v>958429</v>
      </c>
      <c r="AX74" s="5">
        <v>267758</v>
      </c>
      <c r="AY74" s="5">
        <v>295162</v>
      </c>
      <c r="AZ74" s="6">
        <v>0.102346148387723</v>
      </c>
      <c r="BA74" s="6">
        <v>0.58461480252312004</v>
      </c>
      <c r="BB74" s="6">
        <v>0.127260436662957</v>
      </c>
      <c r="BC74" s="6">
        <v>5.3006819590824601E-2</v>
      </c>
      <c r="BD74" s="6">
        <v>0.29419849266875298</v>
      </c>
      <c r="BE74" s="8">
        <v>0.20734767962115</v>
      </c>
      <c r="BF74" s="10">
        <v>193049</v>
      </c>
      <c r="BG74" s="11">
        <v>83403</v>
      </c>
      <c r="BH74" s="11">
        <v>61208</v>
      </c>
      <c r="BI74" s="11">
        <v>35434</v>
      </c>
      <c r="BJ74" s="12">
        <v>0.432030209946697</v>
      </c>
      <c r="BK74" s="12">
        <v>0.317059399427088</v>
      </c>
      <c r="BL74" s="12">
        <v>0.18354925433439201</v>
      </c>
      <c r="BM74" s="12">
        <v>0.114970810519609</v>
      </c>
      <c r="BN74" s="12">
        <v>0.13351014509269701</v>
      </c>
      <c r="BO74" s="12">
        <v>6.3558992794575497E-2</v>
      </c>
      <c r="BP74" s="12">
        <v>0.119990261539816</v>
      </c>
      <c r="BQ74" s="13">
        <v>63134</v>
      </c>
      <c r="BR74" s="13">
        <v>101679</v>
      </c>
      <c r="BS74" s="13">
        <v>823768</v>
      </c>
      <c r="BT74" s="11">
        <v>452722</v>
      </c>
      <c r="BU74" s="11">
        <v>492974</v>
      </c>
      <c r="BV74" s="12">
        <v>8.8911075671162396E-2</v>
      </c>
      <c r="BW74" s="12">
        <v>0.49354225037691801</v>
      </c>
      <c r="BX74" s="12">
        <v>0.15787834476787099</v>
      </c>
      <c r="BY74" s="12">
        <v>5.6133786297109502E-2</v>
      </c>
      <c r="BZ74" s="12">
        <v>0.33171350188415799</v>
      </c>
      <c r="CA74" s="14">
        <v>0.21077614960174201</v>
      </c>
      <c r="CB74" s="86">
        <f t="shared" si="14"/>
        <v>18966041.190832749</v>
      </c>
      <c r="CC74" s="83">
        <v>14899025.460832801</v>
      </c>
      <c r="CD74" s="83">
        <v>166639.39000000001</v>
      </c>
      <c r="CE74" s="83">
        <v>2972166.4199999399</v>
      </c>
      <c r="CF74" s="83">
        <v>928209.92000000901</v>
      </c>
      <c r="CG74" s="90">
        <f t="shared" si="13"/>
        <v>0.7855632765383983</v>
      </c>
      <c r="CH74" s="90">
        <f t="shared" si="13"/>
        <v>8.7861978323945274E-3</v>
      </c>
      <c r="CI74" s="90">
        <f t="shared" si="13"/>
        <v>0.15670990008376334</v>
      </c>
      <c r="CK74" s="86">
        <f t="shared" si="15"/>
        <v>19332678</v>
      </c>
      <c r="CL74" s="83">
        <v>15226951</v>
      </c>
      <c r="CM74" s="83">
        <v>197783</v>
      </c>
      <c r="CN74" s="83">
        <v>2998350</v>
      </c>
      <c r="CO74" s="83">
        <v>909594</v>
      </c>
      <c r="CP74" s="90">
        <f t="shared" si="16"/>
        <v>0.78762761165318118</v>
      </c>
      <c r="CQ74" s="90">
        <f t="shared" si="16"/>
        <v>1.0230501951152344E-2</v>
      </c>
      <c r="CR74" s="90">
        <f t="shared" si="16"/>
        <v>0.15509232606056958</v>
      </c>
    </row>
    <row r="75" spans="1:96" ht="37.5" thickTop="1" thickBot="1" x14ac:dyDescent="0.3">
      <c r="A75" s="3" t="s">
        <v>298</v>
      </c>
      <c r="B75" s="3">
        <v>1203</v>
      </c>
      <c r="C75" s="3" t="s">
        <v>207</v>
      </c>
      <c r="D75" s="16">
        <v>40647</v>
      </c>
      <c r="E75" s="16" t="s">
        <v>559</v>
      </c>
      <c r="F75" s="16" t="s">
        <v>465</v>
      </c>
      <c r="G75" s="17">
        <v>21916</v>
      </c>
      <c r="H75" s="17">
        <v>29118</v>
      </c>
      <c r="I75" s="17" t="s">
        <v>585</v>
      </c>
      <c r="J75" s="18"/>
      <c r="K75" s="18" t="s">
        <v>598</v>
      </c>
      <c r="L75" s="18"/>
      <c r="M75" s="18" t="s">
        <v>519</v>
      </c>
      <c r="N75" s="10">
        <v>28612</v>
      </c>
      <c r="O75" s="11">
        <v>11346</v>
      </c>
      <c r="P75" s="11">
        <v>7445</v>
      </c>
      <c r="Q75" s="11">
        <v>3369</v>
      </c>
      <c r="R75" s="12">
        <v>0.39654690339717602</v>
      </c>
      <c r="S75" s="12">
        <v>0.260205508178387</v>
      </c>
      <c r="T75" s="12">
        <v>0.11774779812666</v>
      </c>
      <c r="U75" s="12">
        <v>0.13634139521878899</v>
      </c>
      <c r="V75" s="12">
        <v>0.142457710051727</v>
      </c>
      <c r="W75" s="12">
        <v>4.6553893471270799E-2</v>
      </c>
      <c r="X75" s="12">
        <v>7.1193904655389301E-2</v>
      </c>
      <c r="Y75" s="13">
        <v>58690</v>
      </c>
      <c r="Z75" s="13">
        <v>84661</v>
      </c>
      <c r="AA75" s="13">
        <v>794989</v>
      </c>
      <c r="AB75" s="11">
        <v>69219</v>
      </c>
      <c r="AC75" s="11">
        <v>76710</v>
      </c>
      <c r="AD75" s="12">
        <v>0.108221731027608</v>
      </c>
      <c r="AE75" s="12">
        <v>0.30979065341509798</v>
      </c>
      <c r="AF75" s="12">
        <v>0.368814920758751</v>
      </c>
      <c r="AG75" s="12">
        <v>5.70797035496034E-2</v>
      </c>
      <c r="AH75" s="12">
        <v>2.6784553374073601E-2</v>
      </c>
      <c r="AI75" s="14">
        <v>0.22896892471720201</v>
      </c>
      <c r="AJ75" s="4">
        <v>68202</v>
      </c>
      <c r="AK75" s="5">
        <v>32330</v>
      </c>
      <c r="AL75" s="5">
        <v>23651</v>
      </c>
      <c r="AM75" s="5">
        <v>11615</v>
      </c>
      <c r="AN75" s="6">
        <v>0.47403301955954402</v>
      </c>
      <c r="AO75" s="6">
        <v>0.34677868684202801</v>
      </c>
      <c r="AP75" s="6">
        <v>0.17030292366792801</v>
      </c>
      <c r="AQ75" s="6">
        <v>0.12725433271751599</v>
      </c>
      <c r="AR75" s="6">
        <v>0.17647576317409999</v>
      </c>
      <c r="AS75" s="6">
        <v>7.4543268525849707E-2</v>
      </c>
      <c r="AT75" s="6">
        <v>9.5759655142077904E-2</v>
      </c>
      <c r="AU75" s="7">
        <v>69366</v>
      </c>
      <c r="AV75" s="7">
        <v>97727</v>
      </c>
      <c r="AW75" s="7">
        <v>1109799</v>
      </c>
      <c r="AX75" s="5">
        <v>158023</v>
      </c>
      <c r="AY75" s="5">
        <v>172521</v>
      </c>
      <c r="AZ75" s="6">
        <v>9.1746138220385604E-2</v>
      </c>
      <c r="BA75" s="6">
        <v>0.391123119173103</v>
      </c>
      <c r="BB75" s="6">
        <v>0.25718408079836502</v>
      </c>
      <c r="BC75" s="6">
        <v>5.9225555773526603E-2</v>
      </c>
      <c r="BD75" s="6">
        <v>2.4369870208767099E-2</v>
      </c>
      <c r="BE75" s="8">
        <v>0.26225296317624702</v>
      </c>
      <c r="BF75" s="10">
        <v>118846</v>
      </c>
      <c r="BG75" s="11">
        <v>51762</v>
      </c>
      <c r="BH75" s="11">
        <v>36046</v>
      </c>
      <c r="BI75" s="11">
        <v>16380</v>
      </c>
      <c r="BJ75" s="12">
        <v>0.43553842788146002</v>
      </c>
      <c r="BK75" s="12">
        <v>0.30330006899685302</v>
      </c>
      <c r="BL75" s="12">
        <v>0.13782542113323101</v>
      </c>
      <c r="BM75" s="12">
        <v>0.132238358884607</v>
      </c>
      <c r="BN75" s="12">
        <v>0.16547464786362201</v>
      </c>
      <c r="BO75" s="12">
        <v>6.3090049307507196E-2</v>
      </c>
      <c r="BP75" s="12">
        <v>7.4735371825723998E-2</v>
      </c>
      <c r="BQ75" s="13">
        <v>63194</v>
      </c>
      <c r="BR75" s="13">
        <v>88783</v>
      </c>
      <c r="BS75" s="13">
        <v>875131</v>
      </c>
      <c r="BT75" s="11">
        <v>288561</v>
      </c>
      <c r="BU75" s="11">
        <v>310886</v>
      </c>
      <c r="BV75" s="12">
        <v>7.7366657309892894E-2</v>
      </c>
      <c r="BW75" s="12">
        <v>0.33951522947211898</v>
      </c>
      <c r="BX75" s="12">
        <v>0.28547863363379</v>
      </c>
      <c r="BY75" s="12">
        <v>6.2049272077654302E-2</v>
      </c>
      <c r="BZ75" s="12">
        <v>2.8940154767969298E-2</v>
      </c>
      <c r="CA75" s="14">
        <v>0.24313056857995399</v>
      </c>
      <c r="CB75" s="86">
        <f t="shared" si="14"/>
        <v>28497763.137157243</v>
      </c>
      <c r="CC75" s="83">
        <v>10706093.875277501</v>
      </c>
      <c r="CD75" s="83">
        <v>12310088.391879801</v>
      </c>
      <c r="CE75" s="83">
        <v>4075974.04999993</v>
      </c>
      <c r="CF75" s="83">
        <v>1405606.8200000101</v>
      </c>
      <c r="CG75" s="90">
        <f t="shared" si="13"/>
        <v>0.37568190260232026</v>
      </c>
      <c r="CH75" s="90">
        <f t="shared" si="13"/>
        <v>0.43196682955895244</v>
      </c>
      <c r="CI75" s="90">
        <f t="shared" si="13"/>
        <v>0.14302785907731155</v>
      </c>
      <c r="CK75" s="86">
        <f t="shared" si="15"/>
        <v>28736318</v>
      </c>
      <c r="CL75" s="83">
        <v>10687024</v>
      </c>
      <c r="CM75" s="83">
        <v>12526599</v>
      </c>
      <c r="CN75" s="83">
        <v>4064572</v>
      </c>
      <c r="CO75" s="83">
        <v>1458123</v>
      </c>
      <c r="CP75" s="90">
        <f t="shared" si="16"/>
        <v>0.37189955929635798</v>
      </c>
      <c r="CQ75" s="90">
        <f t="shared" si="16"/>
        <v>0.4359152414724809</v>
      </c>
      <c r="CR75" s="90">
        <f t="shared" si="16"/>
        <v>0.14144372984736597</v>
      </c>
    </row>
    <row r="76" spans="1:96" ht="49.5" thickTop="1" thickBot="1" x14ac:dyDescent="0.3">
      <c r="A76" s="3" t="s">
        <v>291</v>
      </c>
      <c r="B76" s="3">
        <v>520</v>
      </c>
      <c r="C76" s="3" t="s">
        <v>75</v>
      </c>
      <c r="D76" s="16">
        <v>42978</v>
      </c>
      <c r="E76" s="16" t="s">
        <v>530</v>
      </c>
      <c r="F76" s="16" t="s">
        <v>357</v>
      </c>
      <c r="G76" s="17">
        <v>20684</v>
      </c>
      <c r="H76" s="17">
        <v>25000</v>
      </c>
      <c r="I76" s="17" t="s">
        <v>585</v>
      </c>
      <c r="J76" s="18"/>
      <c r="K76" s="18" t="s">
        <v>598</v>
      </c>
      <c r="L76" s="18"/>
      <c r="M76" s="18" t="s">
        <v>598</v>
      </c>
      <c r="N76" s="10">
        <v>27486</v>
      </c>
      <c r="O76" s="11">
        <v>12092</v>
      </c>
      <c r="P76" s="11">
        <v>7984</v>
      </c>
      <c r="Q76" s="11">
        <v>2743</v>
      </c>
      <c r="R76" s="12">
        <v>0.43993305682893102</v>
      </c>
      <c r="S76" s="12">
        <v>0.290475150985956</v>
      </c>
      <c r="T76" s="12">
        <v>9.9796259914138097E-2</v>
      </c>
      <c r="U76" s="12">
        <v>0.149457905842975</v>
      </c>
      <c r="V76" s="12">
        <v>0.19067889107181801</v>
      </c>
      <c r="W76" s="12">
        <v>6.3341337408135107E-2</v>
      </c>
      <c r="X76" s="12">
        <v>3.6454922506003101E-2</v>
      </c>
      <c r="Y76" s="13">
        <v>66158</v>
      </c>
      <c r="Z76" s="13">
        <v>81376</v>
      </c>
      <c r="AA76" s="13">
        <v>523735</v>
      </c>
      <c r="AB76" s="11">
        <v>72356</v>
      </c>
      <c r="AC76" s="11">
        <v>78076</v>
      </c>
      <c r="AD76" s="12">
        <v>7.9053568467024202E-2</v>
      </c>
      <c r="AE76" s="12">
        <v>0.30744316792960202</v>
      </c>
      <c r="AF76" s="12">
        <v>0.40841118912045998</v>
      </c>
      <c r="AG76" s="12">
        <v>4.0964121842003397E-2</v>
      </c>
      <c r="AH76" s="12">
        <v>0.115512189728564</v>
      </c>
      <c r="AI76" s="14">
        <v>0.223934435292167</v>
      </c>
      <c r="AJ76" s="4">
        <v>71205</v>
      </c>
      <c r="AK76" s="5">
        <v>32973</v>
      </c>
      <c r="AL76" s="5">
        <v>21895</v>
      </c>
      <c r="AM76" s="5">
        <v>8015</v>
      </c>
      <c r="AN76" s="6">
        <v>0.46307141352433101</v>
      </c>
      <c r="AO76" s="6">
        <v>0.30749245137279702</v>
      </c>
      <c r="AP76" s="6">
        <v>0.11256232006179299</v>
      </c>
      <c r="AQ76" s="6">
        <v>0.15557896215153399</v>
      </c>
      <c r="AR76" s="6">
        <v>0.19493013131100301</v>
      </c>
      <c r="AS76" s="6">
        <v>6.8506425110596195E-2</v>
      </c>
      <c r="AT76" s="6">
        <v>4.4055894951197203E-2</v>
      </c>
      <c r="AU76" s="7">
        <v>69179</v>
      </c>
      <c r="AV76" s="7">
        <v>84878</v>
      </c>
      <c r="AW76" s="7">
        <v>636013</v>
      </c>
      <c r="AX76" s="5">
        <v>198287</v>
      </c>
      <c r="AY76" s="5">
        <v>212454</v>
      </c>
      <c r="AZ76" s="6">
        <v>7.1446943067371996E-2</v>
      </c>
      <c r="BA76" s="6">
        <v>0.30549179536320997</v>
      </c>
      <c r="BB76" s="6">
        <v>0.40764649220574201</v>
      </c>
      <c r="BC76" s="6">
        <v>3.6628725029880897E-2</v>
      </c>
      <c r="BD76" s="6">
        <v>0.14028655433790399</v>
      </c>
      <c r="BE76" s="8">
        <v>0.23174489502589701</v>
      </c>
      <c r="BF76" s="10">
        <v>121326</v>
      </c>
      <c r="BG76" s="11">
        <v>55531</v>
      </c>
      <c r="BH76" s="11">
        <v>36613</v>
      </c>
      <c r="BI76" s="11">
        <v>14016</v>
      </c>
      <c r="BJ76" s="12">
        <v>0.45770074015462497</v>
      </c>
      <c r="BK76" s="12">
        <v>0.30177373357730403</v>
      </c>
      <c r="BL76" s="12">
        <v>0.115523465703971</v>
      </c>
      <c r="BM76" s="12">
        <v>0.155927006577321</v>
      </c>
      <c r="BN76" s="12">
        <v>0.18625026787333299</v>
      </c>
      <c r="BO76" s="12">
        <v>7.1691146168174999E-2</v>
      </c>
      <c r="BP76" s="12">
        <v>4.3832319535796103E-2</v>
      </c>
      <c r="BQ76" s="13">
        <v>68284</v>
      </c>
      <c r="BR76" s="13">
        <v>84349</v>
      </c>
      <c r="BS76" s="13">
        <v>625745</v>
      </c>
      <c r="BT76" s="11">
        <v>338232</v>
      </c>
      <c r="BU76" s="11">
        <v>367975</v>
      </c>
      <c r="BV76" s="12">
        <v>8.7936682513777495E-2</v>
      </c>
      <c r="BW76" s="12">
        <v>0.30696440415653298</v>
      </c>
      <c r="BX76" s="12">
        <v>0.41859729416495201</v>
      </c>
      <c r="BY76" s="12">
        <v>3.5517041557274302E-2</v>
      </c>
      <c r="BZ76" s="12">
        <v>0.15684796234537199</v>
      </c>
      <c r="CA76" s="14">
        <v>0.22475697154615801</v>
      </c>
      <c r="CB76" s="86">
        <f t="shared" si="14"/>
        <v>17414106.009999342</v>
      </c>
      <c r="CC76" s="83">
        <v>3600482.8999999301</v>
      </c>
      <c r="CD76" s="83">
        <v>11082909.639999401</v>
      </c>
      <c r="CE76" s="83">
        <v>1810385.96</v>
      </c>
      <c r="CF76" s="83">
        <v>920327.51000001095</v>
      </c>
      <c r="CG76" s="90">
        <f t="shared" si="13"/>
        <v>0.20675668896999358</v>
      </c>
      <c r="CH76" s="90">
        <f t="shared" si="13"/>
        <v>0.63643287996728004</v>
      </c>
      <c r="CI76" s="90">
        <f t="shared" si="13"/>
        <v>0.10396089003710322</v>
      </c>
      <c r="CK76" s="86">
        <f t="shared" si="15"/>
        <v>17284672</v>
      </c>
      <c r="CL76" s="83">
        <v>3364230</v>
      </c>
      <c r="CM76" s="83">
        <v>11212582</v>
      </c>
      <c r="CN76" s="83">
        <v>1765165</v>
      </c>
      <c r="CO76" s="83">
        <v>942695</v>
      </c>
      <c r="CP76" s="90">
        <f t="shared" si="16"/>
        <v>0.19463661213819966</v>
      </c>
      <c r="CQ76" s="90">
        <f t="shared" si="16"/>
        <v>0.64870088364997613</v>
      </c>
      <c r="CR76" s="90">
        <f t="shared" si="16"/>
        <v>0.10212314124329348</v>
      </c>
    </row>
    <row r="77" spans="1:96" ht="37.5" thickTop="1" thickBot="1" x14ac:dyDescent="0.3">
      <c r="A77" s="3" t="s">
        <v>295</v>
      </c>
      <c r="B77" s="3">
        <v>916</v>
      </c>
      <c r="C77" s="3" t="s">
        <v>131</v>
      </c>
      <c r="D77" s="16">
        <v>40486</v>
      </c>
      <c r="E77" s="16" t="s">
        <v>545</v>
      </c>
      <c r="F77" s="16" t="s">
        <v>407</v>
      </c>
      <c r="G77" s="17">
        <v>16511</v>
      </c>
      <c r="H77" s="17">
        <v>20000</v>
      </c>
      <c r="I77" s="17" t="s">
        <v>584</v>
      </c>
      <c r="J77" s="18"/>
      <c r="K77" s="18" t="s">
        <v>598</v>
      </c>
      <c r="L77" s="18"/>
      <c r="M77" s="18" t="s">
        <v>598</v>
      </c>
      <c r="N77" s="10">
        <v>16790</v>
      </c>
      <c r="O77" s="11">
        <v>8080</v>
      </c>
      <c r="P77" s="11">
        <v>5500</v>
      </c>
      <c r="Q77" s="11">
        <v>2559</v>
      </c>
      <c r="R77" s="12">
        <v>0.481238832638475</v>
      </c>
      <c r="S77" s="12">
        <v>0.32757593805836799</v>
      </c>
      <c r="T77" s="12">
        <v>0.152412150089339</v>
      </c>
      <c r="U77" s="12">
        <v>0.15366289458010701</v>
      </c>
      <c r="V77" s="12">
        <v>0.17516378796902901</v>
      </c>
      <c r="W77" s="12">
        <v>7.2781417510422899E-2</v>
      </c>
      <c r="X77" s="12">
        <v>7.9630732578915994E-2</v>
      </c>
      <c r="Y77" s="13">
        <v>71376</v>
      </c>
      <c r="Z77" s="13">
        <v>95152</v>
      </c>
      <c r="AA77" s="13">
        <v>1360603</v>
      </c>
      <c r="AB77" s="11">
        <v>37211</v>
      </c>
      <c r="AC77" s="11">
        <v>39242</v>
      </c>
      <c r="AD77" s="12">
        <v>5.4580634758539102E-2</v>
      </c>
      <c r="AE77" s="12">
        <v>0.33638651233014599</v>
      </c>
      <c r="AF77" s="12">
        <v>0.10373276719249699</v>
      </c>
      <c r="AG77" s="12">
        <v>1.7844185859020201E-2</v>
      </c>
      <c r="AH77" s="12">
        <v>5.8154846685119999E-2</v>
      </c>
      <c r="AI77" s="14">
        <v>0.33495471769100499</v>
      </c>
      <c r="AJ77" s="4">
        <v>49058</v>
      </c>
      <c r="AK77" s="5">
        <v>21000</v>
      </c>
      <c r="AL77" s="5">
        <v>13860</v>
      </c>
      <c r="AM77" s="5">
        <v>5864</v>
      </c>
      <c r="AN77" s="6">
        <v>0.42806473969587</v>
      </c>
      <c r="AO77" s="6">
        <v>0.28252272819927399</v>
      </c>
      <c r="AP77" s="6">
        <v>0.119531982551266</v>
      </c>
      <c r="AQ77" s="6">
        <v>0.14554201149659601</v>
      </c>
      <c r="AR77" s="6">
        <v>0.162990745648008</v>
      </c>
      <c r="AS77" s="6">
        <v>5.9949447592645401E-2</v>
      </c>
      <c r="AT77" s="6">
        <v>5.9582534958620398E-2</v>
      </c>
      <c r="AU77" s="7">
        <v>62481</v>
      </c>
      <c r="AV77" s="7">
        <v>85369</v>
      </c>
      <c r="AW77" s="7">
        <v>1129541</v>
      </c>
      <c r="AX77" s="5">
        <v>109149</v>
      </c>
      <c r="AY77" s="5">
        <v>113796</v>
      </c>
      <c r="AZ77" s="6">
        <v>4.2574828903608801E-2</v>
      </c>
      <c r="BA77" s="6">
        <v>0.31080410992077701</v>
      </c>
      <c r="BB77" s="6">
        <v>0.136025066652008</v>
      </c>
      <c r="BC77" s="6">
        <v>1.7975428084545001E-2</v>
      </c>
      <c r="BD77" s="6">
        <v>8.8347121824295202E-2</v>
      </c>
      <c r="BE77" s="8">
        <v>0.30711229603569401</v>
      </c>
      <c r="BF77" s="10">
        <v>84436</v>
      </c>
      <c r="BG77" s="11">
        <v>36000</v>
      </c>
      <c r="BH77" s="11">
        <v>23375</v>
      </c>
      <c r="BI77" s="11">
        <v>9940</v>
      </c>
      <c r="BJ77" s="12">
        <v>0.42635842531621598</v>
      </c>
      <c r="BK77" s="12">
        <v>0.27683689421573698</v>
      </c>
      <c r="BL77" s="12">
        <v>0.11772229854564401</v>
      </c>
      <c r="BM77" s="12">
        <v>0.149521531100478</v>
      </c>
      <c r="BN77" s="12">
        <v>0.15911459567009301</v>
      </c>
      <c r="BO77" s="12">
        <v>5.9548060069164799E-2</v>
      </c>
      <c r="BP77" s="12">
        <v>5.8174238476479199E-2</v>
      </c>
      <c r="BQ77" s="13">
        <v>63269</v>
      </c>
      <c r="BR77" s="13">
        <v>85589</v>
      </c>
      <c r="BS77" s="13">
        <v>1069360</v>
      </c>
      <c r="BT77" s="11">
        <v>200649</v>
      </c>
      <c r="BU77" s="11">
        <v>208777</v>
      </c>
      <c r="BV77" s="12">
        <v>4.0508549756041602E-2</v>
      </c>
      <c r="BW77" s="12">
        <v>0.28493969237578798</v>
      </c>
      <c r="BX77" s="12">
        <v>0.17177259791975</v>
      </c>
      <c r="BY77" s="12">
        <v>1.8654466256995999E-2</v>
      </c>
      <c r="BZ77" s="12">
        <v>0.11323754416917101</v>
      </c>
      <c r="CA77" s="14">
        <v>0.289066977657501</v>
      </c>
      <c r="CB77" s="86">
        <f t="shared" si="14"/>
        <v>26356147.619976312</v>
      </c>
      <c r="CC77" s="83">
        <v>11267140.6278101</v>
      </c>
      <c r="CD77" s="83">
        <v>10544711.2299996</v>
      </c>
      <c r="CE77" s="83">
        <v>3083644.8124999399</v>
      </c>
      <c r="CF77" s="83">
        <v>1460650.9496666701</v>
      </c>
      <c r="CG77" s="90">
        <f t="shared" si="13"/>
        <v>0.42749573231523075</v>
      </c>
      <c r="CH77" s="90">
        <f t="shared" si="13"/>
        <v>0.40008545186654548</v>
      </c>
      <c r="CI77" s="90">
        <f t="shared" si="13"/>
        <v>0.11699907197980368</v>
      </c>
      <c r="CK77" s="86">
        <f t="shared" si="15"/>
        <v>23717623</v>
      </c>
      <c r="CL77" s="83">
        <v>10140660</v>
      </c>
      <c r="CM77" s="83">
        <v>9505663</v>
      </c>
      <c r="CN77" s="83">
        <v>2721133</v>
      </c>
      <c r="CO77" s="83">
        <v>1350167</v>
      </c>
      <c r="CP77" s="90">
        <f t="shared" si="16"/>
        <v>0.42755802299412549</v>
      </c>
      <c r="CQ77" s="90">
        <f t="shared" si="16"/>
        <v>0.40078480883181256</v>
      </c>
      <c r="CR77" s="90">
        <f t="shared" si="16"/>
        <v>0.11473042640065576</v>
      </c>
    </row>
    <row r="78" spans="1:96" ht="37.5" thickTop="1" thickBot="1" x14ac:dyDescent="0.3">
      <c r="A78" s="3" t="s">
        <v>312</v>
      </c>
      <c r="B78" s="3">
        <v>2601</v>
      </c>
      <c r="C78" s="3" t="s">
        <v>271</v>
      </c>
      <c r="D78" s="16">
        <v>44378</v>
      </c>
      <c r="E78" s="16" t="s">
        <v>579</v>
      </c>
      <c r="F78" s="16" t="s">
        <v>645</v>
      </c>
      <c r="G78" s="17">
        <v>27450</v>
      </c>
      <c r="H78" s="17">
        <v>34250</v>
      </c>
      <c r="I78" s="17" t="s">
        <v>585</v>
      </c>
      <c r="J78" s="18"/>
      <c r="K78" s="18" t="s">
        <v>598</v>
      </c>
      <c r="L78" s="18"/>
      <c r="M78" s="18" t="s">
        <v>519</v>
      </c>
      <c r="N78" s="10">
        <v>16651</v>
      </c>
      <c r="O78" s="11">
        <v>8105</v>
      </c>
      <c r="P78" s="11">
        <v>5947</v>
      </c>
      <c r="Q78" s="11">
        <v>3183</v>
      </c>
      <c r="R78" s="12">
        <v>0.48675755209897298</v>
      </c>
      <c r="S78" s="12">
        <v>0.35715572638280002</v>
      </c>
      <c r="T78" s="12">
        <v>0.19115969010870201</v>
      </c>
      <c r="U78" s="12">
        <v>0.12960182571617301</v>
      </c>
      <c r="V78" s="12">
        <v>0.16599603627409801</v>
      </c>
      <c r="W78" s="12">
        <v>6.9004864572698305E-2</v>
      </c>
      <c r="X78" s="12">
        <v>0.122154825536004</v>
      </c>
      <c r="Y78" s="13">
        <v>72059</v>
      </c>
      <c r="Z78" s="13">
        <v>102770</v>
      </c>
      <c r="AA78" s="13">
        <v>1328663</v>
      </c>
      <c r="AB78" s="11">
        <v>40925</v>
      </c>
      <c r="AC78" s="11">
        <v>42463</v>
      </c>
      <c r="AD78" s="12">
        <v>3.7580940745265697E-2</v>
      </c>
      <c r="AE78" s="12">
        <v>0.55116900223189802</v>
      </c>
      <c r="AF78" s="12">
        <v>5.3023824068417803E-2</v>
      </c>
      <c r="AG78" s="12">
        <v>8.1979230299327993E-2</v>
      </c>
      <c r="AH78" s="12">
        <v>0.109224190592547</v>
      </c>
      <c r="AI78" s="14">
        <v>0.22494807574831999</v>
      </c>
      <c r="AJ78" s="4">
        <v>46288</v>
      </c>
      <c r="AK78" s="5">
        <v>23388</v>
      </c>
      <c r="AL78" s="5">
        <v>17128</v>
      </c>
      <c r="AM78" s="5">
        <v>8827</v>
      </c>
      <c r="AN78" s="6">
        <v>0.50527134462495704</v>
      </c>
      <c r="AO78" s="6">
        <v>0.37003110957483598</v>
      </c>
      <c r="AP78" s="6">
        <v>0.190697372969236</v>
      </c>
      <c r="AQ78" s="6">
        <v>0.135240235050121</v>
      </c>
      <c r="AR78" s="6">
        <v>0.17933373660560001</v>
      </c>
      <c r="AS78" s="6">
        <v>8.0171966816453499E-2</v>
      </c>
      <c r="AT78" s="6">
        <v>0.110525406152783</v>
      </c>
      <c r="AU78" s="7">
        <v>75727</v>
      </c>
      <c r="AV78" s="7">
        <v>102858</v>
      </c>
      <c r="AW78" s="7">
        <v>1294819</v>
      </c>
      <c r="AX78" s="5">
        <v>118384</v>
      </c>
      <c r="AY78" s="5">
        <v>122161</v>
      </c>
      <c r="AZ78" s="6">
        <v>3.1904649276929299E-2</v>
      </c>
      <c r="BA78" s="6">
        <v>0.53930015825567101</v>
      </c>
      <c r="BB78" s="6">
        <v>5.5801459656710399E-2</v>
      </c>
      <c r="BC78" s="6">
        <v>7.1175158805243999E-2</v>
      </c>
      <c r="BD78" s="6">
        <v>0.147427017164482</v>
      </c>
      <c r="BE78" s="8">
        <v>0.23712663873496401</v>
      </c>
      <c r="BF78" s="10">
        <v>98044</v>
      </c>
      <c r="BG78" s="11">
        <v>42135</v>
      </c>
      <c r="BH78" s="11">
        <v>29105</v>
      </c>
      <c r="BI78" s="11">
        <v>13891</v>
      </c>
      <c r="BJ78" s="12">
        <v>0.429756027905838</v>
      </c>
      <c r="BK78" s="12">
        <v>0.29685651340214603</v>
      </c>
      <c r="BL78" s="12">
        <v>0.141681285953245</v>
      </c>
      <c r="BM78" s="12">
        <v>0.132899514503692</v>
      </c>
      <c r="BN78" s="12">
        <v>0.1551752274489</v>
      </c>
      <c r="BO78" s="12">
        <v>6.1666190689894297E-2</v>
      </c>
      <c r="BP78" s="12">
        <v>8.0015095263351196E-2</v>
      </c>
      <c r="BQ78" s="13">
        <v>63331</v>
      </c>
      <c r="BR78" s="13">
        <v>89052</v>
      </c>
      <c r="BS78" s="13">
        <v>914547</v>
      </c>
      <c r="BT78" s="11">
        <v>259278</v>
      </c>
      <c r="BU78" s="11">
        <v>268783</v>
      </c>
      <c r="BV78" s="12">
        <v>3.6659492899513299E-2</v>
      </c>
      <c r="BW78" s="12">
        <v>0.441977604255544</v>
      </c>
      <c r="BX78" s="12">
        <v>0.116431012272541</v>
      </c>
      <c r="BY78" s="12">
        <v>5.3699118320875698E-2</v>
      </c>
      <c r="BZ78" s="12">
        <v>0.183887564698895</v>
      </c>
      <c r="CA78" s="14">
        <v>0.22424964709693801</v>
      </c>
      <c r="CB78" s="86">
        <f t="shared" si="14"/>
        <v>22983622.329998963</v>
      </c>
      <c r="CC78" s="83">
        <v>9092004.0299995095</v>
      </c>
      <c r="CD78" s="83">
        <v>9359804.5099995192</v>
      </c>
      <c r="CE78" s="83">
        <v>3275753.8599999198</v>
      </c>
      <c r="CF78" s="83">
        <v>1256059.9300000099</v>
      </c>
      <c r="CG78" s="90">
        <f t="shared" si="13"/>
        <v>0.3955862091473864</v>
      </c>
      <c r="CH78" s="90">
        <f t="shared" si="13"/>
        <v>0.40723800520263514</v>
      </c>
      <c r="CI78" s="90">
        <f t="shared" si="13"/>
        <v>0.14252556942359346</v>
      </c>
      <c r="CK78" s="86">
        <f t="shared" si="15"/>
        <v>22948820</v>
      </c>
      <c r="CL78" s="83">
        <v>9044508</v>
      </c>
      <c r="CM78" s="83">
        <v>9394161</v>
      </c>
      <c r="CN78" s="83">
        <v>3257859</v>
      </c>
      <c r="CO78" s="83">
        <v>1252292</v>
      </c>
      <c r="CP78" s="90">
        <f t="shared" si="16"/>
        <v>0.39411647309099118</v>
      </c>
      <c r="CQ78" s="90">
        <f t="shared" si="16"/>
        <v>0.40935268131433339</v>
      </c>
      <c r="CR78" s="90">
        <f t="shared" si="16"/>
        <v>0.14196193965528511</v>
      </c>
    </row>
    <row r="79" spans="1:96" ht="25.5" thickTop="1" thickBot="1" x14ac:dyDescent="0.3">
      <c r="A79" s="3" t="s">
        <v>295</v>
      </c>
      <c r="B79" s="3" t="s">
        <v>708</v>
      </c>
      <c r="C79" s="3" t="s">
        <v>708</v>
      </c>
      <c r="D79" s="16">
        <v>45547</v>
      </c>
      <c r="E79" s="39" t="s">
        <v>545</v>
      </c>
      <c r="F79" s="16" t="s">
        <v>709</v>
      </c>
      <c r="G79" s="17"/>
      <c r="H79" s="17">
        <v>21843</v>
      </c>
      <c r="I79" s="17" t="s">
        <v>584</v>
      </c>
      <c r="J79" s="18"/>
      <c r="K79" s="18"/>
      <c r="L79" s="18"/>
      <c r="M79" s="18" t="s">
        <v>598</v>
      </c>
      <c r="N79" s="42">
        <v>15543</v>
      </c>
      <c r="O79" s="43">
        <v>6573</v>
      </c>
      <c r="P79" s="43">
        <v>4281</v>
      </c>
      <c r="Q79" s="43">
        <v>1689</v>
      </c>
      <c r="R79" s="44">
        <v>0.422891333719359</v>
      </c>
      <c r="S79" s="44">
        <v>0.275429453773403</v>
      </c>
      <c r="T79" s="44">
        <v>0.108666280640803</v>
      </c>
      <c r="U79" s="44">
        <v>0.147461879945956</v>
      </c>
      <c r="V79" s="44">
        <v>0.1667631731326</v>
      </c>
      <c r="W79" s="44">
        <v>5.4558322074245602E-2</v>
      </c>
      <c r="X79" s="44">
        <v>5.4107958566557299E-2</v>
      </c>
      <c r="Y79" s="45">
        <v>61684</v>
      </c>
      <c r="Z79" s="45">
        <v>86537</v>
      </c>
      <c r="AA79" s="45">
        <v>913383</v>
      </c>
      <c r="AB79" s="43">
        <v>34676</v>
      </c>
      <c r="AC79" s="43">
        <v>35871</v>
      </c>
      <c r="AD79" s="44">
        <v>3.4461875648863799E-2</v>
      </c>
      <c r="AE79" s="44">
        <v>0.30800160836349</v>
      </c>
      <c r="AF79" s="44">
        <v>0.11258507324951</v>
      </c>
      <c r="AG79" s="44">
        <v>2.1196216403276E-2</v>
      </c>
      <c r="AH79" s="44">
        <v>9.2282846925827694E-2</v>
      </c>
      <c r="AI79" s="46">
        <v>0.28388510785557702</v>
      </c>
      <c r="AJ79" s="42">
        <v>37065</v>
      </c>
      <c r="AK79" s="43">
        <v>15449</v>
      </c>
      <c r="AL79" s="43">
        <v>10155</v>
      </c>
      <c r="AM79" s="43">
        <v>4388</v>
      </c>
      <c r="AN79" s="44">
        <v>0.41680830972615701</v>
      </c>
      <c r="AO79" s="44">
        <v>0.273978146499393</v>
      </c>
      <c r="AP79" s="44">
        <v>0.11838661810333199</v>
      </c>
      <c r="AQ79" s="44">
        <v>0.14283016322676401</v>
      </c>
      <c r="AR79" s="44">
        <v>0.155591528396061</v>
      </c>
      <c r="AS79" s="44">
        <v>6.0731147983272601E-2</v>
      </c>
      <c r="AT79" s="44">
        <v>5.76554701200594E-2</v>
      </c>
      <c r="AU79" s="45">
        <v>60579</v>
      </c>
      <c r="AV79" s="45">
        <v>86852</v>
      </c>
      <c r="AW79" s="45">
        <v>938978</v>
      </c>
      <c r="AX79" s="43">
        <v>81521</v>
      </c>
      <c r="AY79" s="43">
        <v>84078</v>
      </c>
      <c r="AZ79" s="44">
        <v>3.1366151053102899E-2</v>
      </c>
      <c r="BA79" s="44">
        <v>0.30228696147276501</v>
      </c>
      <c r="BB79" s="44">
        <v>0.117748800922462</v>
      </c>
      <c r="BC79" s="44">
        <v>1.8351099716637401E-2</v>
      </c>
      <c r="BD79" s="44">
        <v>0.109689527851719</v>
      </c>
      <c r="BE79" s="46">
        <v>0.28061481090761897</v>
      </c>
      <c r="BF79" s="70">
        <v>51755</v>
      </c>
      <c r="BG79" s="71">
        <v>22683</v>
      </c>
      <c r="BH79" s="71">
        <v>15375</v>
      </c>
      <c r="BI79" s="71">
        <v>7156</v>
      </c>
      <c r="BJ79" s="72">
        <v>0.438276495024635</v>
      </c>
      <c r="BK79" s="72">
        <v>0.29707274659453198</v>
      </c>
      <c r="BL79" s="72">
        <v>0.138266834122307</v>
      </c>
      <c r="BM79" s="72">
        <v>0.141203748430103</v>
      </c>
      <c r="BN79" s="72">
        <v>0.158805912472225</v>
      </c>
      <c r="BO79" s="72">
        <v>6.2332141822046203E-2</v>
      </c>
      <c r="BP79" s="72">
        <v>7.59346923002608E-2</v>
      </c>
      <c r="BQ79" s="73">
        <v>63601</v>
      </c>
      <c r="BR79" s="73">
        <v>94662</v>
      </c>
      <c r="BS79" s="73">
        <v>1216428</v>
      </c>
      <c r="BT79" s="71">
        <v>113213</v>
      </c>
      <c r="BU79" s="71">
        <v>117026</v>
      </c>
      <c r="BV79" s="72">
        <v>3.3679877752554897E-2</v>
      </c>
      <c r="BW79" s="72">
        <v>0.31935090177643199</v>
      </c>
      <c r="BX79" s="72">
        <v>0.115781756512061</v>
      </c>
      <c r="BY79" s="72">
        <v>1.7215337461245601E-2</v>
      </c>
      <c r="BZ79" s="72">
        <v>0.101596106454206</v>
      </c>
      <c r="CA79" s="74">
        <v>0.280259334175404</v>
      </c>
      <c r="CB79" s="98">
        <v>14000000</v>
      </c>
      <c r="CC79" s="100"/>
      <c r="CD79" s="100"/>
      <c r="CG79" s="99">
        <v>0.38</v>
      </c>
      <c r="CH79" s="99">
        <v>0.44</v>
      </c>
      <c r="CI79" s="90">
        <f t="shared" ref="CI79:CI142" si="17">IFERROR(CE79/$CB79,"")</f>
        <v>0</v>
      </c>
      <c r="CK79" s="98">
        <v>14000000</v>
      </c>
      <c r="CL79" s="100"/>
      <c r="CM79" s="100"/>
      <c r="CN79" s="84"/>
      <c r="CO79" s="84"/>
      <c r="CP79" s="99">
        <v>0.38</v>
      </c>
      <c r="CQ79" s="99">
        <v>0.44</v>
      </c>
      <c r="CR79" s="90">
        <f t="shared" ref="CR79" si="18">IFERROR(CN79/$CB79,"")</f>
        <v>0</v>
      </c>
    </row>
    <row r="80" spans="1:96" ht="49.5" thickTop="1" thickBot="1" x14ac:dyDescent="0.3">
      <c r="A80" s="3" t="s">
        <v>295</v>
      </c>
      <c r="B80" s="3">
        <v>925</v>
      </c>
      <c r="C80" s="3" t="s">
        <v>140</v>
      </c>
      <c r="D80" s="16">
        <v>42187</v>
      </c>
      <c r="E80" s="16" t="s">
        <v>547</v>
      </c>
      <c r="F80" s="16" t="s">
        <v>416</v>
      </c>
      <c r="G80" s="17">
        <v>18702</v>
      </c>
      <c r="H80" s="17">
        <v>22440</v>
      </c>
      <c r="I80" s="17" t="s">
        <v>584</v>
      </c>
      <c r="J80" s="18"/>
      <c r="K80" s="18" t="s">
        <v>598</v>
      </c>
      <c r="L80" s="18"/>
      <c r="M80" s="18" t="s">
        <v>598</v>
      </c>
      <c r="N80" s="10">
        <v>42103</v>
      </c>
      <c r="O80" s="11">
        <v>17104</v>
      </c>
      <c r="P80" s="11">
        <v>10798</v>
      </c>
      <c r="Q80" s="11">
        <v>5428</v>
      </c>
      <c r="R80" s="12">
        <v>0.406241835498658</v>
      </c>
      <c r="S80" s="12">
        <v>0.25646628506282199</v>
      </c>
      <c r="T80" s="12">
        <v>0.12892192955371401</v>
      </c>
      <c r="U80" s="12">
        <v>0.14977555043583601</v>
      </c>
      <c r="V80" s="12">
        <v>0.127544355509109</v>
      </c>
      <c r="W80" s="12">
        <v>6.24421062632117E-2</v>
      </c>
      <c r="X80" s="12">
        <v>6.6479823290501894E-2</v>
      </c>
      <c r="Y80" s="13">
        <v>61306</v>
      </c>
      <c r="Z80" s="13">
        <v>85294</v>
      </c>
      <c r="AA80" s="13">
        <v>689870</v>
      </c>
      <c r="AB80" s="11">
        <v>96885</v>
      </c>
      <c r="AC80" s="11">
        <v>103654</v>
      </c>
      <c r="AD80" s="12">
        <v>6.9866336378180294E-2</v>
      </c>
      <c r="AE80" s="12">
        <v>0.41073280209087898</v>
      </c>
      <c r="AF80" s="12">
        <v>0.26781235485369298</v>
      </c>
      <c r="AG80" s="12">
        <v>3.7425814109511298E-2</v>
      </c>
      <c r="AH80" s="12">
        <v>0.15980801981730899</v>
      </c>
      <c r="AI80" s="14">
        <v>0.24427930020127001</v>
      </c>
      <c r="AJ80" s="4">
        <v>100968</v>
      </c>
      <c r="AK80" s="5">
        <v>42420</v>
      </c>
      <c r="AL80" s="5">
        <v>27759</v>
      </c>
      <c r="AM80" s="5">
        <v>13584</v>
      </c>
      <c r="AN80" s="6">
        <v>0.42013311148086502</v>
      </c>
      <c r="AO80" s="6">
        <v>0.27492869027810801</v>
      </c>
      <c r="AP80" s="6">
        <v>0.13453767530306601</v>
      </c>
      <c r="AQ80" s="6">
        <v>0.14520442120275701</v>
      </c>
      <c r="AR80" s="6">
        <v>0.140391014975042</v>
      </c>
      <c r="AS80" s="6">
        <v>6.0227002614689801E-2</v>
      </c>
      <c r="AT80" s="6">
        <v>7.4310672688376503E-2</v>
      </c>
      <c r="AU80" s="7">
        <v>62603</v>
      </c>
      <c r="AV80" s="7">
        <v>88387</v>
      </c>
      <c r="AW80" s="7">
        <v>830749</v>
      </c>
      <c r="AX80" s="5">
        <v>242268</v>
      </c>
      <c r="AY80" s="5">
        <v>257974</v>
      </c>
      <c r="AZ80" s="6">
        <v>6.4829032311324697E-2</v>
      </c>
      <c r="BA80" s="6">
        <v>0.389050445272067</v>
      </c>
      <c r="BB80" s="6">
        <v>0.24209965822972901</v>
      </c>
      <c r="BC80" s="6">
        <v>3.8981623656446598E-2</v>
      </c>
      <c r="BD80" s="6">
        <v>0.15254594085888401</v>
      </c>
      <c r="BE80" s="8">
        <v>0.258948767480641</v>
      </c>
      <c r="BF80" s="10">
        <v>175320</v>
      </c>
      <c r="BG80" s="11">
        <v>75221</v>
      </c>
      <c r="BH80" s="11">
        <v>50551</v>
      </c>
      <c r="BI80" s="11">
        <v>24893</v>
      </c>
      <c r="BJ80" s="12">
        <v>0.42904973762263299</v>
      </c>
      <c r="BK80" s="12">
        <v>0.28833561487565601</v>
      </c>
      <c r="BL80" s="12">
        <v>0.14198608259183201</v>
      </c>
      <c r="BM80" s="12">
        <v>0.14071412274697701</v>
      </c>
      <c r="BN80" s="12">
        <v>0.146349532283824</v>
      </c>
      <c r="BO80" s="12">
        <v>6.2343143965320598E-2</v>
      </c>
      <c r="BP80" s="12">
        <v>7.9642938626511506E-2</v>
      </c>
      <c r="BQ80" s="13">
        <v>63741</v>
      </c>
      <c r="BR80" s="13">
        <v>91011</v>
      </c>
      <c r="BS80" s="13">
        <v>857234</v>
      </c>
      <c r="BT80" s="11">
        <v>433561</v>
      </c>
      <c r="BU80" s="11">
        <v>460311</v>
      </c>
      <c r="BV80" s="12">
        <v>6.1698353864854102E-2</v>
      </c>
      <c r="BW80" s="12">
        <v>0.388707537367117</v>
      </c>
      <c r="BX80" s="12">
        <v>0.23546398315346601</v>
      </c>
      <c r="BY80" s="12">
        <v>3.8737340305055101E-2</v>
      </c>
      <c r="BZ80" s="12">
        <v>0.17457520395053999</v>
      </c>
      <c r="CA80" s="14">
        <v>0.25762695445392902</v>
      </c>
      <c r="CB80" s="86">
        <f t="shared" ref="CB80:CB85" si="19">IF(SUM(CC80:CF80)=0,"",SUM(CC80:CF80))</f>
        <v>19924392.385476477</v>
      </c>
      <c r="CC80" s="83">
        <v>6759758.62464369</v>
      </c>
      <c r="CD80" s="83">
        <v>9368627.4408328291</v>
      </c>
      <c r="CE80" s="83">
        <v>2748097.77999995</v>
      </c>
      <c r="CF80" s="83">
        <v>1047908.54000001</v>
      </c>
      <c r="CG80" s="90">
        <f t="shared" ref="CG80:CH85" si="20">IFERROR(CC80/$CB80,"")</f>
        <v>0.33927050290231647</v>
      </c>
      <c r="CH80" s="90">
        <f t="shared" si="20"/>
        <v>0.47020894085894027</v>
      </c>
      <c r="CI80" s="90">
        <f t="shared" si="17"/>
        <v>0.13792630293725422</v>
      </c>
      <c r="CK80" s="86">
        <f t="shared" si="15"/>
        <v>19768066</v>
      </c>
      <c r="CL80" s="83">
        <v>6604456</v>
      </c>
      <c r="CM80" s="83">
        <v>9521011</v>
      </c>
      <c r="CN80" s="83">
        <v>2613548</v>
      </c>
      <c r="CO80" s="83">
        <v>1029051</v>
      </c>
      <c r="CP80" s="90">
        <f t="shared" si="16"/>
        <v>0.33409722529255009</v>
      </c>
      <c r="CQ80" s="90">
        <f t="shared" si="16"/>
        <v>0.48163593747612943</v>
      </c>
      <c r="CR80" s="90">
        <f t="shared" si="16"/>
        <v>0.13221060674321908</v>
      </c>
    </row>
    <row r="81" spans="1:96" ht="49.5" thickTop="1" thickBot="1" x14ac:dyDescent="0.3">
      <c r="A81" s="3" t="s">
        <v>311</v>
      </c>
      <c r="B81" s="3">
        <v>2504</v>
      </c>
      <c r="C81" s="3" t="s">
        <v>270</v>
      </c>
      <c r="D81" s="16">
        <v>44462</v>
      </c>
      <c r="E81" s="16" t="s">
        <v>578</v>
      </c>
      <c r="F81" s="16" t="s">
        <v>650</v>
      </c>
      <c r="G81" s="17">
        <v>23746</v>
      </c>
      <c r="H81" s="17">
        <v>31266</v>
      </c>
      <c r="I81" s="17" t="s">
        <v>585</v>
      </c>
      <c r="J81" s="18"/>
      <c r="K81" s="18" t="s">
        <v>598</v>
      </c>
      <c r="L81" s="18"/>
      <c r="M81" s="18" t="s">
        <v>598</v>
      </c>
      <c r="N81" s="10">
        <v>29024</v>
      </c>
      <c r="O81" s="11">
        <v>13832</v>
      </c>
      <c r="P81" s="11">
        <v>10025</v>
      </c>
      <c r="Q81" s="11">
        <v>5491</v>
      </c>
      <c r="R81" s="12">
        <v>0.47657111356119097</v>
      </c>
      <c r="S81" s="12">
        <v>0.34540380374862201</v>
      </c>
      <c r="T81" s="12">
        <v>0.18918825799338501</v>
      </c>
      <c r="U81" s="12">
        <v>0.13116730981256899</v>
      </c>
      <c r="V81" s="12">
        <v>0.156215545755237</v>
      </c>
      <c r="W81" s="12">
        <v>8.6790242557883104E-2</v>
      </c>
      <c r="X81" s="12">
        <v>0.102398015435502</v>
      </c>
      <c r="Y81" s="13">
        <v>70839</v>
      </c>
      <c r="Z81" s="13">
        <v>100608</v>
      </c>
      <c r="AA81" s="13">
        <v>1027211</v>
      </c>
      <c r="AB81" s="11">
        <v>66593</v>
      </c>
      <c r="AC81" s="11">
        <v>67739</v>
      </c>
      <c r="AD81" s="12">
        <v>1.7209015962638699E-2</v>
      </c>
      <c r="AE81" s="12">
        <v>0.469100478269042</v>
      </c>
      <c r="AF81" s="12">
        <v>6.7319387923655605E-2</v>
      </c>
      <c r="AG81" s="12">
        <v>4.8653762407460201E-2</v>
      </c>
      <c r="AH81" s="12">
        <v>0.30198369197963698</v>
      </c>
      <c r="AI81" s="14">
        <v>0.235024702296037</v>
      </c>
      <c r="AJ81" s="4">
        <v>69180</v>
      </c>
      <c r="AK81" s="5">
        <v>34302</v>
      </c>
      <c r="AL81" s="5">
        <v>24940</v>
      </c>
      <c r="AM81" s="5">
        <v>13306</v>
      </c>
      <c r="AN81" s="6">
        <v>0.49583694709453602</v>
      </c>
      <c r="AO81" s="6">
        <v>0.360508817577334</v>
      </c>
      <c r="AP81" s="6">
        <v>0.192338826250361</v>
      </c>
      <c r="AQ81" s="6">
        <v>0.135328129517201</v>
      </c>
      <c r="AR81" s="6">
        <v>0.168169991326973</v>
      </c>
      <c r="AS81" s="6">
        <v>8.9057531078346297E-2</v>
      </c>
      <c r="AT81" s="6">
        <v>0.10328129517201499</v>
      </c>
      <c r="AU81" s="7">
        <v>74187</v>
      </c>
      <c r="AV81" s="7">
        <v>102901</v>
      </c>
      <c r="AW81" s="7">
        <v>1121516</v>
      </c>
      <c r="AX81" s="5">
        <v>166608</v>
      </c>
      <c r="AY81" s="5">
        <v>170030</v>
      </c>
      <c r="AZ81" s="6">
        <v>2.0539229808892698E-2</v>
      </c>
      <c r="BA81" s="6">
        <v>0.48149097621000803</v>
      </c>
      <c r="BB81" s="6">
        <v>6.4342648612311495E-2</v>
      </c>
      <c r="BC81" s="6">
        <v>5.023768366465E-2</v>
      </c>
      <c r="BD81" s="6">
        <v>0.28927782579467998</v>
      </c>
      <c r="BE81" s="8">
        <v>0.22961082300969901</v>
      </c>
      <c r="BF81" s="10">
        <v>111067</v>
      </c>
      <c r="BG81" s="11">
        <v>48847</v>
      </c>
      <c r="BH81" s="11">
        <v>35183</v>
      </c>
      <c r="BI81" s="11">
        <v>18435</v>
      </c>
      <c r="BJ81" s="12">
        <v>0.43979759964706</v>
      </c>
      <c r="BK81" s="12">
        <v>0.31677275878523797</v>
      </c>
      <c r="BL81" s="12">
        <v>0.16598089441508301</v>
      </c>
      <c r="BM81" s="12">
        <v>0.123024840861822</v>
      </c>
      <c r="BN81" s="12">
        <v>0.15079186437015499</v>
      </c>
      <c r="BO81" s="12">
        <v>7.7457750727038602E-2</v>
      </c>
      <c r="BP81" s="12">
        <v>8.8523143688044106E-2</v>
      </c>
      <c r="BQ81" s="13">
        <v>63945</v>
      </c>
      <c r="BR81" s="13">
        <v>92390</v>
      </c>
      <c r="BS81" s="13">
        <v>908418</v>
      </c>
      <c r="BT81" s="11">
        <v>270362</v>
      </c>
      <c r="BU81" s="11">
        <v>275380</v>
      </c>
      <c r="BV81" s="12">
        <v>1.8560300633964799E-2</v>
      </c>
      <c r="BW81" s="12">
        <v>0.45646509970716898</v>
      </c>
      <c r="BX81" s="12">
        <v>6.2690023006191697E-2</v>
      </c>
      <c r="BY81" s="12">
        <v>4.6907479601423302E-2</v>
      </c>
      <c r="BZ81" s="12">
        <v>0.33735140293384402</v>
      </c>
      <c r="CA81" s="14">
        <v>0.213669080714006</v>
      </c>
      <c r="CB81" s="86">
        <f t="shared" si="19"/>
        <v>26285294.757082298</v>
      </c>
      <c r="CC81" s="83">
        <v>9630355.2925829291</v>
      </c>
      <c r="CD81" s="83">
        <v>12152287.394499401</v>
      </c>
      <c r="CE81" s="83">
        <v>2706930.9499999699</v>
      </c>
      <c r="CF81" s="83">
        <v>1795721.12</v>
      </c>
      <c r="CG81" s="90">
        <f t="shared" si="20"/>
        <v>0.36637805973197735</v>
      </c>
      <c r="CH81" s="90">
        <f t="shared" si="20"/>
        <v>0.46232266013395545</v>
      </c>
      <c r="CI81" s="90">
        <f t="shared" si="17"/>
        <v>0.10298271238790714</v>
      </c>
      <c r="CK81" s="86">
        <f t="shared" si="15"/>
        <v>27538486</v>
      </c>
      <c r="CL81" s="83">
        <v>9978121</v>
      </c>
      <c r="CM81" s="83">
        <v>12852138</v>
      </c>
      <c r="CN81" s="83">
        <v>2828372</v>
      </c>
      <c r="CO81" s="83">
        <v>1879855</v>
      </c>
      <c r="CP81" s="90">
        <f t="shared" si="16"/>
        <v>0.36233368094382529</v>
      </c>
      <c r="CQ81" s="90">
        <f t="shared" si="16"/>
        <v>0.46669733405097141</v>
      </c>
      <c r="CR81" s="90">
        <f t="shared" si="16"/>
        <v>0.10270615457944929</v>
      </c>
    </row>
    <row r="82" spans="1:96" ht="49.5" thickTop="1" thickBot="1" x14ac:dyDescent="0.3">
      <c r="A82" s="3" t="s">
        <v>297</v>
      </c>
      <c r="B82" s="3">
        <v>1112</v>
      </c>
      <c r="C82" s="3" t="s">
        <v>178</v>
      </c>
      <c r="D82" s="16">
        <v>41438</v>
      </c>
      <c r="E82" s="16" t="s">
        <v>554</v>
      </c>
      <c r="F82" s="16" t="s">
        <v>447</v>
      </c>
      <c r="G82" s="17">
        <v>23295</v>
      </c>
      <c r="H82" s="17">
        <v>28603</v>
      </c>
      <c r="I82" s="17" t="s">
        <v>585</v>
      </c>
      <c r="J82" s="18"/>
      <c r="K82" s="18" t="s">
        <v>519</v>
      </c>
      <c r="L82" s="18"/>
      <c r="M82" s="18" t="s">
        <v>598</v>
      </c>
      <c r="N82" s="10">
        <v>20086</v>
      </c>
      <c r="O82" s="11">
        <v>9056</v>
      </c>
      <c r="P82" s="11">
        <v>6750</v>
      </c>
      <c r="Q82" s="11">
        <v>3987</v>
      </c>
      <c r="R82" s="12">
        <v>0.45086129642537098</v>
      </c>
      <c r="S82" s="12">
        <v>0.33605496365627802</v>
      </c>
      <c r="T82" s="12">
        <v>0.19849646519964201</v>
      </c>
      <c r="U82" s="12">
        <v>0.11480633276909299</v>
      </c>
      <c r="V82" s="12">
        <v>0.13755849845663601</v>
      </c>
      <c r="W82" s="12">
        <v>7.9557901025590003E-2</v>
      </c>
      <c r="X82" s="12">
        <v>0.11893856417405201</v>
      </c>
      <c r="Y82" s="13">
        <v>65705</v>
      </c>
      <c r="Z82" s="13">
        <v>103715</v>
      </c>
      <c r="AA82" s="13">
        <v>1680969</v>
      </c>
      <c r="AB82" s="11">
        <v>41169</v>
      </c>
      <c r="AC82" s="11">
        <v>42721</v>
      </c>
      <c r="AD82" s="12">
        <v>3.7698268114357898E-2</v>
      </c>
      <c r="AE82" s="12">
        <v>0.39739287941324902</v>
      </c>
      <c r="AF82" s="12">
        <v>0.29014549782603399</v>
      </c>
      <c r="AG82" s="12">
        <v>3.8378391508173598E-2</v>
      </c>
      <c r="AH82" s="12">
        <v>1.7173115693847298E-2</v>
      </c>
      <c r="AI82" s="14">
        <v>0.28611333770555503</v>
      </c>
      <c r="AJ82" s="4">
        <v>34549</v>
      </c>
      <c r="AK82" s="5">
        <v>16708</v>
      </c>
      <c r="AL82" s="5">
        <v>12843</v>
      </c>
      <c r="AM82" s="5">
        <v>8073</v>
      </c>
      <c r="AN82" s="6">
        <v>0.48360299863961298</v>
      </c>
      <c r="AO82" s="6">
        <v>0.37173290109699297</v>
      </c>
      <c r="AP82" s="6">
        <v>0.23366812353468999</v>
      </c>
      <c r="AQ82" s="6">
        <v>0.11187009754262101</v>
      </c>
      <c r="AR82" s="6">
        <v>0.13806477756230301</v>
      </c>
      <c r="AS82" s="6">
        <v>8.1217980259920705E-2</v>
      </c>
      <c r="AT82" s="6">
        <v>0.152450143274769</v>
      </c>
      <c r="AU82" s="7">
        <v>71445</v>
      </c>
      <c r="AV82" s="7">
        <v>115738</v>
      </c>
      <c r="AW82" s="7">
        <v>2141335</v>
      </c>
      <c r="AX82" s="5">
        <v>69598</v>
      </c>
      <c r="AY82" s="5">
        <v>72505</v>
      </c>
      <c r="AZ82" s="6">
        <v>4.1768441621885699E-2</v>
      </c>
      <c r="BA82" s="6">
        <v>0.41160169013120801</v>
      </c>
      <c r="BB82" s="6">
        <v>0.244647834707894</v>
      </c>
      <c r="BC82" s="6">
        <v>3.9656311962987398E-2</v>
      </c>
      <c r="BD82" s="6">
        <v>1.76010804908187E-2</v>
      </c>
      <c r="BE82" s="8">
        <v>0.31444869105434098</v>
      </c>
      <c r="BF82" s="10">
        <v>60156</v>
      </c>
      <c r="BG82" s="11">
        <v>26572</v>
      </c>
      <c r="BH82" s="11">
        <v>19854</v>
      </c>
      <c r="BI82" s="11">
        <v>11768</v>
      </c>
      <c r="BJ82" s="12">
        <v>0.44171819934836098</v>
      </c>
      <c r="BK82" s="12">
        <v>0.33004189108318399</v>
      </c>
      <c r="BL82" s="12">
        <v>0.19562470908970001</v>
      </c>
      <c r="BM82" s="12">
        <v>0.11167630826517699</v>
      </c>
      <c r="BN82" s="12">
        <v>0.13441718199348399</v>
      </c>
      <c r="BO82" s="12">
        <v>7.0200811224150506E-2</v>
      </c>
      <c r="BP82" s="12">
        <v>0.12542389786555</v>
      </c>
      <c r="BQ82" s="13">
        <v>64018</v>
      </c>
      <c r="BR82" s="13">
        <v>104226</v>
      </c>
      <c r="BS82" s="13">
        <v>1736879</v>
      </c>
      <c r="BT82" s="11">
        <v>133757</v>
      </c>
      <c r="BU82" s="11">
        <v>140115</v>
      </c>
      <c r="BV82" s="12">
        <v>4.7533960839432697E-2</v>
      </c>
      <c r="BW82" s="12">
        <v>0.36246938522676397</v>
      </c>
      <c r="BX82" s="12">
        <v>0.35995873113182902</v>
      </c>
      <c r="BY82" s="12">
        <v>3.7448507367838703E-2</v>
      </c>
      <c r="BZ82" s="12">
        <v>2.1127866205133201E-2</v>
      </c>
      <c r="CA82" s="14">
        <v>0.28222821983148499</v>
      </c>
      <c r="CB82" s="86">
        <f t="shared" si="19"/>
        <v>25970510.655085687</v>
      </c>
      <c r="CC82" s="83">
        <v>11622571.965086199</v>
      </c>
      <c r="CD82" s="83">
        <v>10702934.7199995</v>
      </c>
      <c r="CE82" s="83">
        <v>2099205.8199999901</v>
      </c>
      <c r="CF82" s="83">
        <v>1545798.15</v>
      </c>
      <c r="CG82" s="90">
        <f t="shared" si="20"/>
        <v>0.44752958921160851</v>
      </c>
      <c r="CH82" s="90">
        <f t="shared" si="20"/>
        <v>0.41211876278234033</v>
      </c>
      <c r="CI82" s="90">
        <f t="shared" si="17"/>
        <v>8.0830363633566521E-2</v>
      </c>
      <c r="CK82" s="86">
        <f t="shared" si="15"/>
        <v>25398701</v>
      </c>
      <c r="CL82" s="83">
        <v>11336852</v>
      </c>
      <c r="CM82" s="83">
        <v>10482514</v>
      </c>
      <c r="CN82" s="83">
        <v>2083208</v>
      </c>
      <c r="CO82" s="83">
        <v>1496127</v>
      </c>
      <c r="CP82" s="90">
        <f t="shared" si="16"/>
        <v>0.44635558330325631</v>
      </c>
      <c r="CQ82" s="90">
        <f t="shared" si="16"/>
        <v>0.41271850871428423</v>
      </c>
      <c r="CR82" s="90">
        <f t="shared" si="16"/>
        <v>8.2020257650184544E-2</v>
      </c>
    </row>
    <row r="83" spans="1:96" ht="49.5" thickTop="1" thickBot="1" x14ac:dyDescent="0.3">
      <c r="A83" s="3" t="s">
        <v>291</v>
      </c>
      <c r="B83" s="3">
        <v>526</v>
      </c>
      <c r="C83" s="3" t="s">
        <v>81</v>
      </c>
      <c r="D83" s="16">
        <v>42890</v>
      </c>
      <c r="E83" s="16" t="s">
        <v>532</v>
      </c>
      <c r="F83" s="16" t="s">
        <v>363</v>
      </c>
      <c r="G83" s="17">
        <v>21950</v>
      </c>
      <c r="H83" s="17">
        <v>27123</v>
      </c>
      <c r="I83" s="17" t="s">
        <v>585</v>
      </c>
      <c r="J83" s="18"/>
      <c r="K83" s="18" t="s">
        <v>598</v>
      </c>
      <c r="L83" s="18"/>
      <c r="M83" s="18" t="s">
        <v>598</v>
      </c>
      <c r="N83" s="10">
        <v>14057</v>
      </c>
      <c r="O83" s="11">
        <v>5003</v>
      </c>
      <c r="P83" s="11">
        <v>3077</v>
      </c>
      <c r="Q83" s="11">
        <v>712</v>
      </c>
      <c r="R83" s="12">
        <v>0.35590808849683397</v>
      </c>
      <c r="S83" s="12">
        <v>0.21889450096037599</v>
      </c>
      <c r="T83" s="12">
        <v>5.0650921249199697E-2</v>
      </c>
      <c r="U83" s="12">
        <v>0.13701358753645901</v>
      </c>
      <c r="V83" s="12">
        <v>0.16824357971117601</v>
      </c>
      <c r="W83" s="12">
        <v>2.5965711033648701E-2</v>
      </c>
      <c r="X83" s="12">
        <v>2.4685210215551E-2</v>
      </c>
      <c r="Y83" s="13">
        <v>56183</v>
      </c>
      <c r="Z83" s="13">
        <v>68886</v>
      </c>
      <c r="AA83" s="13">
        <v>334031</v>
      </c>
      <c r="AB83" s="11">
        <v>41605</v>
      </c>
      <c r="AC83" s="11">
        <v>45213</v>
      </c>
      <c r="AD83" s="12">
        <v>8.6720346112246105E-2</v>
      </c>
      <c r="AE83" s="12">
        <v>0.179719105411801</v>
      </c>
      <c r="AF83" s="12">
        <v>0.429852181228218</v>
      </c>
      <c r="AG83" s="12">
        <v>2.8938829467612101E-2</v>
      </c>
      <c r="AH83" s="12">
        <v>0.316236029323399</v>
      </c>
      <c r="AI83" s="14">
        <v>0.18815046268477301</v>
      </c>
      <c r="AJ83" s="4">
        <v>43879</v>
      </c>
      <c r="AK83" s="5">
        <v>19664</v>
      </c>
      <c r="AL83" s="5">
        <v>13251</v>
      </c>
      <c r="AM83" s="5">
        <v>5163</v>
      </c>
      <c r="AN83" s="6">
        <v>0.44814147997903298</v>
      </c>
      <c r="AO83" s="6">
        <v>0.30198956220515499</v>
      </c>
      <c r="AP83" s="6">
        <v>0.117664486428588</v>
      </c>
      <c r="AQ83" s="6">
        <v>0.14615191777387801</v>
      </c>
      <c r="AR83" s="6">
        <v>0.18432507577656701</v>
      </c>
      <c r="AS83" s="6">
        <v>6.1327742200141297E-2</v>
      </c>
      <c r="AT83" s="6">
        <v>5.6336744228446402E-2</v>
      </c>
      <c r="AU83" s="7">
        <v>67052</v>
      </c>
      <c r="AV83" s="7">
        <v>85895</v>
      </c>
      <c r="AW83" s="7">
        <v>650152</v>
      </c>
      <c r="AX83" s="5">
        <v>130730</v>
      </c>
      <c r="AY83" s="5">
        <v>142219</v>
      </c>
      <c r="AZ83" s="6">
        <v>8.7883423850684594E-2</v>
      </c>
      <c r="BA83" s="6">
        <v>0.25992507570226597</v>
      </c>
      <c r="BB83" s="6">
        <v>0.37371682092863201</v>
      </c>
      <c r="BC83" s="6">
        <v>3.4177312017134601E-2</v>
      </c>
      <c r="BD83" s="6">
        <v>0.26895892297100898</v>
      </c>
      <c r="BE83" s="8">
        <v>0.194492465386675</v>
      </c>
      <c r="BF83" s="10">
        <v>93307</v>
      </c>
      <c r="BG83" s="11">
        <v>46482</v>
      </c>
      <c r="BH83" s="11">
        <v>34059</v>
      </c>
      <c r="BI83" s="11">
        <v>16496</v>
      </c>
      <c r="BJ83" s="12">
        <v>0.49816198141618501</v>
      </c>
      <c r="BK83" s="12">
        <v>0.36502084516702898</v>
      </c>
      <c r="BL83" s="12">
        <v>0.17679273795106501</v>
      </c>
      <c r="BM83" s="12">
        <v>0.13314113624915599</v>
      </c>
      <c r="BN83" s="12">
        <v>0.188228107215965</v>
      </c>
      <c r="BO83" s="12">
        <v>8.5717041593878301E-2</v>
      </c>
      <c r="BP83" s="12">
        <v>9.10756963571865E-2</v>
      </c>
      <c r="BQ83" s="13">
        <v>74661</v>
      </c>
      <c r="BR83" s="13">
        <v>98358</v>
      </c>
      <c r="BS83" s="13">
        <v>945690</v>
      </c>
      <c r="BT83" s="11">
        <v>275776</v>
      </c>
      <c r="BU83" s="11">
        <v>302329</v>
      </c>
      <c r="BV83" s="12">
        <v>9.6284665815734499E-2</v>
      </c>
      <c r="BW83" s="12">
        <v>0.32261653384192701</v>
      </c>
      <c r="BX83" s="12">
        <v>0.34440995590624301</v>
      </c>
      <c r="BY83" s="12">
        <v>3.5474443026224198E-2</v>
      </c>
      <c r="BZ83" s="12">
        <v>0.224860031329775</v>
      </c>
      <c r="CA83" s="14">
        <v>0.201449727314922</v>
      </c>
      <c r="CB83" s="86">
        <f t="shared" si="19"/>
        <v>17980507.907999359</v>
      </c>
      <c r="CC83" s="83">
        <v>3099176.4499999499</v>
      </c>
      <c r="CD83" s="83">
        <v>12310966.0099994</v>
      </c>
      <c r="CE83" s="83">
        <v>1686569.618</v>
      </c>
      <c r="CF83" s="83">
        <v>883795.83000000904</v>
      </c>
      <c r="CG83" s="90">
        <f t="shared" si="20"/>
        <v>0.17236312043338639</v>
      </c>
      <c r="CH83" s="90">
        <f t="shared" si="20"/>
        <v>0.68468399630259424</v>
      </c>
      <c r="CI83" s="90">
        <f t="shared" si="17"/>
        <v>9.3799887446430863E-2</v>
      </c>
      <c r="CK83" s="86">
        <f t="shared" si="15"/>
        <v>17698933</v>
      </c>
      <c r="CL83" s="83">
        <v>2915183</v>
      </c>
      <c r="CM83" s="83">
        <v>12222193</v>
      </c>
      <c r="CN83" s="83">
        <v>1677014</v>
      </c>
      <c r="CO83" s="83">
        <v>884543</v>
      </c>
      <c r="CP83" s="90">
        <f t="shared" si="16"/>
        <v>0.16470953361990806</v>
      </c>
      <c r="CQ83" s="90">
        <f t="shared" si="16"/>
        <v>0.69056100726524028</v>
      </c>
      <c r="CR83" s="90">
        <f t="shared" si="16"/>
        <v>9.4752265574427563E-2</v>
      </c>
    </row>
    <row r="84" spans="1:96" ht="37.5" thickTop="1" thickBot="1" x14ac:dyDescent="0.3">
      <c r="A84" s="3" t="s">
        <v>293</v>
      </c>
      <c r="B84" s="3">
        <v>702</v>
      </c>
      <c r="C84" s="3" t="s">
        <v>108</v>
      </c>
      <c r="D84" s="16">
        <v>38240</v>
      </c>
      <c r="E84" s="16" t="s">
        <v>539</v>
      </c>
      <c r="F84" s="16" t="s">
        <v>386</v>
      </c>
      <c r="G84" s="17">
        <v>20172</v>
      </c>
      <c r="H84" s="17">
        <v>28100</v>
      </c>
      <c r="I84" s="17" t="s">
        <v>585</v>
      </c>
      <c r="J84" s="18"/>
      <c r="K84" s="18" t="s">
        <v>598</v>
      </c>
      <c r="L84" s="18"/>
      <c r="M84" s="18" t="s">
        <v>598</v>
      </c>
      <c r="N84" s="10">
        <v>25797</v>
      </c>
      <c r="O84" s="11">
        <v>11369</v>
      </c>
      <c r="P84" s="11">
        <v>7719</v>
      </c>
      <c r="Q84" s="11">
        <v>3520</v>
      </c>
      <c r="R84" s="12">
        <v>0.44071016009613501</v>
      </c>
      <c r="S84" s="12">
        <v>0.299220839632515</v>
      </c>
      <c r="T84" s="12">
        <v>0.13644997480327201</v>
      </c>
      <c r="U84" s="12">
        <v>0.14148932046362001</v>
      </c>
      <c r="V84" s="12">
        <v>0.16277086482924399</v>
      </c>
      <c r="W84" s="12">
        <v>6.8728921967670706E-2</v>
      </c>
      <c r="X84" s="12">
        <v>6.7721052835600995E-2</v>
      </c>
      <c r="Y84" s="13">
        <v>65184</v>
      </c>
      <c r="Z84" s="13">
        <v>88142</v>
      </c>
      <c r="AA84" s="13">
        <v>745944</v>
      </c>
      <c r="AB84" s="11">
        <v>56866</v>
      </c>
      <c r="AC84" s="11">
        <v>59135</v>
      </c>
      <c r="AD84" s="12">
        <v>3.9900819470333797E-2</v>
      </c>
      <c r="AE84" s="12">
        <v>0.444186491790723</v>
      </c>
      <c r="AF84" s="12">
        <v>3.1002708120845501E-2</v>
      </c>
      <c r="AG84" s="12">
        <v>2.16297963633806E-2</v>
      </c>
      <c r="AH84" s="12">
        <v>0.25830900713959098</v>
      </c>
      <c r="AI84" s="14">
        <v>0.230155101466606</v>
      </c>
      <c r="AJ84" s="4">
        <v>65062</v>
      </c>
      <c r="AK84" s="5">
        <v>27154</v>
      </c>
      <c r="AL84" s="5">
        <v>19010</v>
      </c>
      <c r="AM84" s="5">
        <v>9153</v>
      </c>
      <c r="AN84" s="6">
        <v>0.417355752974086</v>
      </c>
      <c r="AO84" s="6">
        <v>0.29218284098244801</v>
      </c>
      <c r="AP84" s="6">
        <v>0.14068119639728299</v>
      </c>
      <c r="AQ84" s="6">
        <v>0.12517291199163899</v>
      </c>
      <c r="AR84" s="6">
        <v>0.15150164458516499</v>
      </c>
      <c r="AS84" s="6">
        <v>6.8012050044572905E-2</v>
      </c>
      <c r="AT84" s="6">
        <v>7.2669146352709699E-2</v>
      </c>
      <c r="AU84" s="7">
        <v>60808</v>
      </c>
      <c r="AV84" s="7">
        <v>85715</v>
      </c>
      <c r="AW84" s="7">
        <v>627934</v>
      </c>
      <c r="AX84" s="5">
        <v>153617</v>
      </c>
      <c r="AY84" s="5">
        <v>166086</v>
      </c>
      <c r="AZ84" s="6">
        <v>8.1169401824016899E-2</v>
      </c>
      <c r="BA84" s="6">
        <v>0.43566018621255198</v>
      </c>
      <c r="BB84" s="6">
        <v>3.7821334878301201E-2</v>
      </c>
      <c r="BC84" s="6">
        <v>1.9724379463210501E-2</v>
      </c>
      <c r="BD84" s="6">
        <v>0.33319879961202198</v>
      </c>
      <c r="BE84" s="8">
        <v>0.21888202477590399</v>
      </c>
      <c r="BF84" s="10">
        <v>95253</v>
      </c>
      <c r="BG84" s="11">
        <v>42091</v>
      </c>
      <c r="BH84" s="11">
        <v>30155</v>
      </c>
      <c r="BI84" s="11">
        <v>14738</v>
      </c>
      <c r="BJ84" s="12">
        <v>0.44188634478704097</v>
      </c>
      <c r="BK84" s="12">
        <v>0.31657795554995599</v>
      </c>
      <c r="BL84" s="12">
        <v>0.15472478557105801</v>
      </c>
      <c r="BM84" s="12">
        <v>0.12530838923708401</v>
      </c>
      <c r="BN84" s="12">
        <v>0.16185316997889801</v>
      </c>
      <c r="BO84" s="12">
        <v>7.17247750727011E-2</v>
      </c>
      <c r="BP84" s="12">
        <v>8.3000010498356994E-2</v>
      </c>
      <c r="BQ84" s="13">
        <v>64402</v>
      </c>
      <c r="BR84" s="13">
        <v>91033</v>
      </c>
      <c r="BS84" s="13">
        <v>746143</v>
      </c>
      <c r="BT84" s="11">
        <v>225374</v>
      </c>
      <c r="BU84" s="11">
        <v>244918</v>
      </c>
      <c r="BV84" s="12">
        <v>8.6718077506722197E-2</v>
      </c>
      <c r="BW84" s="12">
        <v>0.444887923669399</v>
      </c>
      <c r="BX84" s="12">
        <v>4.7765048319682001E-2</v>
      </c>
      <c r="BY84" s="12">
        <v>1.9132641742170799E-2</v>
      </c>
      <c r="BZ84" s="12">
        <v>0.29525144870304498</v>
      </c>
      <c r="CA84" s="14">
        <v>0.22247464215038101</v>
      </c>
      <c r="CB84" s="86">
        <f t="shared" si="19"/>
        <v>31036042.491427392</v>
      </c>
      <c r="CC84" s="83">
        <v>12816953.2014281</v>
      </c>
      <c r="CD84" s="83">
        <v>12338533.549999399</v>
      </c>
      <c r="CE84" s="83">
        <v>4345746.7099998901</v>
      </c>
      <c r="CF84" s="83">
        <v>1534809.03</v>
      </c>
      <c r="CG84" s="90">
        <f t="shared" si="20"/>
        <v>0.41296995920044671</v>
      </c>
      <c r="CH84" s="90">
        <f t="shared" si="20"/>
        <v>0.3975549896030553</v>
      </c>
      <c r="CI84" s="90">
        <f t="shared" si="17"/>
        <v>0.14002257894833881</v>
      </c>
      <c r="CK84" s="86">
        <f t="shared" si="15"/>
        <v>30854894</v>
      </c>
      <c r="CL84" s="83">
        <v>12729024</v>
      </c>
      <c r="CM84" s="83">
        <v>12198660</v>
      </c>
      <c r="CN84" s="83">
        <v>4423428</v>
      </c>
      <c r="CO84" s="83">
        <v>1503782</v>
      </c>
      <c r="CP84" s="90">
        <f t="shared" si="16"/>
        <v>0.41254473277399689</v>
      </c>
      <c r="CQ84" s="90">
        <f t="shared" si="16"/>
        <v>0.39535575782564669</v>
      </c>
      <c r="CR84" s="90">
        <f t="shared" si="16"/>
        <v>0.14336228152331362</v>
      </c>
    </row>
    <row r="85" spans="1:96" ht="37.5" thickTop="1" thickBot="1" x14ac:dyDescent="0.3">
      <c r="A85" s="3" t="s">
        <v>289</v>
      </c>
      <c r="B85" s="3">
        <v>301</v>
      </c>
      <c r="C85" s="3" t="s">
        <v>48</v>
      </c>
      <c r="D85" s="16">
        <v>34639</v>
      </c>
      <c r="E85" s="16" t="s">
        <v>524</v>
      </c>
      <c r="F85" s="16" t="s">
        <v>668</v>
      </c>
      <c r="G85" s="17">
        <v>19159</v>
      </c>
      <c r="H85" s="17">
        <v>25200</v>
      </c>
      <c r="I85" s="17" t="s">
        <v>585</v>
      </c>
      <c r="J85" s="18"/>
      <c r="K85" s="18" t="s">
        <v>598</v>
      </c>
      <c r="L85" s="18"/>
      <c r="M85" s="18" t="s">
        <v>598</v>
      </c>
      <c r="N85" s="10">
        <v>41972</v>
      </c>
      <c r="O85" s="11">
        <v>22859</v>
      </c>
      <c r="P85" s="11">
        <v>17025</v>
      </c>
      <c r="Q85" s="11">
        <v>8268</v>
      </c>
      <c r="R85" s="12">
        <v>0.54462498808729598</v>
      </c>
      <c r="S85" s="12">
        <v>0.40562756123129701</v>
      </c>
      <c r="T85" s="12">
        <v>0.19698846850281099</v>
      </c>
      <c r="U85" s="12">
        <v>0.138997426855999</v>
      </c>
      <c r="V85" s="12">
        <v>0.20863909272848599</v>
      </c>
      <c r="W85" s="12">
        <v>9.2728485657104703E-2</v>
      </c>
      <c r="X85" s="12">
        <v>0.10425998284570701</v>
      </c>
      <c r="Y85" s="13">
        <v>81530</v>
      </c>
      <c r="Z85" s="13">
        <v>105183</v>
      </c>
      <c r="AA85" s="13">
        <v>1187955</v>
      </c>
      <c r="AB85" s="11">
        <v>106298</v>
      </c>
      <c r="AC85" s="11">
        <v>107714</v>
      </c>
      <c r="AD85" s="12">
        <v>1.3321040847428901E-2</v>
      </c>
      <c r="AE85" s="12">
        <v>0.38757657564115899</v>
      </c>
      <c r="AF85" s="12">
        <v>0.171498993395925</v>
      </c>
      <c r="AG85" s="12">
        <v>8.6088167227981696E-2</v>
      </c>
      <c r="AH85" s="12">
        <v>0.124621347532409</v>
      </c>
      <c r="AI85" s="14">
        <v>0.26210276769083102</v>
      </c>
      <c r="AJ85" s="4">
        <v>106097</v>
      </c>
      <c r="AK85" s="5">
        <v>56202</v>
      </c>
      <c r="AL85" s="5">
        <v>43309</v>
      </c>
      <c r="AM85" s="5">
        <v>23648</v>
      </c>
      <c r="AN85" s="6">
        <v>0.5297228008332</v>
      </c>
      <c r="AO85" s="6">
        <v>0.408201928423989</v>
      </c>
      <c r="AP85" s="6">
        <v>0.22289037390312599</v>
      </c>
      <c r="AQ85" s="6">
        <v>0.12152087240921</v>
      </c>
      <c r="AR85" s="6">
        <v>0.18531155452086301</v>
      </c>
      <c r="AS85" s="6">
        <v>9.5601195132755903E-2</v>
      </c>
      <c r="AT85" s="6">
        <v>0.12728917877037099</v>
      </c>
      <c r="AU85" s="7">
        <v>79937</v>
      </c>
      <c r="AV85" s="7">
        <v>111017</v>
      </c>
      <c r="AW85" s="7">
        <v>1357225</v>
      </c>
      <c r="AX85" s="5">
        <v>279047</v>
      </c>
      <c r="AY85" s="5">
        <v>280579</v>
      </c>
      <c r="AZ85" s="6">
        <v>5.4901145685135504E-3</v>
      </c>
      <c r="BA85" s="6">
        <v>0.39828825396825401</v>
      </c>
      <c r="BB85" s="6">
        <v>0.20262894781165899</v>
      </c>
      <c r="BC85" s="6">
        <v>6.0986142119427898E-2</v>
      </c>
      <c r="BD85" s="6">
        <v>0.154490103817636</v>
      </c>
      <c r="BE85" s="8">
        <v>0.25875569348532701</v>
      </c>
      <c r="BF85" s="10">
        <v>265496</v>
      </c>
      <c r="BG85" s="11">
        <v>118329</v>
      </c>
      <c r="BH85" s="11">
        <v>87208</v>
      </c>
      <c r="BI85" s="11">
        <v>46555</v>
      </c>
      <c r="BJ85" s="12">
        <v>0.44569033055111901</v>
      </c>
      <c r="BK85" s="12">
        <v>0.32847199204507799</v>
      </c>
      <c r="BL85" s="12">
        <v>0.175351041070299</v>
      </c>
      <c r="BM85" s="12">
        <v>0.11721833850604201</v>
      </c>
      <c r="BN85" s="12">
        <v>0.15312095097477901</v>
      </c>
      <c r="BO85" s="12">
        <v>7.6758218579564302E-2</v>
      </c>
      <c r="BP85" s="12">
        <v>9.8592822490734297E-2</v>
      </c>
      <c r="BQ85" s="13">
        <v>64497</v>
      </c>
      <c r="BR85" s="13">
        <v>95889</v>
      </c>
      <c r="BS85" s="13">
        <v>987126</v>
      </c>
      <c r="BT85" s="11">
        <v>707949</v>
      </c>
      <c r="BU85" s="11">
        <v>720590</v>
      </c>
      <c r="BV85" s="12">
        <v>1.7855805997324701E-2</v>
      </c>
      <c r="BW85" s="12">
        <v>0.34380598609490298</v>
      </c>
      <c r="BX85" s="12">
        <v>0.23649161168389199</v>
      </c>
      <c r="BY85" s="12">
        <v>5.7716021916832998E-2</v>
      </c>
      <c r="BZ85" s="12">
        <v>0.17183299926972101</v>
      </c>
      <c r="CA85" s="14">
        <v>0.23629809491926701</v>
      </c>
      <c r="CB85" s="86">
        <f t="shared" si="19"/>
        <v>32184485.137445129</v>
      </c>
      <c r="CC85" s="83">
        <v>13919131.532945899</v>
      </c>
      <c r="CD85" s="83">
        <v>12276588.3203327</v>
      </c>
      <c r="CE85" s="83">
        <v>4930274.49166652</v>
      </c>
      <c r="CF85" s="83">
        <v>1058490.79250001</v>
      </c>
      <c r="CG85" s="90">
        <f t="shared" si="20"/>
        <v>0.43247954638713937</v>
      </c>
      <c r="CH85" s="90">
        <f t="shared" si="20"/>
        <v>0.38144429739686808</v>
      </c>
      <c r="CI85" s="90">
        <f t="shared" si="17"/>
        <v>0.15318792488404229</v>
      </c>
      <c r="CK85" s="86">
        <f t="shared" si="15"/>
        <v>35869733</v>
      </c>
      <c r="CL85" s="83">
        <v>15097123</v>
      </c>
      <c r="CM85" s="83">
        <v>14244579</v>
      </c>
      <c r="CN85" s="83">
        <v>5282414</v>
      </c>
      <c r="CO85" s="83">
        <v>1245617</v>
      </c>
      <c r="CP85" s="90">
        <f t="shared" si="16"/>
        <v>0.42088752096370496</v>
      </c>
      <c r="CQ85" s="90">
        <f t="shared" si="16"/>
        <v>0.39711973880597329</v>
      </c>
      <c r="CR85" s="90">
        <f t="shared" si="16"/>
        <v>0.14726661054321202</v>
      </c>
    </row>
    <row r="86" spans="1:96" ht="25.5" thickTop="1" thickBot="1" x14ac:dyDescent="0.3">
      <c r="A86" s="3" t="s">
        <v>297</v>
      </c>
      <c r="B86" s="3">
        <v>1141</v>
      </c>
      <c r="C86" s="3" t="s">
        <v>716</v>
      </c>
      <c r="D86" s="16">
        <v>45435</v>
      </c>
      <c r="E86" s="16" t="s">
        <v>553</v>
      </c>
      <c r="F86" s="16" t="s">
        <v>600</v>
      </c>
      <c r="G86" s="17">
        <f>H86*0.8</f>
        <v>18581.600000000002</v>
      </c>
      <c r="H86" s="17">
        <v>23227</v>
      </c>
      <c r="I86" s="17" t="s">
        <v>584</v>
      </c>
      <c r="J86" s="18"/>
      <c r="K86" s="18"/>
      <c r="L86" s="18"/>
      <c r="M86" s="18" t="s">
        <v>598</v>
      </c>
      <c r="N86" s="141">
        <v>181479</v>
      </c>
      <c r="O86" s="142">
        <v>85943</v>
      </c>
      <c r="P86" s="142">
        <v>65082</v>
      </c>
      <c r="Q86" s="142">
        <v>37306</v>
      </c>
      <c r="R86" s="143">
        <v>0.47356994473189701</v>
      </c>
      <c r="S86" s="143">
        <v>0.35862000562048502</v>
      </c>
      <c r="T86" s="143">
        <v>0.20556648427641799</v>
      </c>
      <c r="U86" s="143">
        <v>0.11494993911141201</v>
      </c>
      <c r="V86" s="143">
        <v>0.153053521344067</v>
      </c>
      <c r="W86" s="143">
        <v>7.2162619366428093E-2</v>
      </c>
      <c r="X86" s="143">
        <v>0.13340386490999001</v>
      </c>
      <c r="Y86" s="144">
        <v>69584</v>
      </c>
      <c r="Z86" s="144">
        <v>108427</v>
      </c>
      <c r="AA86" s="144">
        <v>516234</v>
      </c>
      <c r="AB86" s="142">
        <v>377746</v>
      </c>
      <c r="AC86" s="142">
        <v>389459</v>
      </c>
      <c r="AD86" s="143">
        <v>3.1007608287050001E-2</v>
      </c>
      <c r="AE86" s="143">
        <v>0.54360442464384295</v>
      </c>
      <c r="AF86" s="143">
        <v>0.28019356922376398</v>
      </c>
      <c r="AG86" s="143">
        <v>0.180547246033049</v>
      </c>
      <c r="AH86" s="143">
        <v>5.2011139760579903E-2</v>
      </c>
      <c r="AI86" s="146">
        <v>0.22651728939551999</v>
      </c>
      <c r="AJ86" s="137">
        <v>394314</v>
      </c>
      <c r="AK86" s="138">
        <v>174783</v>
      </c>
      <c r="AL86" s="138">
        <v>129637</v>
      </c>
      <c r="AM86" s="138">
        <v>73272</v>
      </c>
      <c r="AN86" s="135">
        <v>0.443258418417809</v>
      </c>
      <c r="AO86" s="135">
        <v>0.32876590737331202</v>
      </c>
      <c r="AP86" s="135">
        <v>0.18582145193931701</v>
      </c>
      <c r="AQ86" s="135">
        <v>0.11449251104449799</v>
      </c>
      <c r="AR86" s="135">
        <v>0.14294445543399401</v>
      </c>
      <c r="AS86" s="135">
        <v>6.6807163833898897E-2</v>
      </c>
      <c r="AT86" s="135">
        <v>0.119014288105419</v>
      </c>
      <c r="AU86" s="139">
        <v>64024</v>
      </c>
      <c r="AV86" s="139">
        <v>101884</v>
      </c>
      <c r="AW86" s="139">
        <v>550253</v>
      </c>
      <c r="AX86" s="138">
        <v>935508</v>
      </c>
      <c r="AY86" s="138">
        <v>966091</v>
      </c>
      <c r="AZ86" s="135">
        <v>3.2691329202957101E-2</v>
      </c>
      <c r="BA86" s="135">
        <v>0.46168372708745797</v>
      </c>
      <c r="BB86" s="135">
        <v>0.40073628445721499</v>
      </c>
      <c r="BC86" s="135">
        <v>0.16898091731978801</v>
      </c>
      <c r="BD86" s="135">
        <v>7.9966178803388105E-2</v>
      </c>
      <c r="BE86" s="136">
        <v>0.21992008619915601</v>
      </c>
      <c r="BF86" s="137">
        <v>721255</v>
      </c>
      <c r="BG86" s="138">
        <v>323487</v>
      </c>
      <c r="BH86" s="138">
        <v>240548</v>
      </c>
      <c r="BI86" s="138">
        <v>133824</v>
      </c>
      <c r="BJ86" s="135">
        <v>0.44850572959632901</v>
      </c>
      <c r="BK86" s="135">
        <v>0.33351311256074501</v>
      </c>
      <c r="BL86" s="135">
        <v>0.18554325446617401</v>
      </c>
      <c r="BM86" s="135">
        <v>0.114992617035584</v>
      </c>
      <c r="BN86" s="135">
        <v>0.147969858094571</v>
      </c>
      <c r="BO86" s="135">
        <v>7.1092748057205807E-2</v>
      </c>
      <c r="BP86" s="135">
        <v>0.11445050640896801</v>
      </c>
      <c r="BQ86" s="139">
        <v>64531</v>
      </c>
      <c r="BR86" s="139">
        <v>100259</v>
      </c>
      <c r="BS86" s="139">
        <v>558960</v>
      </c>
      <c r="BT86" s="138">
        <v>1778945</v>
      </c>
      <c r="BU86" s="138">
        <v>1835750</v>
      </c>
      <c r="BV86" s="135">
        <v>3.1931847246542203E-2</v>
      </c>
      <c r="BW86" s="135">
        <v>0.447036804819755</v>
      </c>
      <c r="BX86" s="135">
        <v>0.38034509217541901</v>
      </c>
      <c r="BY86" s="135">
        <v>0.16454527824075499</v>
      </c>
      <c r="BZ86" s="135">
        <v>9.6515069324796393E-2</v>
      </c>
      <c r="CA86" s="136">
        <v>0.218500290902754</v>
      </c>
      <c r="CB86" s="98">
        <v>32000000</v>
      </c>
      <c r="CC86" s="83" t="s">
        <v>598</v>
      </c>
      <c r="CD86" s="83" t="s">
        <v>598</v>
      </c>
      <c r="CE86" s="83" t="s">
        <v>598</v>
      </c>
      <c r="CF86" s="83" t="s">
        <v>598</v>
      </c>
      <c r="CG86" s="99">
        <v>0.35</v>
      </c>
      <c r="CH86" s="99">
        <v>0.47</v>
      </c>
      <c r="CI86" s="90" t="str">
        <f t="shared" si="17"/>
        <v/>
      </c>
      <c r="CK86" s="98">
        <v>32000000</v>
      </c>
      <c r="CL86" s="83" t="s">
        <v>598</v>
      </c>
      <c r="CM86" s="83" t="s">
        <v>598</v>
      </c>
      <c r="CN86" s="83" t="s">
        <v>598</v>
      </c>
      <c r="CO86" s="83" t="s">
        <v>598</v>
      </c>
      <c r="CP86" s="99">
        <v>0.35</v>
      </c>
      <c r="CQ86" s="99">
        <v>0.47</v>
      </c>
      <c r="CR86" s="90" t="str">
        <f t="shared" ref="CR86" si="21">IFERROR(CN86/$CB86,"")</f>
        <v/>
      </c>
    </row>
    <row r="87" spans="1:96" ht="37.5" thickTop="1" thickBot="1" x14ac:dyDescent="0.3">
      <c r="A87" s="3" t="s">
        <v>292</v>
      </c>
      <c r="B87" s="3">
        <v>610</v>
      </c>
      <c r="C87" s="3" t="s">
        <v>102</v>
      </c>
      <c r="D87" s="16">
        <v>38196</v>
      </c>
      <c r="E87" s="16" t="s">
        <v>537</v>
      </c>
      <c r="F87" s="16" t="s">
        <v>381</v>
      </c>
      <c r="G87" s="17">
        <v>12167</v>
      </c>
      <c r="H87" s="17">
        <v>15000</v>
      </c>
      <c r="I87" s="17" t="s">
        <v>584</v>
      </c>
      <c r="J87" s="18"/>
      <c r="K87" s="18" t="s">
        <v>598</v>
      </c>
      <c r="L87" s="18"/>
      <c r="M87" s="18" t="s">
        <v>598</v>
      </c>
      <c r="N87" s="10">
        <v>23281</v>
      </c>
      <c r="O87" s="11">
        <v>12018</v>
      </c>
      <c r="P87" s="11">
        <v>9197</v>
      </c>
      <c r="Q87" s="11">
        <v>5302</v>
      </c>
      <c r="R87" s="12">
        <v>0.51621493922082395</v>
      </c>
      <c r="S87" s="12">
        <v>0.39504316824878699</v>
      </c>
      <c r="T87" s="12">
        <v>0.22773935827498801</v>
      </c>
      <c r="U87" s="12">
        <v>0.121171770972037</v>
      </c>
      <c r="V87" s="12">
        <v>0.16730380997379801</v>
      </c>
      <c r="W87" s="12">
        <v>8.9085520381426905E-2</v>
      </c>
      <c r="X87" s="12">
        <v>0.138653837893561</v>
      </c>
      <c r="Y87" s="13">
        <v>77619</v>
      </c>
      <c r="Z87" s="13">
        <v>113656</v>
      </c>
      <c r="AA87" s="13">
        <v>1331435</v>
      </c>
      <c r="AB87" s="11">
        <v>52776</v>
      </c>
      <c r="AC87" s="11">
        <v>57743</v>
      </c>
      <c r="AD87" s="12">
        <v>9.4114749128391698E-2</v>
      </c>
      <c r="AE87" s="12">
        <v>0.708636192322188</v>
      </c>
      <c r="AF87" s="12">
        <v>0.113877520084887</v>
      </c>
      <c r="AG87" s="12">
        <v>0.11670077307867199</v>
      </c>
      <c r="AH87" s="12">
        <v>0.14457329088979801</v>
      </c>
      <c r="AI87" s="14">
        <v>0.219285281188419</v>
      </c>
      <c r="AJ87" s="4">
        <v>61525</v>
      </c>
      <c r="AK87" s="5">
        <v>29291</v>
      </c>
      <c r="AL87" s="5">
        <v>22530</v>
      </c>
      <c r="AM87" s="5">
        <v>13115</v>
      </c>
      <c r="AN87" s="6">
        <v>0.476082893132873</v>
      </c>
      <c r="AO87" s="6">
        <v>0.366192604632263</v>
      </c>
      <c r="AP87" s="6">
        <v>0.21316537992685899</v>
      </c>
      <c r="AQ87" s="6">
        <v>0.10989028850061</v>
      </c>
      <c r="AR87" s="6">
        <v>0.153027224705404</v>
      </c>
      <c r="AS87" s="6">
        <v>8.6485168630637904E-2</v>
      </c>
      <c r="AT87" s="6">
        <v>0.12668021129622101</v>
      </c>
      <c r="AU87" s="7">
        <v>69655</v>
      </c>
      <c r="AV87" s="7">
        <v>105269</v>
      </c>
      <c r="AW87" s="7">
        <v>1049743</v>
      </c>
      <c r="AX87" s="5">
        <v>152038</v>
      </c>
      <c r="AY87" s="5">
        <v>161845</v>
      </c>
      <c r="AZ87" s="6">
        <v>6.4503610939370404E-2</v>
      </c>
      <c r="BA87" s="6">
        <v>0.68331643813690401</v>
      </c>
      <c r="BB87" s="6">
        <v>0.102263907707284</v>
      </c>
      <c r="BC87" s="6">
        <v>0.117049684947184</v>
      </c>
      <c r="BD87" s="6">
        <v>0.203034767623884</v>
      </c>
      <c r="BE87" s="8">
        <v>0.18864362856654299</v>
      </c>
      <c r="BF87" s="10">
        <v>112924</v>
      </c>
      <c r="BG87" s="11">
        <v>50821</v>
      </c>
      <c r="BH87" s="11">
        <v>37895</v>
      </c>
      <c r="BI87" s="11">
        <v>21706</v>
      </c>
      <c r="BJ87" s="12">
        <v>0.450046048669902</v>
      </c>
      <c r="BK87" s="12">
        <v>0.33557968190995702</v>
      </c>
      <c r="BL87" s="12">
        <v>0.192217774786582</v>
      </c>
      <c r="BM87" s="12">
        <v>0.114466366759945</v>
      </c>
      <c r="BN87" s="12">
        <v>0.14336190712337499</v>
      </c>
      <c r="BO87" s="12">
        <v>7.98147426587794E-2</v>
      </c>
      <c r="BP87" s="12">
        <v>0.112403032127803</v>
      </c>
      <c r="BQ87" s="13">
        <v>64805</v>
      </c>
      <c r="BR87" s="13">
        <v>98846</v>
      </c>
      <c r="BS87" s="13">
        <v>935464</v>
      </c>
      <c r="BT87" s="11">
        <v>277706</v>
      </c>
      <c r="BU87" s="11">
        <v>299633</v>
      </c>
      <c r="BV87" s="12">
        <v>7.8957602644523298E-2</v>
      </c>
      <c r="BW87" s="12">
        <v>0.63144209916773597</v>
      </c>
      <c r="BX87" s="12">
        <v>0.121304545094452</v>
      </c>
      <c r="BY87" s="12">
        <v>9.3249695721374398E-2</v>
      </c>
      <c r="BZ87" s="12">
        <v>0.25021065443310597</v>
      </c>
      <c r="CA87" s="14">
        <v>0.195879815344285</v>
      </c>
      <c r="CB87" s="86">
        <f>IF(SUM(CC87:CF87)=0,"",SUM(CC87:CF87))</f>
        <v>10408039.749249745</v>
      </c>
      <c r="CC87" s="83">
        <v>7416878.6333330804</v>
      </c>
      <c r="CD87" s="83">
        <v>146908.79</v>
      </c>
      <c r="CE87" s="83">
        <v>2064898.2459166599</v>
      </c>
      <c r="CF87" s="83">
        <v>779354.08000000601</v>
      </c>
      <c r="CG87" s="90">
        <f t="shared" ref="CG87:CH94" si="22">IFERROR(CC87/$CB87,"")</f>
        <v>0.7126105214834253</v>
      </c>
      <c r="CH87" s="90">
        <f t="shared" si="22"/>
        <v>1.4114933603187843E-2</v>
      </c>
      <c r="CI87" s="90">
        <f t="shared" si="17"/>
        <v>0.19839453880501431</v>
      </c>
      <c r="CK87" s="86">
        <f t="shared" si="15"/>
        <v>10322803</v>
      </c>
      <c r="CL87" s="83">
        <v>7324968</v>
      </c>
      <c r="CM87" s="83">
        <v>157426</v>
      </c>
      <c r="CN87" s="83">
        <v>2053463</v>
      </c>
      <c r="CO87" s="83">
        <v>786946</v>
      </c>
      <c r="CP87" s="90">
        <f t="shared" si="16"/>
        <v>0.70959098996658176</v>
      </c>
      <c r="CQ87" s="90">
        <f t="shared" si="16"/>
        <v>1.5250315248678096E-2</v>
      </c>
      <c r="CR87" s="90">
        <f t="shared" si="16"/>
        <v>0.19892494315739631</v>
      </c>
    </row>
    <row r="88" spans="1:96" ht="37.5" thickTop="1" thickBot="1" x14ac:dyDescent="0.3">
      <c r="A88" s="3" t="s">
        <v>291</v>
      </c>
      <c r="B88" s="3">
        <v>518</v>
      </c>
      <c r="C88" s="3" t="s">
        <v>73</v>
      </c>
      <c r="D88" s="16">
        <v>42803</v>
      </c>
      <c r="E88" s="16" t="s">
        <v>532</v>
      </c>
      <c r="F88" s="16" t="s">
        <v>355</v>
      </c>
      <c r="G88" s="17">
        <v>16541</v>
      </c>
      <c r="H88" s="17">
        <v>22805</v>
      </c>
      <c r="I88" s="17" t="s">
        <v>584</v>
      </c>
      <c r="J88" s="18"/>
      <c r="K88" s="18" t="s">
        <v>598</v>
      </c>
      <c r="L88" s="18"/>
      <c r="M88" s="18" t="s">
        <v>598</v>
      </c>
      <c r="N88" s="10">
        <v>87241</v>
      </c>
      <c r="O88" s="11">
        <v>46259</v>
      </c>
      <c r="P88" s="11">
        <v>36672</v>
      </c>
      <c r="Q88" s="11">
        <v>24776</v>
      </c>
      <c r="R88" s="12">
        <v>0.53024380738414301</v>
      </c>
      <c r="S88" s="12">
        <v>0.42035281576323102</v>
      </c>
      <c r="T88" s="12">
        <v>0.28399491064980897</v>
      </c>
      <c r="U88" s="12">
        <v>0.109890991620912</v>
      </c>
      <c r="V88" s="12">
        <v>0.136357905113421</v>
      </c>
      <c r="W88" s="12">
        <v>7.6271477860180403E-2</v>
      </c>
      <c r="X88" s="12">
        <v>0.20772343278962899</v>
      </c>
      <c r="Y88" s="13">
        <v>80664</v>
      </c>
      <c r="Z88" s="13">
        <v>139883</v>
      </c>
      <c r="AA88" s="13">
        <v>1209910</v>
      </c>
      <c r="AB88" s="11">
        <v>177424</v>
      </c>
      <c r="AC88" s="11">
        <v>193970</v>
      </c>
      <c r="AD88" s="12">
        <v>9.3256831093876794E-2</v>
      </c>
      <c r="AE88" s="12">
        <v>0.74446630021536098</v>
      </c>
      <c r="AF88" s="12">
        <v>0.16895684912976799</v>
      </c>
      <c r="AG88" s="12">
        <v>0.16949792587248599</v>
      </c>
      <c r="AH88" s="12">
        <v>0.15136058255929299</v>
      </c>
      <c r="AI88" s="14">
        <v>0.21470037875372</v>
      </c>
      <c r="AJ88" s="4">
        <v>221166</v>
      </c>
      <c r="AK88" s="5">
        <v>107204</v>
      </c>
      <c r="AL88" s="5">
        <v>83764</v>
      </c>
      <c r="AM88" s="5">
        <v>53937</v>
      </c>
      <c r="AN88" s="6">
        <v>0.48472188311042402</v>
      </c>
      <c r="AO88" s="6">
        <v>0.37873814239078302</v>
      </c>
      <c r="AP88" s="6">
        <v>0.24387564092129899</v>
      </c>
      <c r="AQ88" s="6">
        <v>0.10598374071963999</v>
      </c>
      <c r="AR88" s="6">
        <v>0.134862501469484</v>
      </c>
      <c r="AS88" s="6">
        <v>7.5291862221137096E-2</v>
      </c>
      <c r="AT88" s="6">
        <v>0.168583778700162</v>
      </c>
      <c r="AU88" s="7">
        <v>71798</v>
      </c>
      <c r="AV88" s="7">
        <v>122166</v>
      </c>
      <c r="AW88" s="7">
        <v>963270</v>
      </c>
      <c r="AX88" s="5">
        <v>480143</v>
      </c>
      <c r="AY88" s="5">
        <v>526183</v>
      </c>
      <c r="AZ88" s="6">
        <v>9.5888100003540602E-2</v>
      </c>
      <c r="BA88" s="6">
        <v>0.60396229816840497</v>
      </c>
      <c r="BB88" s="6">
        <v>0.281139160625064</v>
      </c>
      <c r="BC88" s="6">
        <v>0.110735759971508</v>
      </c>
      <c r="BD88" s="6">
        <v>0.22258993674801</v>
      </c>
      <c r="BE88" s="8">
        <v>0.20724450840687</v>
      </c>
      <c r="BF88" s="10">
        <v>371337</v>
      </c>
      <c r="BG88" s="11">
        <v>162734</v>
      </c>
      <c r="BH88" s="11">
        <v>123499</v>
      </c>
      <c r="BI88" s="11">
        <v>77329</v>
      </c>
      <c r="BJ88" s="12">
        <v>0.43823804253279403</v>
      </c>
      <c r="BK88" s="12">
        <v>0.33257930128158503</v>
      </c>
      <c r="BL88" s="12">
        <v>0.20824480189154301</v>
      </c>
      <c r="BM88" s="12">
        <v>0.105658741251208</v>
      </c>
      <c r="BN88" s="12">
        <v>0.124334499390042</v>
      </c>
      <c r="BO88" s="12">
        <v>6.7717464190210006E-2</v>
      </c>
      <c r="BP88" s="12">
        <v>0.14052733770133299</v>
      </c>
      <c r="BQ88" s="13">
        <v>63247</v>
      </c>
      <c r="BR88" s="13">
        <v>109081</v>
      </c>
      <c r="BS88" s="13">
        <v>830293</v>
      </c>
      <c r="BT88" s="11">
        <v>887249</v>
      </c>
      <c r="BU88" s="11">
        <v>961318</v>
      </c>
      <c r="BV88" s="12">
        <v>8.3481638187250698E-2</v>
      </c>
      <c r="BW88" s="12">
        <v>0.49356621103874299</v>
      </c>
      <c r="BX88" s="12">
        <v>0.36959072368636098</v>
      </c>
      <c r="BY88" s="12">
        <v>8.0617729633958496E-2</v>
      </c>
      <c r="BZ88" s="12">
        <v>0.24500788391984701</v>
      </c>
      <c r="CA88" s="14">
        <v>0.20552967656204699</v>
      </c>
      <c r="CB88" s="86">
        <f>IF(SUM(CC88:CF88)=0,"",SUM(CC88:CF88))</f>
        <v>17983093.347612258</v>
      </c>
      <c r="CC88" s="83">
        <v>6573987.7359460201</v>
      </c>
      <c r="CD88" s="83">
        <v>9311267.9949995596</v>
      </c>
      <c r="CE88" s="83">
        <v>1360740.18666667</v>
      </c>
      <c r="CF88" s="83">
        <v>737097.43000000599</v>
      </c>
      <c r="CG88" s="90">
        <f t="shared" si="22"/>
        <v>0.36556490081384663</v>
      </c>
      <c r="CH88" s="90">
        <f t="shared" si="22"/>
        <v>0.51777899469313948</v>
      </c>
      <c r="CI88" s="90">
        <f t="shared" si="17"/>
        <v>7.5667748610521737E-2</v>
      </c>
      <c r="CK88" s="86">
        <f t="shared" si="15"/>
        <v>17852816</v>
      </c>
      <c r="CL88" s="83">
        <v>6272483</v>
      </c>
      <c r="CM88" s="83">
        <v>9480949</v>
      </c>
      <c r="CN88" s="83">
        <v>1357306</v>
      </c>
      <c r="CO88" s="83">
        <v>742078</v>
      </c>
      <c r="CP88" s="90">
        <f t="shared" si="16"/>
        <v>0.35134418010021501</v>
      </c>
      <c r="CQ88" s="90">
        <f t="shared" si="16"/>
        <v>0.53106182240381572</v>
      </c>
      <c r="CR88" s="90">
        <f t="shared" si="16"/>
        <v>7.6027557781360652E-2</v>
      </c>
    </row>
    <row r="89" spans="1:96" ht="37.5" thickTop="1" thickBot="1" x14ac:dyDescent="0.3">
      <c r="A89" s="3" t="s">
        <v>296</v>
      </c>
      <c r="B89" s="3">
        <v>1002</v>
      </c>
      <c r="C89" s="3" t="s">
        <v>155</v>
      </c>
      <c r="D89" s="16">
        <v>39463</v>
      </c>
      <c r="E89" s="16" t="s">
        <v>551</v>
      </c>
      <c r="F89" s="16" t="s">
        <v>426</v>
      </c>
      <c r="G89" s="17">
        <v>17737</v>
      </c>
      <c r="H89" s="17">
        <v>20000</v>
      </c>
      <c r="I89" s="17" t="s">
        <v>584</v>
      </c>
      <c r="J89" s="18"/>
      <c r="K89" s="18" t="s">
        <v>598</v>
      </c>
      <c r="L89" s="18"/>
      <c r="M89" s="18" t="s">
        <v>598</v>
      </c>
      <c r="N89" s="10">
        <v>44563</v>
      </c>
      <c r="O89" s="11">
        <v>23873</v>
      </c>
      <c r="P89" s="11">
        <v>16583</v>
      </c>
      <c r="Q89" s="11">
        <v>7330</v>
      </c>
      <c r="R89" s="12">
        <v>0.535713484280681</v>
      </c>
      <c r="S89" s="12">
        <v>0.37212485694410202</v>
      </c>
      <c r="T89" s="12">
        <v>0.16448623297354301</v>
      </c>
      <c r="U89" s="12">
        <v>0.16358862733658</v>
      </c>
      <c r="V89" s="12">
        <v>0.20763862397055899</v>
      </c>
      <c r="W89" s="12">
        <v>8.8324394677198603E-2</v>
      </c>
      <c r="X89" s="12">
        <v>7.61618382963445E-2</v>
      </c>
      <c r="Y89" s="13">
        <v>79199</v>
      </c>
      <c r="Z89" s="13">
        <v>97793</v>
      </c>
      <c r="AA89" s="13">
        <v>1119339</v>
      </c>
      <c r="AB89" s="11">
        <v>111180</v>
      </c>
      <c r="AC89" s="11">
        <v>116855</v>
      </c>
      <c r="AD89" s="12">
        <v>5.1043353121064901E-2</v>
      </c>
      <c r="AE89" s="12">
        <v>0.35130145388735701</v>
      </c>
      <c r="AF89" s="12">
        <v>0.13953049109552099</v>
      </c>
      <c r="AG89" s="12">
        <v>5.74473826227739E-2</v>
      </c>
      <c r="AH89" s="12">
        <v>3.5950710559453099E-2</v>
      </c>
      <c r="AI89" s="14">
        <v>0.265020687173952</v>
      </c>
      <c r="AJ89" s="4">
        <v>118274</v>
      </c>
      <c r="AK89" s="5">
        <v>56018</v>
      </c>
      <c r="AL89" s="5">
        <v>37262</v>
      </c>
      <c r="AM89" s="5">
        <v>15356</v>
      </c>
      <c r="AN89" s="6">
        <v>0.47362903089436398</v>
      </c>
      <c r="AO89" s="6">
        <v>0.31504810862911498</v>
      </c>
      <c r="AP89" s="6">
        <v>0.12983411400646</v>
      </c>
      <c r="AQ89" s="6">
        <v>0.158580922265249</v>
      </c>
      <c r="AR89" s="6">
        <v>0.185213994622656</v>
      </c>
      <c r="AS89" s="6">
        <v>7.1883930534183293E-2</v>
      </c>
      <c r="AT89" s="6">
        <v>5.79501834722762E-2</v>
      </c>
      <c r="AU89" s="7">
        <v>70227</v>
      </c>
      <c r="AV89" s="7">
        <v>88045</v>
      </c>
      <c r="AW89" s="7">
        <v>945516</v>
      </c>
      <c r="AX89" s="5">
        <v>296285</v>
      </c>
      <c r="AY89" s="5">
        <v>311824</v>
      </c>
      <c r="AZ89" s="6">
        <v>5.2446124508496901E-2</v>
      </c>
      <c r="BA89" s="6">
        <v>0.30421914386180898</v>
      </c>
      <c r="BB89" s="6">
        <v>0.17236782152319599</v>
      </c>
      <c r="BC89" s="6">
        <v>4.4598950334981499E-2</v>
      </c>
      <c r="BD89" s="6">
        <v>3.8986111345494998E-2</v>
      </c>
      <c r="BE89" s="8">
        <v>0.25845047842448998</v>
      </c>
      <c r="BF89" s="10">
        <v>223304</v>
      </c>
      <c r="BG89" s="11">
        <v>98739</v>
      </c>
      <c r="BH89" s="11">
        <v>64864</v>
      </c>
      <c r="BI89" s="11">
        <v>26563</v>
      </c>
      <c r="BJ89" s="12">
        <v>0.442173001827106</v>
      </c>
      <c r="BK89" s="12">
        <v>0.29047397270089198</v>
      </c>
      <c r="BL89" s="12">
        <v>0.11895442983556</v>
      </c>
      <c r="BM89" s="12">
        <v>0.151699029126214</v>
      </c>
      <c r="BN89" s="12">
        <v>0.171519542865332</v>
      </c>
      <c r="BO89" s="12">
        <v>6.5193637373266902E-2</v>
      </c>
      <c r="BP89" s="12">
        <v>5.3760792462293601E-2</v>
      </c>
      <c r="BQ89" s="13">
        <v>65421</v>
      </c>
      <c r="BR89" s="13">
        <v>84213</v>
      </c>
      <c r="BS89" s="13">
        <v>797965</v>
      </c>
      <c r="BT89" s="11">
        <v>576580</v>
      </c>
      <c r="BU89" s="11">
        <v>610993</v>
      </c>
      <c r="BV89" s="12">
        <v>5.96846924971383E-2</v>
      </c>
      <c r="BW89" s="12">
        <v>0.28507864765317897</v>
      </c>
      <c r="BX89" s="12">
        <v>0.22553852024003601</v>
      </c>
      <c r="BY89" s="12">
        <v>4.7447015158347497E-2</v>
      </c>
      <c r="BZ89" s="12">
        <v>4.6184397655138897E-2</v>
      </c>
      <c r="CA89" s="14">
        <v>0.238284366436574</v>
      </c>
      <c r="CB89" s="86">
        <f>IF(SUM(CC89:CF89)=0,"",SUM(CC89:CF89))</f>
        <v>23449263.019999266</v>
      </c>
      <c r="CC89" s="83">
        <v>7065461.3299998296</v>
      </c>
      <c r="CD89" s="83">
        <v>11708967.579999501</v>
      </c>
      <c r="CE89" s="83">
        <v>3335757.9699999299</v>
      </c>
      <c r="CF89" s="83">
        <v>1339076.1400000099</v>
      </c>
      <c r="CG89" s="90">
        <f t="shared" si="22"/>
        <v>0.30130846005581846</v>
      </c>
      <c r="CH89" s="90">
        <f t="shared" si="22"/>
        <v>0.4993320075779451</v>
      </c>
      <c r="CI89" s="90">
        <f t="shared" si="17"/>
        <v>0.14225427755042658</v>
      </c>
      <c r="CK89" s="86">
        <f t="shared" si="15"/>
        <v>22189411</v>
      </c>
      <c r="CL89" s="83">
        <v>6468691</v>
      </c>
      <c r="CM89" s="83">
        <v>11169071</v>
      </c>
      <c r="CN89" s="83">
        <v>3229892</v>
      </c>
      <c r="CO89" s="83">
        <v>1321757</v>
      </c>
      <c r="CP89" s="90">
        <f t="shared" si="16"/>
        <v>0.2915215279936903</v>
      </c>
      <c r="CQ89" s="90">
        <f t="shared" si="16"/>
        <v>0.50335139585273359</v>
      </c>
      <c r="CR89" s="90">
        <f t="shared" si="16"/>
        <v>0.14556006015662154</v>
      </c>
    </row>
    <row r="90" spans="1:96" ht="25.5" thickTop="1" thickBot="1" x14ac:dyDescent="0.3">
      <c r="A90" s="3" t="s">
        <v>297</v>
      </c>
      <c r="B90" s="3">
        <v>1136</v>
      </c>
      <c r="C90" s="3" t="s">
        <v>202</v>
      </c>
      <c r="D90" s="16">
        <v>44994</v>
      </c>
      <c r="E90" s="16" t="s">
        <v>553</v>
      </c>
      <c r="F90" s="16" t="s">
        <v>608</v>
      </c>
      <c r="G90" s="17">
        <v>15303</v>
      </c>
      <c r="H90" s="17">
        <v>18000</v>
      </c>
      <c r="I90" s="17" t="s">
        <v>583</v>
      </c>
      <c r="J90" s="18"/>
      <c r="K90" s="18" t="s">
        <v>598</v>
      </c>
      <c r="L90" s="18" t="s">
        <v>519</v>
      </c>
      <c r="M90" s="18" t="s">
        <v>598</v>
      </c>
      <c r="N90" s="10">
        <v>86624</v>
      </c>
      <c r="O90" s="11">
        <v>41374</v>
      </c>
      <c r="P90" s="11">
        <v>30863</v>
      </c>
      <c r="Q90" s="11">
        <v>15853</v>
      </c>
      <c r="R90" s="12">
        <v>0.4776274473587</v>
      </c>
      <c r="S90" s="12">
        <v>0.356286941263391</v>
      </c>
      <c r="T90" s="12">
        <v>0.18300932766900599</v>
      </c>
      <c r="U90" s="12">
        <v>0.121340506095308</v>
      </c>
      <c r="V90" s="12">
        <v>0.17327761359438501</v>
      </c>
      <c r="W90" s="12">
        <v>7.82462135205024E-2</v>
      </c>
      <c r="X90" s="12">
        <v>0.10476311414850401</v>
      </c>
      <c r="Y90" s="13">
        <v>70151</v>
      </c>
      <c r="Z90" s="13">
        <v>99069</v>
      </c>
      <c r="AA90" s="13">
        <v>640500</v>
      </c>
      <c r="AB90" s="11">
        <v>230982</v>
      </c>
      <c r="AC90" s="11">
        <v>233498</v>
      </c>
      <c r="AD90" s="12">
        <v>1.08926236676451E-2</v>
      </c>
      <c r="AE90" s="12">
        <v>0.42192327087040399</v>
      </c>
      <c r="AF90" s="12">
        <v>0.27455819068152498</v>
      </c>
      <c r="AG90" s="12">
        <v>0.20057840004848901</v>
      </c>
      <c r="AH90" s="12">
        <v>1.5983929483682699E-2</v>
      </c>
      <c r="AI90" s="14">
        <v>0.25400247638344098</v>
      </c>
      <c r="AJ90" s="4">
        <v>219257</v>
      </c>
      <c r="AK90" s="5">
        <v>107840</v>
      </c>
      <c r="AL90" s="5">
        <v>81805</v>
      </c>
      <c r="AM90" s="5">
        <v>44674</v>
      </c>
      <c r="AN90" s="6">
        <v>0.49184290581372497</v>
      </c>
      <c r="AO90" s="6">
        <v>0.37310097283096999</v>
      </c>
      <c r="AP90" s="6">
        <v>0.20375176163132799</v>
      </c>
      <c r="AQ90" s="6">
        <v>0.118741932982755</v>
      </c>
      <c r="AR90" s="6">
        <v>0.169349211199642</v>
      </c>
      <c r="AS90" s="6">
        <v>8.1739693601572599E-2</v>
      </c>
      <c r="AT90" s="6">
        <v>0.12201206802975501</v>
      </c>
      <c r="AU90" s="7">
        <v>73194</v>
      </c>
      <c r="AV90" s="7">
        <v>105842</v>
      </c>
      <c r="AW90" s="7">
        <v>763091</v>
      </c>
      <c r="AX90" s="5">
        <v>571702</v>
      </c>
      <c r="AY90" s="5">
        <v>576344</v>
      </c>
      <c r="AZ90" s="6">
        <v>8.1196147643352694E-3</v>
      </c>
      <c r="BA90" s="6">
        <v>0.44486690223792702</v>
      </c>
      <c r="BB90" s="6">
        <v>0.358489212911622</v>
      </c>
      <c r="BC90" s="6">
        <v>0.17388954385326599</v>
      </c>
      <c r="BD90" s="6">
        <v>2.1355531378235499E-2</v>
      </c>
      <c r="BE90" s="8">
        <v>0.245998789579186</v>
      </c>
      <c r="BF90" s="10">
        <v>517583</v>
      </c>
      <c r="BG90" s="11">
        <v>234167</v>
      </c>
      <c r="BH90" s="11">
        <v>172696</v>
      </c>
      <c r="BI90" s="11">
        <v>92967</v>
      </c>
      <c r="BJ90" s="12">
        <v>0.45242405565870603</v>
      </c>
      <c r="BK90" s="12">
        <v>0.33365856297444102</v>
      </c>
      <c r="BL90" s="12">
        <v>0.17961756858320299</v>
      </c>
      <c r="BM90" s="12">
        <v>0.11876549268426501</v>
      </c>
      <c r="BN90" s="12">
        <v>0.154040994391238</v>
      </c>
      <c r="BO90" s="12">
        <v>7.2759344878019605E-2</v>
      </c>
      <c r="BP90" s="12">
        <v>0.106858223705184</v>
      </c>
      <c r="BQ90" s="13">
        <v>65495</v>
      </c>
      <c r="BR90" s="13">
        <v>98231</v>
      </c>
      <c r="BS90" s="13">
        <v>630978</v>
      </c>
      <c r="BT90" s="11">
        <v>1336146</v>
      </c>
      <c r="BU90" s="11">
        <v>1373529</v>
      </c>
      <c r="BV90" s="12">
        <v>2.79782299239754E-2</v>
      </c>
      <c r="BW90" s="12">
        <v>0.428550312105762</v>
      </c>
      <c r="BX90" s="12">
        <v>0.41623894394774202</v>
      </c>
      <c r="BY90" s="12">
        <v>0.198806118493039</v>
      </c>
      <c r="BZ90" s="12">
        <v>4.1613715866379901E-2</v>
      </c>
      <c r="CA90" s="14">
        <v>0.229034850981854</v>
      </c>
      <c r="CB90" s="98">
        <v>18500000</v>
      </c>
      <c r="CC90" s="83" t="s">
        <v>598</v>
      </c>
      <c r="CD90" s="83" t="s">
        <v>598</v>
      </c>
      <c r="CE90" s="83" t="s">
        <v>598</v>
      </c>
      <c r="CF90" s="83" t="s">
        <v>598</v>
      </c>
      <c r="CG90" s="90" t="str">
        <f t="shared" si="22"/>
        <v/>
      </c>
      <c r="CH90" s="90" t="str">
        <f t="shared" si="22"/>
        <v/>
      </c>
      <c r="CI90" s="90" t="str">
        <f t="shared" si="17"/>
        <v/>
      </c>
      <c r="CK90" s="86">
        <f t="shared" si="15"/>
        <v>12717254</v>
      </c>
      <c r="CL90" s="83">
        <v>4286081</v>
      </c>
      <c r="CM90" s="83">
        <v>6672672</v>
      </c>
      <c r="CN90" s="83">
        <v>1136209</v>
      </c>
      <c r="CO90" s="83">
        <v>622292</v>
      </c>
      <c r="CP90" s="90">
        <f t="shared" si="16"/>
        <v>0.33702881140850061</v>
      </c>
      <c r="CQ90" s="90">
        <f t="shared" si="16"/>
        <v>0.5246944033672678</v>
      </c>
      <c r="CR90" s="90">
        <f t="shared" si="16"/>
        <v>8.9343894523141551E-2</v>
      </c>
    </row>
    <row r="91" spans="1:96" ht="37.5" thickTop="1" thickBot="1" x14ac:dyDescent="0.3">
      <c r="A91" s="3" t="s">
        <v>295</v>
      </c>
      <c r="B91" s="3">
        <v>905</v>
      </c>
      <c r="C91" s="3" t="s">
        <v>121</v>
      </c>
      <c r="D91" s="16">
        <v>39135</v>
      </c>
      <c r="E91" s="16" t="s">
        <v>545</v>
      </c>
      <c r="F91" s="16" t="s">
        <v>398</v>
      </c>
      <c r="G91" s="17">
        <v>21096</v>
      </c>
      <c r="H91" s="17">
        <v>24150</v>
      </c>
      <c r="I91" s="17" t="s">
        <v>585</v>
      </c>
      <c r="J91" s="18" t="s">
        <v>581</v>
      </c>
      <c r="K91" s="18" t="s">
        <v>519</v>
      </c>
      <c r="L91" s="18"/>
      <c r="M91" s="18" t="s">
        <v>598</v>
      </c>
      <c r="N91" s="10">
        <v>43563</v>
      </c>
      <c r="O91" s="11">
        <v>22560</v>
      </c>
      <c r="P91" s="11">
        <v>17743</v>
      </c>
      <c r="Q91" s="11">
        <v>11099</v>
      </c>
      <c r="R91" s="12">
        <v>0.51787067006404497</v>
      </c>
      <c r="S91" s="12">
        <v>0.40729518169088402</v>
      </c>
      <c r="T91" s="12">
        <v>0.254780432936207</v>
      </c>
      <c r="U91" s="12">
        <v>0.110575488373161</v>
      </c>
      <c r="V91" s="12">
        <v>0.15251474875467699</v>
      </c>
      <c r="W91" s="12">
        <v>8.5623120538071307E-2</v>
      </c>
      <c r="X91" s="12">
        <v>0.169157312398136</v>
      </c>
      <c r="Y91" s="13">
        <v>78220</v>
      </c>
      <c r="Z91" s="13">
        <v>122573</v>
      </c>
      <c r="AA91" s="13">
        <v>1707085</v>
      </c>
      <c r="AB91" s="11">
        <v>99218</v>
      </c>
      <c r="AC91" s="11">
        <v>102812</v>
      </c>
      <c r="AD91" s="12">
        <v>3.6223265939648003E-2</v>
      </c>
      <c r="AE91" s="12">
        <v>0.53096333360234604</v>
      </c>
      <c r="AF91" s="12">
        <v>0.18945151081457001</v>
      </c>
      <c r="AG91" s="12">
        <v>3.1204015400431401E-2</v>
      </c>
      <c r="AH91" s="12">
        <v>8.6667741740410004E-2</v>
      </c>
      <c r="AI91" s="14">
        <v>0.26992078050353802</v>
      </c>
      <c r="AJ91" s="4">
        <v>114906</v>
      </c>
      <c r="AK91" s="5">
        <v>53412</v>
      </c>
      <c r="AL91" s="5">
        <v>40350</v>
      </c>
      <c r="AM91" s="5">
        <v>24126</v>
      </c>
      <c r="AN91" s="6">
        <v>0.46483212364889598</v>
      </c>
      <c r="AO91" s="6">
        <v>0.35115659756670697</v>
      </c>
      <c r="AP91" s="6">
        <v>0.20996292621795201</v>
      </c>
      <c r="AQ91" s="6">
        <v>0.113675526082189</v>
      </c>
      <c r="AR91" s="6">
        <v>0.14119367134875499</v>
      </c>
      <c r="AS91" s="6">
        <v>7.1214732041842893E-2</v>
      </c>
      <c r="AT91" s="6">
        <v>0.13874819417610901</v>
      </c>
      <c r="AU91" s="7">
        <v>67832</v>
      </c>
      <c r="AV91" s="7">
        <v>110435</v>
      </c>
      <c r="AW91" s="7">
        <v>1601701</v>
      </c>
      <c r="AX91" s="5">
        <v>248490</v>
      </c>
      <c r="AY91" s="5">
        <v>258544</v>
      </c>
      <c r="AZ91" s="6">
        <v>4.0460380699424502E-2</v>
      </c>
      <c r="BA91" s="6">
        <v>0.46726753762263801</v>
      </c>
      <c r="BB91" s="6">
        <v>0.18486860638255101</v>
      </c>
      <c r="BC91" s="6">
        <v>2.7989053885468199E-2</v>
      </c>
      <c r="BD91" s="6">
        <v>0.10936053764739</v>
      </c>
      <c r="BE91" s="8">
        <v>0.27690047889251101</v>
      </c>
      <c r="BF91" s="10">
        <v>198141</v>
      </c>
      <c r="BG91" s="11">
        <v>89615</v>
      </c>
      <c r="BH91" s="11">
        <v>67060</v>
      </c>
      <c r="BI91" s="11">
        <v>38511</v>
      </c>
      <c r="BJ91" s="12">
        <v>0.45227893267925401</v>
      </c>
      <c r="BK91" s="12">
        <v>0.33844585421492801</v>
      </c>
      <c r="BL91" s="12">
        <v>0.19436159098823599</v>
      </c>
      <c r="BM91" s="12">
        <v>0.113833078464326</v>
      </c>
      <c r="BN91" s="12">
        <v>0.14408426322669199</v>
      </c>
      <c r="BO91" s="12">
        <v>7.1292665324188306E-2</v>
      </c>
      <c r="BP91" s="12">
        <v>0.12306892566404699</v>
      </c>
      <c r="BQ91" s="13">
        <v>65670</v>
      </c>
      <c r="BR91" s="13">
        <v>105002</v>
      </c>
      <c r="BS91" s="13">
        <v>1456065</v>
      </c>
      <c r="BT91" s="11">
        <v>451473</v>
      </c>
      <c r="BU91" s="11">
        <v>469953</v>
      </c>
      <c r="BV91" s="12">
        <v>4.0932680359622803E-2</v>
      </c>
      <c r="BW91" s="12">
        <v>0.42893512698013597</v>
      </c>
      <c r="BX91" s="12">
        <v>0.20193677141268701</v>
      </c>
      <c r="BY91" s="12">
        <v>3.0978596726714599E-2</v>
      </c>
      <c r="BZ91" s="12">
        <v>0.14254894534113899</v>
      </c>
      <c r="CA91" s="14">
        <v>0.27307059336881701</v>
      </c>
      <c r="CB91" s="86">
        <f>IF(SUM(CC91:CF91)=0,"",SUM(CC91:CF91))</f>
        <v>36286661.667665653</v>
      </c>
      <c r="CC91" s="83">
        <v>17526028.586666301</v>
      </c>
      <c r="CD91" s="83">
        <v>14080837.369999399</v>
      </c>
      <c r="CE91" s="83">
        <v>2972274.4909999501</v>
      </c>
      <c r="CF91" s="83">
        <v>1707521.22</v>
      </c>
      <c r="CG91" s="90">
        <f t="shared" si="22"/>
        <v>0.48298817750665141</v>
      </c>
      <c r="CH91" s="90">
        <f t="shared" si="22"/>
        <v>0.38804444175548292</v>
      </c>
      <c r="CI91" s="90">
        <f t="shared" si="17"/>
        <v>8.1910937914922238E-2</v>
      </c>
      <c r="CK91" s="86">
        <f t="shared" si="15"/>
        <v>36015772</v>
      </c>
      <c r="CL91" s="83">
        <v>17324541</v>
      </c>
      <c r="CM91" s="83">
        <v>14169471</v>
      </c>
      <c r="CN91" s="83">
        <v>2858669</v>
      </c>
      <c r="CO91" s="83">
        <v>1663091</v>
      </c>
      <c r="CP91" s="90">
        <f t="shared" si="16"/>
        <v>0.48102650694256949</v>
      </c>
      <c r="CQ91" s="90">
        <f t="shared" si="16"/>
        <v>0.39342405321757368</v>
      </c>
      <c r="CR91" s="90">
        <f t="shared" si="16"/>
        <v>7.9372698161238917E-2</v>
      </c>
    </row>
    <row r="92" spans="1:96" ht="37.5" thickTop="1" thickBot="1" x14ac:dyDescent="0.3">
      <c r="A92" s="3" t="s">
        <v>290</v>
      </c>
      <c r="B92" s="3">
        <v>401</v>
      </c>
      <c r="C92" s="3" t="s">
        <v>54</v>
      </c>
      <c r="D92" s="16">
        <v>35370</v>
      </c>
      <c r="E92" s="16" t="s">
        <v>527</v>
      </c>
      <c r="F92" s="16" t="s">
        <v>337</v>
      </c>
      <c r="G92" s="17">
        <v>17481</v>
      </c>
      <c r="H92" s="17">
        <v>27522</v>
      </c>
      <c r="I92" s="17" t="s">
        <v>584</v>
      </c>
      <c r="J92" s="18"/>
      <c r="K92" s="18" t="s">
        <v>598</v>
      </c>
      <c r="L92" s="18"/>
      <c r="M92" s="18" t="s">
        <v>598</v>
      </c>
      <c r="N92" s="10">
        <v>51921</v>
      </c>
      <c r="O92" s="11">
        <v>23686</v>
      </c>
      <c r="P92" s="11">
        <v>17143</v>
      </c>
      <c r="Q92" s="11">
        <v>7960</v>
      </c>
      <c r="R92" s="12">
        <v>0.45619306253731601</v>
      </c>
      <c r="S92" s="12">
        <v>0.33017468846901998</v>
      </c>
      <c r="T92" s="12">
        <v>0.15330983609714799</v>
      </c>
      <c r="U92" s="12">
        <v>0.126018374068296</v>
      </c>
      <c r="V92" s="12">
        <v>0.17686485237187299</v>
      </c>
      <c r="W92" s="12">
        <v>7.4825215230831493E-2</v>
      </c>
      <c r="X92" s="12">
        <v>7.8484620866316093E-2</v>
      </c>
      <c r="Y92" s="13">
        <v>67374</v>
      </c>
      <c r="Z92" s="13">
        <v>92904</v>
      </c>
      <c r="AA92" s="13">
        <v>880168</v>
      </c>
      <c r="AB92" s="11">
        <v>126043</v>
      </c>
      <c r="AC92" s="11">
        <v>126099</v>
      </c>
      <c r="AD92" s="12">
        <v>4.4429282070404497E-4</v>
      </c>
      <c r="AE92" s="12">
        <v>0.42717580305664898</v>
      </c>
      <c r="AF92" s="12">
        <v>5.4751156351403901E-2</v>
      </c>
      <c r="AG92" s="12">
        <v>5.7250303467864097E-2</v>
      </c>
      <c r="AH92" s="12">
        <v>0.33334655633394999</v>
      </c>
      <c r="AI92" s="14">
        <v>0.23329339987147199</v>
      </c>
      <c r="AJ92" s="4">
        <v>120003</v>
      </c>
      <c r="AK92" s="5">
        <v>58698</v>
      </c>
      <c r="AL92" s="5">
        <v>43020</v>
      </c>
      <c r="AM92" s="5">
        <v>20548</v>
      </c>
      <c r="AN92" s="6">
        <v>0.48913777155571098</v>
      </c>
      <c r="AO92" s="6">
        <v>0.35849103772405699</v>
      </c>
      <c r="AP92" s="6">
        <v>0.17122905260701801</v>
      </c>
      <c r="AQ92" s="6">
        <v>0.13064673383165401</v>
      </c>
      <c r="AR92" s="6">
        <v>0.18726198511703901</v>
      </c>
      <c r="AS92" s="6">
        <v>7.6789746922993604E-2</v>
      </c>
      <c r="AT92" s="6">
        <v>9.4439305684024602E-2</v>
      </c>
      <c r="AU92" s="7">
        <v>72889</v>
      </c>
      <c r="AV92" s="7">
        <v>100327</v>
      </c>
      <c r="AW92" s="7">
        <v>1078772</v>
      </c>
      <c r="AX92" s="5">
        <v>304981</v>
      </c>
      <c r="AY92" s="5">
        <v>302743</v>
      </c>
      <c r="AZ92" s="6">
        <v>-7.3381620494391503E-3</v>
      </c>
      <c r="BA92" s="6">
        <v>0.42473044254426201</v>
      </c>
      <c r="BB92" s="6">
        <v>4.6275013853322E-2</v>
      </c>
      <c r="BC92" s="6">
        <v>5.7203563500677103E-2</v>
      </c>
      <c r="BD92" s="6">
        <v>0.37579718080798502</v>
      </c>
      <c r="BE92" s="8">
        <v>0.24386765077168701</v>
      </c>
      <c r="BF92" s="10">
        <v>221120</v>
      </c>
      <c r="BG92" s="11">
        <v>99869</v>
      </c>
      <c r="BH92" s="11">
        <v>72761</v>
      </c>
      <c r="BI92" s="11">
        <v>35503</v>
      </c>
      <c r="BJ92" s="12">
        <v>0.451650687409551</v>
      </c>
      <c r="BK92" s="12">
        <v>0.32905662083936299</v>
      </c>
      <c r="BL92" s="12">
        <v>0.16055987698987001</v>
      </c>
      <c r="BM92" s="12">
        <v>0.122594066570188</v>
      </c>
      <c r="BN92" s="12">
        <v>0.16849674384949301</v>
      </c>
      <c r="BO92" s="12">
        <v>6.9102749638205493E-2</v>
      </c>
      <c r="BP92" s="12">
        <v>9.1457127351664294E-2</v>
      </c>
      <c r="BQ92" s="13">
        <v>65904</v>
      </c>
      <c r="BR92" s="13">
        <v>95224</v>
      </c>
      <c r="BS92" s="13">
        <v>986097</v>
      </c>
      <c r="BT92" s="11">
        <v>551278</v>
      </c>
      <c r="BU92" s="11">
        <v>545860</v>
      </c>
      <c r="BV92" s="12">
        <v>-9.8280722249028604E-3</v>
      </c>
      <c r="BW92" s="12">
        <v>0.41416234707877803</v>
      </c>
      <c r="BX92" s="12">
        <v>4.94741310191954E-2</v>
      </c>
      <c r="BY92" s="12">
        <v>6.2779577635965894E-2</v>
      </c>
      <c r="BZ92" s="12">
        <v>0.41133511585806098</v>
      </c>
      <c r="CA92" s="14">
        <v>0.243666534851744</v>
      </c>
      <c r="CB92" s="86">
        <f>IF(SUM(CC92:CF92)=0,"",SUM(CC92:CF92))</f>
        <v>39225765.651705071</v>
      </c>
      <c r="CC92" s="83">
        <v>16432951.928932101</v>
      </c>
      <c r="CD92" s="83">
        <v>14148158.2033327</v>
      </c>
      <c r="CE92" s="83">
        <v>7284021.79944026</v>
      </c>
      <c r="CF92" s="83">
        <v>1360633.72000001</v>
      </c>
      <c r="CG92" s="90">
        <f t="shared" si="22"/>
        <v>0.41893259840596103</v>
      </c>
      <c r="CH92" s="90">
        <f t="shared" si="22"/>
        <v>0.36068532935615766</v>
      </c>
      <c r="CI92" s="90">
        <f t="shared" si="17"/>
        <v>0.18569482783629584</v>
      </c>
      <c r="CK92" s="86">
        <f t="shared" si="15"/>
        <v>38834602</v>
      </c>
      <c r="CL92" s="83">
        <v>16061283</v>
      </c>
      <c r="CM92" s="83">
        <v>14194181</v>
      </c>
      <c r="CN92" s="83">
        <v>7201806</v>
      </c>
      <c r="CO92" s="83">
        <v>1377332</v>
      </c>
      <c r="CP92" s="90">
        <f t="shared" si="16"/>
        <v>0.41358175886545717</v>
      </c>
      <c r="CQ92" s="90">
        <f t="shared" si="16"/>
        <v>0.36550344973279242</v>
      </c>
      <c r="CR92" s="90">
        <f t="shared" si="16"/>
        <v>0.18544817325538704</v>
      </c>
    </row>
    <row r="93" spans="1:96" ht="37.5" thickTop="1" thickBot="1" x14ac:dyDescent="0.3">
      <c r="A93" s="3" t="s">
        <v>288</v>
      </c>
      <c r="B93" s="3">
        <v>203</v>
      </c>
      <c r="C93" s="3" t="s">
        <v>30</v>
      </c>
      <c r="D93" s="16">
        <v>35935</v>
      </c>
      <c r="E93" s="16" t="s">
        <v>521</v>
      </c>
      <c r="F93" s="16" t="s">
        <v>318</v>
      </c>
      <c r="G93" s="17">
        <v>19235</v>
      </c>
      <c r="H93" s="17">
        <v>26377</v>
      </c>
      <c r="I93" s="17" t="s">
        <v>585</v>
      </c>
      <c r="J93" s="18"/>
      <c r="K93" s="18" t="s">
        <v>598</v>
      </c>
      <c r="L93" s="18"/>
      <c r="M93" s="18" t="s">
        <v>598</v>
      </c>
      <c r="N93" s="10">
        <v>81818</v>
      </c>
      <c r="O93" s="11">
        <v>47964</v>
      </c>
      <c r="P93" s="11">
        <v>36594</v>
      </c>
      <c r="Q93" s="11">
        <v>21453</v>
      </c>
      <c r="R93" s="12">
        <v>0.58622796939548705</v>
      </c>
      <c r="S93" s="12">
        <v>0.44726099391332003</v>
      </c>
      <c r="T93" s="12">
        <v>0.26220391600870202</v>
      </c>
      <c r="U93" s="12">
        <v>0.13896697548216799</v>
      </c>
      <c r="V93" s="12">
        <v>0.18505707790461801</v>
      </c>
      <c r="W93" s="12">
        <v>0.109890244200543</v>
      </c>
      <c r="X93" s="12">
        <v>0.15231367180815999</v>
      </c>
      <c r="Y93" s="13">
        <v>88821</v>
      </c>
      <c r="Z93" s="13">
        <v>125892</v>
      </c>
      <c r="AA93" s="13">
        <v>1164981</v>
      </c>
      <c r="AB93" s="11">
        <v>194475</v>
      </c>
      <c r="AC93" s="11">
        <v>199002</v>
      </c>
      <c r="AD93" s="12">
        <v>2.3278056305437701E-2</v>
      </c>
      <c r="AE93" s="12">
        <v>0.52902085896592199</v>
      </c>
      <c r="AF93" s="12">
        <v>0.24635557269571901</v>
      </c>
      <c r="AG93" s="12">
        <v>0.13111196811929601</v>
      </c>
      <c r="AH93" s="12">
        <v>0.209317392981103</v>
      </c>
      <c r="AI93" s="14">
        <v>0.22467669366242399</v>
      </c>
      <c r="AJ93" s="4">
        <v>225161</v>
      </c>
      <c r="AK93" s="5">
        <v>146770</v>
      </c>
      <c r="AL93" s="5">
        <v>118788</v>
      </c>
      <c r="AM93" s="5">
        <v>75430</v>
      </c>
      <c r="AN93" s="6">
        <v>0.65184468002895701</v>
      </c>
      <c r="AO93" s="6">
        <v>0.52756916162212797</v>
      </c>
      <c r="AP93" s="6">
        <v>0.33500472994879199</v>
      </c>
      <c r="AQ93" s="6">
        <v>0.124275518406829</v>
      </c>
      <c r="AR93" s="6">
        <v>0.19256443167333601</v>
      </c>
      <c r="AS93" s="6">
        <v>0.133651031928265</v>
      </c>
      <c r="AT93" s="6">
        <v>0.20135369802052799</v>
      </c>
      <c r="AU93" s="7">
        <v>104908</v>
      </c>
      <c r="AV93" s="7">
        <v>145771</v>
      </c>
      <c r="AW93" s="7">
        <v>1383598</v>
      </c>
      <c r="AX93" s="5">
        <v>543753</v>
      </c>
      <c r="AY93" s="5">
        <v>561976</v>
      </c>
      <c r="AZ93" s="6">
        <v>3.3513378316993199E-2</v>
      </c>
      <c r="BA93" s="6">
        <v>0.59526677747449597</v>
      </c>
      <c r="BB93" s="6">
        <v>0.236200995672668</v>
      </c>
      <c r="BC93" s="6">
        <v>0.13682867037055399</v>
      </c>
      <c r="BD93" s="6">
        <v>0.148411135202932</v>
      </c>
      <c r="BE93" s="8">
        <v>0.22647966999722299</v>
      </c>
      <c r="BF93" s="10">
        <v>361249</v>
      </c>
      <c r="BG93" s="11">
        <v>243429</v>
      </c>
      <c r="BH93" s="11">
        <v>200979</v>
      </c>
      <c r="BI93" s="11">
        <v>131721</v>
      </c>
      <c r="BJ93" s="12">
        <v>0.673853768453338</v>
      </c>
      <c r="BK93" s="12">
        <v>0.55634479264994496</v>
      </c>
      <c r="BL93" s="12">
        <v>0.36462661488336301</v>
      </c>
      <c r="BM93" s="12">
        <v>0.11750897580339301</v>
      </c>
      <c r="BN93" s="12">
        <v>0.19171817776658201</v>
      </c>
      <c r="BO93" s="12">
        <v>0.14070350367751899</v>
      </c>
      <c r="BP93" s="12">
        <v>0.22392311120584399</v>
      </c>
      <c r="BQ93" s="13">
        <v>110793</v>
      </c>
      <c r="BR93" s="13">
        <v>155351</v>
      </c>
      <c r="BS93" s="13">
        <v>1543431</v>
      </c>
      <c r="BT93" s="11">
        <v>866989</v>
      </c>
      <c r="BU93" s="11">
        <v>898736</v>
      </c>
      <c r="BV93" s="12">
        <v>3.6617534939889701E-2</v>
      </c>
      <c r="BW93" s="12">
        <v>0.63379689969111497</v>
      </c>
      <c r="BX93" s="12">
        <v>0.20388378629948001</v>
      </c>
      <c r="BY93" s="12">
        <v>0.14132243892367699</v>
      </c>
      <c r="BZ93" s="12">
        <v>0.13649423464426899</v>
      </c>
      <c r="CA93" s="14">
        <v>0.228918706004344</v>
      </c>
      <c r="CB93" s="86">
        <f>IF(SUM(CC93:CF93)=0,"",SUM(CC93:CF93))</f>
        <v>13708528.433332885</v>
      </c>
      <c r="CC93" s="83">
        <v>8754943.1833330095</v>
      </c>
      <c r="CD93" s="83">
        <v>173111.81</v>
      </c>
      <c r="CE93" s="83">
        <v>4147812.5199998701</v>
      </c>
      <c r="CF93" s="83">
        <v>632660.920000004</v>
      </c>
      <c r="CG93" s="90">
        <f t="shared" si="22"/>
        <v>0.63864937990316917</v>
      </c>
      <c r="CH93" s="90">
        <f t="shared" si="22"/>
        <v>1.2628037417865442E-2</v>
      </c>
      <c r="CI93" s="90">
        <f t="shared" si="17"/>
        <v>0.30257168303450305</v>
      </c>
      <c r="CK93" s="86">
        <f t="shared" si="15"/>
        <v>13015575</v>
      </c>
      <c r="CL93" s="83">
        <v>8229981</v>
      </c>
      <c r="CM93" s="83">
        <v>201261</v>
      </c>
      <c r="CN93" s="83">
        <v>3967268</v>
      </c>
      <c r="CO93" s="83">
        <v>617065</v>
      </c>
      <c r="CP93" s="90">
        <f t="shared" si="16"/>
        <v>0.63231789605914457</v>
      </c>
      <c r="CQ93" s="90">
        <f t="shared" si="16"/>
        <v>1.5463089414028961E-2</v>
      </c>
      <c r="CR93" s="90">
        <f t="shared" si="16"/>
        <v>0.30480927657825335</v>
      </c>
    </row>
    <row r="94" spans="1:96" ht="49.5" thickTop="1" thickBot="1" x14ac:dyDescent="0.3">
      <c r="A94" s="3" t="s">
        <v>291</v>
      </c>
      <c r="B94" s="3">
        <v>522</v>
      </c>
      <c r="C94" s="3" t="s">
        <v>77</v>
      </c>
      <c r="D94" s="16">
        <v>42929</v>
      </c>
      <c r="E94" s="16" t="s">
        <v>531</v>
      </c>
      <c r="F94" s="16" t="s">
        <v>359</v>
      </c>
      <c r="G94" s="17">
        <v>16413</v>
      </c>
      <c r="H94" s="17">
        <v>20266</v>
      </c>
      <c r="I94" s="17" t="s">
        <v>584</v>
      </c>
      <c r="J94" s="18"/>
      <c r="K94" s="18" t="s">
        <v>598</v>
      </c>
      <c r="L94" s="18"/>
      <c r="M94" s="18" t="s">
        <v>598</v>
      </c>
      <c r="N94" s="10">
        <v>56202</v>
      </c>
      <c r="O94" s="11">
        <v>28441</v>
      </c>
      <c r="P94" s="11">
        <v>21880</v>
      </c>
      <c r="Q94" s="11">
        <v>11893</v>
      </c>
      <c r="R94" s="12">
        <v>0.50604960677555999</v>
      </c>
      <c r="S94" s="12">
        <v>0.389309988968364</v>
      </c>
      <c r="T94" s="12">
        <v>0.21161168641685299</v>
      </c>
      <c r="U94" s="12">
        <v>0.116739617807195</v>
      </c>
      <c r="V94" s="12">
        <v>0.17769830255151101</v>
      </c>
      <c r="W94" s="12">
        <v>0.102434077079108</v>
      </c>
      <c r="X94" s="12">
        <v>0.10917760933774601</v>
      </c>
      <c r="Y94" s="13">
        <v>75995</v>
      </c>
      <c r="Z94" s="13">
        <v>106414</v>
      </c>
      <c r="AA94" s="13">
        <v>801049</v>
      </c>
      <c r="AB94" s="11">
        <v>120500</v>
      </c>
      <c r="AC94" s="11">
        <v>125307</v>
      </c>
      <c r="AD94" s="12">
        <v>3.9892116182572601E-2</v>
      </c>
      <c r="AE94" s="12">
        <v>0.57524366242000702</v>
      </c>
      <c r="AF94" s="12">
        <v>0.29206639004149398</v>
      </c>
      <c r="AG94" s="12">
        <v>9.8780082987551907E-2</v>
      </c>
      <c r="AH94" s="12">
        <v>5.8464730290456401E-2</v>
      </c>
      <c r="AI94" s="14">
        <v>0.199377593360996</v>
      </c>
      <c r="AJ94" s="4">
        <v>133257</v>
      </c>
      <c r="AK94" s="5">
        <v>66728</v>
      </c>
      <c r="AL94" s="5">
        <v>50944</v>
      </c>
      <c r="AM94" s="5">
        <v>28058</v>
      </c>
      <c r="AN94" s="6">
        <v>0.50074667747285295</v>
      </c>
      <c r="AO94" s="6">
        <v>0.38229886610084302</v>
      </c>
      <c r="AP94" s="6">
        <v>0.21055554304839499</v>
      </c>
      <c r="AQ94" s="6">
        <v>0.11844781137201001</v>
      </c>
      <c r="AR94" s="6">
        <v>0.17174332305244799</v>
      </c>
      <c r="AS94" s="6">
        <v>0.100745176613611</v>
      </c>
      <c r="AT94" s="6">
        <v>0.10981036643478401</v>
      </c>
      <c r="AU94" s="7">
        <v>75120</v>
      </c>
      <c r="AV94" s="7">
        <v>106845</v>
      </c>
      <c r="AW94" s="7">
        <v>843409</v>
      </c>
      <c r="AX94" s="5">
        <v>298108</v>
      </c>
      <c r="AY94" s="5">
        <v>316898</v>
      </c>
      <c r="AZ94" s="6">
        <v>6.30308478806339E-2</v>
      </c>
      <c r="BA94" s="6">
        <v>0.54357157822419899</v>
      </c>
      <c r="BB94" s="6">
        <v>0.31492948864170001</v>
      </c>
      <c r="BC94" s="6">
        <v>0.109158425805413</v>
      </c>
      <c r="BD94" s="6">
        <v>7.10212406242033E-2</v>
      </c>
      <c r="BE94" s="8">
        <v>0.20171213117393699</v>
      </c>
      <c r="BF94" s="10">
        <v>225640</v>
      </c>
      <c r="BG94" s="11">
        <v>112901</v>
      </c>
      <c r="BH94" s="11">
        <v>86713</v>
      </c>
      <c r="BI94" s="11">
        <v>48393</v>
      </c>
      <c r="BJ94" s="12">
        <v>0.50035897890445002</v>
      </c>
      <c r="BK94" s="12">
        <v>0.384297996809076</v>
      </c>
      <c r="BL94" s="12">
        <v>0.214469952136146</v>
      </c>
      <c r="BM94" s="12">
        <v>0.11606098209537299</v>
      </c>
      <c r="BN94" s="12">
        <v>0.16982804467293</v>
      </c>
      <c r="BO94" s="12">
        <v>0.101812621875554</v>
      </c>
      <c r="BP94" s="12">
        <v>0.11265733026059201</v>
      </c>
      <c r="BQ94" s="13">
        <v>75058</v>
      </c>
      <c r="BR94" s="13">
        <v>107063</v>
      </c>
      <c r="BS94" s="13">
        <v>830265</v>
      </c>
      <c r="BT94" s="11">
        <v>524256</v>
      </c>
      <c r="BU94" s="11">
        <v>563184</v>
      </c>
      <c r="BV94" s="12">
        <v>7.4253799670390003E-2</v>
      </c>
      <c r="BW94" s="12">
        <v>0.55169755769609696</v>
      </c>
      <c r="BX94" s="12">
        <v>0.29220647927729998</v>
      </c>
      <c r="BY94" s="12">
        <v>0.11956372459256499</v>
      </c>
      <c r="BZ94" s="12">
        <v>8.2110648232924396E-2</v>
      </c>
      <c r="CA94" s="14">
        <v>0.19308696514679899</v>
      </c>
      <c r="CB94" s="86">
        <f>IF(SUM(CC94:CF94)=0,"",SUM(CC94:CF94))</f>
        <v>19903434.6527135</v>
      </c>
      <c r="CC94" s="83">
        <v>6176046.5097140996</v>
      </c>
      <c r="CD94" s="83">
        <v>10723234.7829994</v>
      </c>
      <c r="CE94" s="83">
        <v>2090627.1599999899</v>
      </c>
      <c r="CF94" s="83">
        <v>913526.20000000903</v>
      </c>
      <c r="CG94" s="90">
        <f t="shared" si="22"/>
        <v>0.31030053945348068</v>
      </c>
      <c r="CH94" s="90">
        <f t="shared" si="22"/>
        <v>0.53876303111018409</v>
      </c>
      <c r="CI94" s="90">
        <f t="shared" si="17"/>
        <v>0.10503851201958089</v>
      </c>
      <c r="CK94" s="86">
        <f t="shared" si="15"/>
        <v>19596450</v>
      </c>
      <c r="CL94" s="83">
        <v>5883723</v>
      </c>
      <c r="CM94" s="83">
        <v>10759613</v>
      </c>
      <c r="CN94" s="83">
        <v>2057217</v>
      </c>
      <c r="CO94" s="83">
        <v>895897</v>
      </c>
      <c r="CP94" s="90">
        <f t="shared" si="16"/>
        <v>0.30024432996792788</v>
      </c>
      <c r="CQ94" s="90">
        <f t="shared" si="16"/>
        <v>0.54905929390272212</v>
      </c>
      <c r="CR94" s="90">
        <f t="shared" si="16"/>
        <v>0.10497906508576808</v>
      </c>
    </row>
    <row r="95" spans="1:96" ht="25.5" thickTop="1" thickBot="1" x14ac:dyDescent="0.3">
      <c r="A95" s="3" t="s">
        <v>683</v>
      </c>
      <c r="B95" s="3" t="s">
        <v>684</v>
      </c>
      <c r="C95" s="3" t="s">
        <v>684</v>
      </c>
      <c r="D95" s="16">
        <v>45456</v>
      </c>
      <c r="E95" s="39" t="s">
        <v>685</v>
      </c>
      <c r="F95" s="16" t="s">
        <v>686</v>
      </c>
      <c r="G95" s="17">
        <f>H95*0.8</f>
        <v>18720</v>
      </c>
      <c r="H95" s="17">
        <v>23400</v>
      </c>
      <c r="I95" s="17" t="s">
        <v>584</v>
      </c>
      <c r="J95" s="18"/>
      <c r="K95" s="18"/>
      <c r="L95" s="18"/>
      <c r="M95" s="18" t="s">
        <v>598</v>
      </c>
      <c r="N95" s="42">
        <v>27821</v>
      </c>
      <c r="O95" s="43">
        <v>14881</v>
      </c>
      <c r="P95" s="43">
        <v>10139</v>
      </c>
      <c r="Q95" s="43">
        <v>3194</v>
      </c>
      <c r="R95" s="44">
        <v>0.53488372093023295</v>
      </c>
      <c r="S95" s="44">
        <v>0.36443693612738598</v>
      </c>
      <c r="T95" s="44">
        <v>0.114805362855397</v>
      </c>
      <c r="U95" s="44">
        <v>0.170446784802847</v>
      </c>
      <c r="V95" s="44">
        <v>0.24963157327198901</v>
      </c>
      <c r="W95" s="44">
        <v>8.4684231336041096E-2</v>
      </c>
      <c r="X95" s="44">
        <v>3.0121131519355901E-2</v>
      </c>
      <c r="Y95" s="45">
        <v>78907</v>
      </c>
      <c r="Z95" s="45">
        <v>91966</v>
      </c>
      <c r="AA95" s="45">
        <v>456838</v>
      </c>
      <c r="AB95" s="43">
        <v>73595</v>
      </c>
      <c r="AC95" s="43">
        <v>75724</v>
      </c>
      <c r="AD95" s="44">
        <v>2.8928595692642198E-2</v>
      </c>
      <c r="AE95" s="44">
        <v>0.30311136719071502</v>
      </c>
      <c r="AF95" s="44">
        <v>0.11572797065018001</v>
      </c>
      <c r="AG95" s="44">
        <v>3.2841905020721499E-2</v>
      </c>
      <c r="AH95" s="44">
        <v>5.7082682247435297E-2</v>
      </c>
      <c r="AI95" s="46">
        <v>0.19961953937088101</v>
      </c>
      <c r="AJ95" s="42">
        <v>51033</v>
      </c>
      <c r="AK95" s="43">
        <v>27910</v>
      </c>
      <c r="AL95" s="43">
        <v>19862</v>
      </c>
      <c r="AM95" s="43">
        <v>7196</v>
      </c>
      <c r="AN95" s="44">
        <v>0.54690102482707303</v>
      </c>
      <c r="AO95" s="44">
        <v>0.38919914565085301</v>
      </c>
      <c r="AP95" s="44">
        <v>0.141006799521878</v>
      </c>
      <c r="AQ95" s="44">
        <v>0.157701879176219</v>
      </c>
      <c r="AR95" s="44">
        <v>0.24819234612897501</v>
      </c>
      <c r="AS95" s="44">
        <v>8.7688358513119E-2</v>
      </c>
      <c r="AT95" s="44">
        <v>5.3318441008759002E-2</v>
      </c>
      <c r="AU95" s="45">
        <v>80919</v>
      </c>
      <c r="AV95" s="45">
        <v>98574</v>
      </c>
      <c r="AW95" s="45">
        <v>712977</v>
      </c>
      <c r="AX95" s="43">
        <v>133428</v>
      </c>
      <c r="AY95" s="43">
        <v>137195</v>
      </c>
      <c r="AZ95" s="44">
        <v>2.8232454956980499E-2</v>
      </c>
      <c r="BA95" s="44">
        <v>0.33416241899684401</v>
      </c>
      <c r="BB95" s="44">
        <v>0.116789579398627</v>
      </c>
      <c r="BC95" s="44">
        <v>5.08738795455227E-2</v>
      </c>
      <c r="BD95" s="44">
        <v>5.9575201606859099E-2</v>
      </c>
      <c r="BE95" s="46">
        <v>0.21692598255238801</v>
      </c>
      <c r="BF95" s="70">
        <v>91306</v>
      </c>
      <c r="BG95" s="71">
        <v>44186</v>
      </c>
      <c r="BH95" s="71">
        <v>30771</v>
      </c>
      <c r="BI95" s="71">
        <v>11705</v>
      </c>
      <c r="BJ95" s="72">
        <v>0.48393314787637198</v>
      </c>
      <c r="BK95" s="72">
        <v>0.337009616016472</v>
      </c>
      <c r="BL95" s="72">
        <v>0.12819529932315499</v>
      </c>
      <c r="BM95" s="72">
        <v>0.14692353185990001</v>
      </c>
      <c r="BN95" s="72">
        <v>0.20881431669331699</v>
      </c>
      <c r="BO95" s="72">
        <v>7.6741944669572598E-2</v>
      </c>
      <c r="BP95" s="72">
        <v>5.14533546535825E-2</v>
      </c>
      <c r="BQ95" s="73">
        <v>72034</v>
      </c>
      <c r="BR95" s="73">
        <v>92299</v>
      </c>
      <c r="BS95" s="73">
        <v>671484</v>
      </c>
      <c r="BT95" s="71">
        <v>237192</v>
      </c>
      <c r="BU95" s="71">
        <v>243521</v>
      </c>
      <c r="BV95" s="72">
        <v>2.66830247225876E-2</v>
      </c>
      <c r="BW95" s="72">
        <v>0.30895572148379302</v>
      </c>
      <c r="BX95" s="72">
        <v>0.170709804715167</v>
      </c>
      <c r="BY95" s="72">
        <v>4.7872609531518798E-2</v>
      </c>
      <c r="BZ95" s="72">
        <v>7.5542176801915703E-2</v>
      </c>
      <c r="CA95" s="74">
        <v>0.216103409895781</v>
      </c>
      <c r="CB95" s="98">
        <v>20000000</v>
      </c>
      <c r="CC95" s="83" t="s">
        <v>598</v>
      </c>
      <c r="CD95" s="83" t="s">
        <v>598</v>
      </c>
      <c r="CE95" s="83" t="s">
        <v>598</v>
      </c>
      <c r="CF95" s="83" t="s">
        <v>598</v>
      </c>
      <c r="CG95" s="99">
        <v>0.23</v>
      </c>
      <c r="CH95" s="99">
        <v>0.62</v>
      </c>
      <c r="CI95" s="90" t="str">
        <f t="shared" si="17"/>
        <v/>
      </c>
      <c r="CK95" s="98">
        <v>20000000</v>
      </c>
      <c r="CL95" s="83" t="s">
        <v>598</v>
      </c>
      <c r="CM95" s="83" t="s">
        <v>598</v>
      </c>
      <c r="CN95" s="83" t="s">
        <v>598</v>
      </c>
      <c r="CO95" s="83" t="s">
        <v>598</v>
      </c>
      <c r="CP95" s="99">
        <v>0.23</v>
      </c>
      <c r="CQ95" s="99">
        <v>0.62</v>
      </c>
      <c r="CR95" s="90" t="str">
        <f t="shared" si="16"/>
        <v/>
      </c>
    </row>
    <row r="96" spans="1:96" ht="25.5" thickTop="1" thickBot="1" x14ac:dyDescent="0.3">
      <c r="A96" s="3" t="s">
        <v>305</v>
      </c>
      <c r="B96" s="3" t="s">
        <v>692</v>
      </c>
      <c r="C96" s="3" t="s">
        <v>692</v>
      </c>
      <c r="D96" s="16">
        <v>45456</v>
      </c>
      <c r="E96" s="39" t="s">
        <v>689</v>
      </c>
      <c r="F96" s="16" t="s">
        <v>690</v>
      </c>
      <c r="G96" s="17">
        <f>H96*0.8</f>
        <v>24032</v>
      </c>
      <c r="H96" s="17">
        <v>30040</v>
      </c>
      <c r="I96" s="17" t="s">
        <v>585</v>
      </c>
      <c r="J96" s="18"/>
      <c r="K96" s="18"/>
      <c r="L96" s="18"/>
      <c r="M96" s="18" t="s">
        <v>598</v>
      </c>
      <c r="N96" s="42">
        <v>16271</v>
      </c>
      <c r="O96" s="43">
        <v>7224</v>
      </c>
      <c r="P96" s="43">
        <v>4690</v>
      </c>
      <c r="Q96" s="43">
        <v>1879</v>
      </c>
      <c r="R96" s="44">
        <v>0.44398008727183302</v>
      </c>
      <c r="S96" s="44">
        <v>0.28824288611640297</v>
      </c>
      <c r="T96" s="44">
        <v>0.11548153155921601</v>
      </c>
      <c r="U96" s="44">
        <v>0.15573720115542999</v>
      </c>
      <c r="V96" s="44">
        <v>0.172761354557188</v>
      </c>
      <c r="W96" s="44">
        <v>6.4224694241288197E-2</v>
      </c>
      <c r="X96" s="44">
        <v>5.12568373179276E-2</v>
      </c>
      <c r="Y96" s="45">
        <v>66213</v>
      </c>
      <c r="Z96" s="45">
        <v>89186</v>
      </c>
      <c r="AA96" s="45">
        <v>598607</v>
      </c>
      <c r="AB96" s="43">
        <v>37921</v>
      </c>
      <c r="AC96" s="43">
        <v>38072</v>
      </c>
      <c r="AD96" s="44">
        <v>3.9819625009889E-3</v>
      </c>
      <c r="AE96" s="44">
        <v>0.365412744252335</v>
      </c>
      <c r="AF96" s="44">
        <v>7.5920993644682397E-2</v>
      </c>
      <c r="AG96" s="44">
        <v>6.5399119221539501E-2</v>
      </c>
      <c r="AH96" s="44">
        <v>2.6133277076026501E-2</v>
      </c>
      <c r="AI96" s="46">
        <v>0.24068458110281901</v>
      </c>
      <c r="AJ96" s="42">
        <v>51225</v>
      </c>
      <c r="AK96" s="43">
        <v>21845</v>
      </c>
      <c r="AL96" s="43">
        <v>14272</v>
      </c>
      <c r="AM96" s="43">
        <v>5501</v>
      </c>
      <c r="AN96" s="44">
        <v>0.42645192776964402</v>
      </c>
      <c r="AO96" s="44">
        <v>0.27861395802830702</v>
      </c>
      <c r="AP96" s="44">
        <v>0.10738897022938</v>
      </c>
      <c r="AQ96" s="44">
        <v>0.14783796974133701</v>
      </c>
      <c r="AR96" s="44">
        <v>0.171224987798926</v>
      </c>
      <c r="AS96" s="44">
        <v>5.4953635919960997E-2</v>
      </c>
      <c r="AT96" s="44">
        <v>5.2435334309419199E-2</v>
      </c>
      <c r="AU96" s="45">
        <v>63776</v>
      </c>
      <c r="AV96" s="45">
        <v>87401</v>
      </c>
      <c r="AW96" s="45">
        <v>603134</v>
      </c>
      <c r="AX96" s="43">
        <v>122236</v>
      </c>
      <c r="AY96" s="43">
        <v>123320</v>
      </c>
      <c r="AZ96" s="44">
        <v>8.8680912333518793E-3</v>
      </c>
      <c r="BA96" s="44">
        <v>0.33954137775989801</v>
      </c>
      <c r="BB96" s="44">
        <v>7.4069832128014698E-2</v>
      </c>
      <c r="BC96" s="44">
        <v>5.2259563467390899E-2</v>
      </c>
      <c r="BD96" s="44">
        <v>2.5982525606204399E-2</v>
      </c>
      <c r="BE96" s="46">
        <v>0.24239176674629401</v>
      </c>
      <c r="BF96" s="70">
        <v>75249</v>
      </c>
      <c r="BG96" s="71">
        <v>33613</v>
      </c>
      <c r="BH96" s="71">
        <v>22456</v>
      </c>
      <c r="BI96" s="71">
        <v>9113</v>
      </c>
      <c r="BJ96" s="72">
        <v>0.44669032146606602</v>
      </c>
      <c r="BK96" s="72">
        <v>0.29842257039960701</v>
      </c>
      <c r="BL96" s="72">
        <v>0.12110459939667</v>
      </c>
      <c r="BM96" s="72">
        <v>0.14826775106645901</v>
      </c>
      <c r="BN96" s="72">
        <v>0.177317971002937</v>
      </c>
      <c r="BO96" s="72">
        <v>6.3389546704939598E-2</v>
      </c>
      <c r="BP96" s="72">
        <v>5.77150526917301E-2</v>
      </c>
      <c r="BQ96" s="73">
        <v>66459</v>
      </c>
      <c r="BR96" s="73">
        <v>90785</v>
      </c>
      <c r="BS96" s="73">
        <v>685177</v>
      </c>
      <c r="BT96" s="71">
        <v>181010</v>
      </c>
      <c r="BU96" s="71">
        <v>183178</v>
      </c>
      <c r="BV96" s="72">
        <v>1.19772388265842E-2</v>
      </c>
      <c r="BW96" s="72">
        <v>0.35243069377876102</v>
      </c>
      <c r="BX96" s="72">
        <v>6.6918954753881002E-2</v>
      </c>
      <c r="BY96" s="72">
        <v>4.7676923926854901E-2</v>
      </c>
      <c r="BZ96" s="72">
        <v>2.2584387602894902E-2</v>
      </c>
      <c r="CA96" s="74">
        <v>0.25133418043201999</v>
      </c>
      <c r="CB96" s="98">
        <v>14000000</v>
      </c>
      <c r="CC96" s="83" t="s">
        <v>598</v>
      </c>
      <c r="CD96" s="83" t="s">
        <v>598</v>
      </c>
      <c r="CE96" s="83" t="s">
        <v>598</v>
      </c>
      <c r="CF96" s="83" t="s">
        <v>598</v>
      </c>
      <c r="CG96" s="99">
        <v>0.31</v>
      </c>
      <c r="CH96" s="99">
        <v>0.43</v>
      </c>
      <c r="CI96" s="90" t="str">
        <f t="shared" si="17"/>
        <v/>
      </c>
      <c r="CK96" s="98">
        <v>14000000</v>
      </c>
      <c r="CL96" s="83" t="s">
        <v>598</v>
      </c>
      <c r="CM96" s="83" t="s">
        <v>598</v>
      </c>
      <c r="CN96" s="83" t="s">
        <v>598</v>
      </c>
      <c r="CO96" s="83" t="s">
        <v>598</v>
      </c>
      <c r="CP96" s="99">
        <v>0.31</v>
      </c>
      <c r="CQ96" s="99">
        <v>0.43</v>
      </c>
      <c r="CR96" s="90" t="str">
        <f t="shared" si="16"/>
        <v/>
      </c>
    </row>
    <row r="97" spans="1:97" ht="37.5" thickTop="1" thickBot="1" x14ac:dyDescent="0.3">
      <c r="A97" s="3" t="s">
        <v>307</v>
      </c>
      <c r="B97" s="3">
        <v>2103</v>
      </c>
      <c r="C97" s="3" t="s">
        <v>259</v>
      </c>
      <c r="D97" s="16">
        <v>43405</v>
      </c>
      <c r="E97" s="16" t="s">
        <v>574</v>
      </c>
      <c r="F97" s="16" t="s">
        <v>509</v>
      </c>
      <c r="G97" s="17">
        <v>16981</v>
      </c>
      <c r="H97" s="17">
        <v>20259</v>
      </c>
      <c r="I97" s="17" t="s">
        <v>584</v>
      </c>
      <c r="J97" s="18"/>
      <c r="K97" s="18" t="s">
        <v>598</v>
      </c>
      <c r="L97" s="18"/>
      <c r="M97" s="18" t="s">
        <v>598</v>
      </c>
      <c r="N97" s="10">
        <v>40269</v>
      </c>
      <c r="O97" s="11">
        <v>19730</v>
      </c>
      <c r="P97" s="11">
        <v>14114</v>
      </c>
      <c r="Q97" s="11">
        <v>7051</v>
      </c>
      <c r="R97" s="12">
        <v>0.48995505227346098</v>
      </c>
      <c r="S97" s="12">
        <v>0.35049293501204398</v>
      </c>
      <c r="T97" s="12">
        <v>0.175097469517495</v>
      </c>
      <c r="U97" s="12">
        <v>0.139462117261417</v>
      </c>
      <c r="V97" s="12">
        <v>0.17539546549454901</v>
      </c>
      <c r="W97" s="12">
        <v>7.6783630087660495E-2</v>
      </c>
      <c r="X97" s="12">
        <v>9.8313839429834404E-2</v>
      </c>
      <c r="Y97" s="13">
        <v>73154</v>
      </c>
      <c r="Z97" s="13">
        <v>102421</v>
      </c>
      <c r="AA97" s="13">
        <v>1165831</v>
      </c>
      <c r="AB97" s="11">
        <v>87612</v>
      </c>
      <c r="AC97" s="11">
        <v>89182</v>
      </c>
      <c r="AD97" s="12">
        <v>1.7919919645710599E-2</v>
      </c>
      <c r="AE97" s="12">
        <v>0.56848479231351501</v>
      </c>
      <c r="AF97" s="12">
        <v>6.4340501301191594E-2</v>
      </c>
      <c r="AG97" s="12">
        <v>4.7721773273067598E-2</v>
      </c>
      <c r="AH97" s="12">
        <v>8.7316805916997697E-2</v>
      </c>
      <c r="AI97" s="14">
        <v>0.242067296717345</v>
      </c>
      <c r="AJ97" s="4">
        <v>99731</v>
      </c>
      <c r="AK97" s="5">
        <v>47587</v>
      </c>
      <c r="AL97" s="5">
        <v>33642</v>
      </c>
      <c r="AM97" s="5">
        <v>16995</v>
      </c>
      <c r="AN97" s="6">
        <v>0.47715354303075302</v>
      </c>
      <c r="AO97" s="6">
        <v>0.33732741073487699</v>
      </c>
      <c r="AP97" s="6">
        <v>0.17040839859221299</v>
      </c>
      <c r="AQ97" s="6">
        <v>0.13982613229587601</v>
      </c>
      <c r="AR97" s="6">
        <v>0.166919012142664</v>
      </c>
      <c r="AS97" s="6">
        <v>8.00152409982854E-2</v>
      </c>
      <c r="AT97" s="6">
        <v>9.03931575939277E-2</v>
      </c>
      <c r="AU97" s="7">
        <v>70948</v>
      </c>
      <c r="AV97" s="7">
        <v>99816</v>
      </c>
      <c r="AW97" s="7">
        <v>1144827</v>
      </c>
      <c r="AX97" s="5">
        <v>221683</v>
      </c>
      <c r="AY97" s="5">
        <v>225793</v>
      </c>
      <c r="AZ97" s="6">
        <v>1.8539987279132801E-2</v>
      </c>
      <c r="BA97" s="6">
        <v>0.53672074103116996</v>
      </c>
      <c r="BB97" s="6">
        <v>6.2891606483131302E-2</v>
      </c>
      <c r="BC97" s="6">
        <v>4.2380335885025003E-2</v>
      </c>
      <c r="BD97" s="6">
        <v>0.11706806566132701</v>
      </c>
      <c r="BE97" s="8">
        <v>0.25937036218383902</v>
      </c>
      <c r="BF97" s="10">
        <v>171551</v>
      </c>
      <c r="BG97" s="11">
        <v>77298</v>
      </c>
      <c r="BH97" s="11">
        <v>53230</v>
      </c>
      <c r="BI97" s="11">
        <v>25833</v>
      </c>
      <c r="BJ97" s="12">
        <v>0.45058320849193501</v>
      </c>
      <c r="BK97" s="12">
        <v>0.31028673688873898</v>
      </c>
      <c r="BL97" s="12">
        <v>0.150584957243036</v>
      </c>
      <c r="BM97" s="12">
        <v>0.140296471603197</v>
      </c>
      <c r="BN97" s="12">
        <v>0.15970177964570301</v>
      </c>
      <c r="BO97" s="12">
        <v>7.2922920880671094E-2</v>
      </c>
      <c r="BP97" s="12">
        <v>7.7662036362364503E-2</v>
      </c>
      <c r="BQ97" s="13">
        <v>66717</v>
      </c>
      <c r="BR97" s="13">
        <v>93264</v>
      </c>
      <c r="BS97" s="13">
        <v>954425</v>
      </c>
      <c r="BT97" s="11">
        <v>392693</v>
      </c>
      <c r="BU97" s="11">
        <v>403484</v>
      </c>
      <c r="BV97" s="12">
        <v>2.7479481426967101E-2</v>
      </c>
      <c r="BW97" s="12">
        <v>0.47627770718622098</v>
      </c>
      <c r="BX97" s="12">
        <v>6.3196950289411802E-2</v>
      </c>
      <c r="BY97" s="12">
        <v>4.03012022113967E-2</v>
      </c>
      <c r="BZ97" s="12">
        <v>0.15809550972388101</v>
      </c>
      <c r="CA97" s="14">
        <v>0.25589710027935297</v>
      </c>
      <c r="CB97" s="86">
        <f t="shared" ref="CB97:CB123" si="23">IF(SUM(CC97:CF97)=0,"",SUM(CC97:CF97))</f>
        <v>22490886.685191996</v>
      </c>
      <c r="CC97" s="83">
        <v>8526341.7901925296</v>
      </c>
      <c r="CD97" s="83">
        <v>10088245.4399995</v>
      </c>
      <c r="CE97" s="83">
        <v>2758133.3199999598</v>
      </c>
      <c r="CF97" s="83">
        <v>1118166.13500001</v>
      </c>
      <c r="CG97" s="90">
        <f t="shared" ref="CG97:CH123" si="24">IFERROR(CC97/$CB97,"")</f>
        <v>0.37910207407724278</v>
      </c>
      <c r="CH97" s="90">
        <f t="shared" si="24"/>
        <v>0.4485481422411684</v>
      </c>
      <c r="CI97" s="90">
        <f t="shared" si="17"/>
        <v>0.12263337406861399</v>
      </c>
      <c r="CK97" s="86">
        <f t="shared" si="15"/>
        <v>22502805</v>
      </c>
      <c r="CL97" s="83">
        <v>8351244</v>
      </c>
      <c r="CM97" s="83">
        <v>10318241</v>
      </c>
      <c r="CN97" s="83">
        <v>2713070</v>
      </c>
      <c r="CO97" s="83">
        <v>1120250</v>
      </c>
      <c r="CP97" s="90">
        <f t="shared" si="16"/>
        <v>0.37112013368999996</v>
      </c>
      <c r="CQ97" s="90">
        <f t="shared" si="16"/>
        <v>0.45853132531699936</v>
      </c>
      <c r="CR97" s="90">
        <f t="shared" si="16"/>
        <v>0.12056585834521519</v>
      </c>
    </row>
    <row r="98" spans="1:97" ht="25.5" thickTop="1" thickBot="1" x14ac:dyDescent="0.3">
      <c r="A98" s="3" t="s">
        <v>295</v>
      </c>
      <c r="B98" s="3" t="s">
        <v>611</v>
      </c>
      <c r="C98" s="3" t="s">
        <v>614</v>
      </c>
      <c r="D98" s="16" t="s">
        <v>702</v>
      </c>
      <c r="E98" s="16" t="s">
        <v>545</v>
      </c>
      <c r="F98" s="16" t="s">
        <v>617</v>
      </c>
      <c r="G98" s="17">
        <f>H98*0.8</f>
        <v>14451.2</v>
      </c>
      <c r="H98" s="17">
        <v>18064</v>
      </c>
      <c r="I98" s="17" t="s">
        <v>583</v>
      </c>
      <c r="J98" s="18"/>
      <c r="K98" s="18"/>
      <c r="L98" s="18"/>
      <c r="M98" s="18" t="s">
        <v>598</v>
      </c>
      <c r="N98" s="137">
        <v>32164</v>
      </c>
      <c r="O98" s="138">
        <v>15050</v>
      </c>
      <c r="P98" s="138">
        <v>11485</v>
      </c>
      <c r="Q98" s="138">
        <v>6685</v>
      </c>
      <c r="R98" s="135">
        <v>0.467914438502674</v>
      </c>
      <c r="S98" s="135">
        <v>0.35707623429921698</v>
      </c>
      <c r="T98" s="135">
        <v>0.207841064544211</v>
      </c>
      <c r="U98" s="135">
        <v>0.110838204203457</v>
      </c>
      <c r="V98" s="135">
        <v>0.149235169755006</v>
      </c>
      <c r="W98" s="135">
        <v>6.5290386767814901E-2</v>
      </c>
      <c r="X98" s="135">
        <v>0.14255067777639599</v>
      </c>
      <c r="Y98" s="139">
        <v>68709</v>
      </c>
      <c r="Z98" s="139">
        <v>110761</v>
      </c>
      <c r="AA98" s="139">
        <v>1459681</v>
      </c>
      <c r="AB98" s="138">
        <v>69950</v>
      </c>
      <c r="AC98" s="138">
        <v>74094</v>
      </c>
      <c r="AD98" s="135">
        <v>5.9242315939957102E-2</v>
      </c>
      <c r="AE98" s="135">
        <v>0.45100439196486403</v>
      </c>
      <c r="AF98" s="135">
        <v>0.13949964260185799</v>
      </c>
      <c r="AG98" s="135">
        <v>2.1401000714796298E-2</v>
      </c>
      <c r="AH98" s="135">
        <v>0.262001429592566</v>
      </c>
      <c r="AI98" s="136">
        <v>0.28424588992137201</v>
      </c>
      <c r="AJ98" s="141">
        <v>73889</v>
      </c>
      <c r="AK98" s="142">
        <v>33915</v>
      </c>
      <c r="AL98" s="142">
        <v>25249</v>
      </c>
      <c r="AM98" s="142">
        <v>14374</v>
      </c>
      <c r="AN98" s="143">
        <v>0.45899930977547398</v>
      </c>
      <c r="AO98" s="143">
        <v>0.34171527561612702</v>
      </c>
      <c r="AP98" s="143">
        <v>0.19453504581196099</v>
      </c>
      <c r="AQ98" s="143">
        <v>0.117284034159347</v>
      </c>
      <c r="AR98" s="143">
        <v>0.14718022980416601</v>
      </c>
      <c r="AS98" s="143">
        <v>6.6207419236963494E-2</v>
      </c>
      <c r="AT98" s="143">
        <v>0.12832762657499799</v>
      </c>
      <c r="AU98" s="144">
        <v>66678</v>
      </c>
      <c r="AV98" s="144">
        <v>105572</v>
      </c>
      <c r="AW98" s="144">
        <v>1530367</v>
      </c>
      <c r="AX98" s="142">
        <v>153695</v>
      </c>
      <c r="AY98" s="142">
        <v>161645</v>
      </c>
      <c r="AZ98" s="143">
        <v>5.1725820618757898E-2</v>
      </c>
      <c r="BA98" s="143">
        <v>0.44879144165157803</v>
      </c>
      <c r="BB98" s="143">
        <v>0.129737467061388</v>
      </c>
      <c r="BC98" s="143">
        <v>2.4177754643937701E-2</v>
      </c>
      <c r="BD98" s="143">
        <v>0.18297927713979001</v>
      </c>
      <c r="BE98" s="146">
        <v>0.28042551807150501</v>
      </c>
      <c r="BF98" s="137">
        <v>136870</v>
      </c>
      <c r="BG98" s="138">
        <v>62912</v>
      </c>
      <c r="BH98" s="138">
        <v>46875</v>
      </c>
      <c r="BI98" s="138">
        <v>27325</v>
      </c>
      <c r="BJ98" s="135">
        <v>0.459647841017023</v>
      </c>
      <c r="BK98" s="135">
        <v>0.34247826404617498</v>
      </c>
      <c r="BL98" s="135">
        <v>0.19964199605464999</v>
      </c>
      <c r="BM98" s="135">
        <v>0.117169576970848</v>
      </c>
      <c r="BN98" s="135">
        <v>0.14283626799152499</v>
      </c>
      <c r="BO98" s="135">
        <v>6.6135749251114206E-2</v>
      </c>
      <c r="BP98" s="135">
        <v>0.13350624680353601</v>
      </c>
      <c r="BQ98" s="139">
        <v>66763</v>
      </c>
      <c r="BR98" s="139">
        <v>108296</v>
      </c>
      <c r="BS98" s="139">
        <v>1679676</v>
      </c>
      <c r="BT98" s="138">
        <v>285687</v>
      </c>
      <c r="BU98" s="138">
        <v>301544</v>
      </c>
      <c r="BV98" s="135">
        <v>5.5504800708467701E-2</v>
      </c>
      <c r="BW98" s="135">
        <v>0.45282638876986098</v>
      </c>
      <c r="BX98" s="135">
        <v>0.134675361497023</v>
      </c>
      <c r="BY98" s="135">
        <v>2.26751654783032E-2</v>
      </c>
      <c r="BZ98" s="135">
        <v>0.163801643056912</v>
      </c>
      <c r="CA98" s="136">
        <v>0.26885017519173099</v>
      </c>
      <c r="CB98" s="86" t="str">
        <f t="shared" si="23"/>
        <v/>
      </c>
      <c r="CC98" s="83" t="s">
        <v>598</v>
      </c>
      <c r="CD98" s="83" t="s">
        <v>598</v>
      </c>
      <c r="CE98" s="83" t="s">
        <v>598</v>
      </c>
      <c r="CF98" s="83" t="s">
        <v>598</v>
      </c>
      <c r="CG98" s="90" t="str">
        <f t="shared" si="24"/>
        <v/>
      </c>
      <c r="CH98" s="90" t="str">
        <f t="shared" si="24"/>
        <v/>
      </c>
      <c r="CI98" s="90" t="str">
        <f t="shared" si="17"/>
        <v/>
      </c>
      <c r="CK98" s="86" t="str">
        <f t="shared" si="15"/>
        <v/>
      </c>
      <c r="CL98" s="83" t="s">
        <v>598</v>
      </c>
      <c r="CM98" s="83" t="s">
        <v>598</v>
      </c>
      <c r="CN98" s="83" t="s">
        <v>598</v>
      </c>
      <c r="CO98" s="83" t="s">
        <v>598</v>
      </c>
      <c r="CP98" s="90" t="str">
        <f t="shared" si="16"/>
        <v/>
      </c>
      <c r="CQ98" s="90" t="str">
        <f t="shared" si="16"/>
        <v/>
      </c>
      <c r="CR98" s="90" t="str">
        <f t="shared" si="16"/>
        <v/>
      </c>
    </row>
    <row r="99" spans="1:97" ht="49.5" thickTop="1" thickBot="1" x14ac:dyDescent="0.3">
      <c r="A99" s="3" t="s">
        <v>288</v>
      </c>
      <c r="B99" s="3">
        <v>217</v>
      </c>
      <c r="C99" s="3" t="s">
        <v>43</v>
      </c>
      <c r="D99" s="16">
        <v>42565</v>
      </c>
      <c r="E99" s="16" t="s">
        <v>523</v>
      </c>
      <c r="F99" s="16" t="s">
        <v>330</v>
      </c>
      <c r="G99" s="17">
        <v>12219</v>
      </c>
      <c r="H99" s="17">
        <v>15000</v>
      </c>
      <c r="I99" s="17" t="s">
        <v>584</v>
      </c>
      <c r="J99" s="18"/>
      <c r="K99" s="18" t="s">
        <v>598</v>
      </c>
      <c r="L99" s="18"/>
      <c r="M99" s="18" t="s">
        <v>519</v>
      </c>
      <c r="N99" s="10">
        <v>31176</v>
      </c>
      <c r="O99" s="11">
        <v>12381</v>
      </c>
      <c r="P99" s="11">
        <v>7595</v>
      </c>
      <c r="Q99" s="11">
        <v>2716</v>
      </c>
      <c r="R99" s="12">
        <v>0.39713240954580398</v>
      </c>
      <c r="S99" s="12">
        <v>0.24361688478316701</v>
      </c>
      <c r="T99" s="12">
        <v>8.7118296125224495E-2</v>
      </c>
      <c r="U99" s="12">
        <v>0.15351552476263799</v>
      </c>
      <c r="V99" s="12">
        <v>0.156498588657942</v>
      </c>
      <c r="W99" s="12">
        <v>4.7055427251732097E-2</v>
      </c>
      <c r="X99" s="12">
        <v>4.0062868873492398E-2</v>
      </c>
      <c r="Y99" s="13">
        <v>60505</v>
      </c>
      <c r="Z99" s="13">
        <v>76806</v>
      </c>
      <c r="AA99" s="13">
        <v>579931</v>
      </c>
      <c r="AB99" s="11">
        <v>79515</v>
      </c>
      <c r="AC99" s="11">
        <v>79556</v>
      </c>
      <c r="AD99" s="12">
        <v>5.15625982519022E-4</v>
      </c>
      <c r="AE99" s="12">
        <v>0.31442850532160999</v>
      </c>
      <c r="AF99" s="12">
        <v>0.12241715399610099</v>
      </c>
      <c r="AG99" s="12">
        <v>5.1449412060617497E-2</v>
      </c>
      <c r="AH99" s="12">
        <v>0.36082500157203001</v>
      </c>
      <c r="AI99" s="14">
        <v>0.22272527196126499</v>
      </c>
      <c r="AJ99" s="4">
        <v>58061</v>
      </c>
      <c r="AK99" s="5">
        <v>24551</v>
      </c>
      <c r="AL99" s="5">
        <v>15846</v>
      </c>
      <c r="AM99" s="5">
        <v>6587</v>
      </c>
      <c r="AN99" s="6">
        <v>0.42284838359656202</v>
      </c>
      <c r="AO99" s="6">
        <v>0.27291986014708702</v>
      </c>
      <c r="AP99" s="6">
        <v>0.113449647784227</v>
      </c>
      <c r="AQ99" s="6">
        <v>0.14992852344947599</v>
      </c>
      <c r="AR99" s="6">
        <v>0.15947021236285999</v>
      </c>
      <c r="AS99" s="6">
        <v>5.8576324899674501E-2</v>
      </c>
      <c r="AT99" s="6">
        <v>5.4873322884552503E-2</v>
      </c>
      <c r="AU99" s="7">
        <v>63063</v>
      </c>
      <c r="AV99" s="7">
        <v>82765</v>
      </c>
      <c r="AW99" s="7">
        <v>732110</v>
      </c>
      <c r="AX99" s="5">
        <v>151903</v>
      </c>
      <c r="AY99" s="5">
        <v>152480</v>
      </c>
      <c r="AZ99" s="6">
        <v>3.7984766594471499E-3</v>
      </c>
      <c r="BA99" s="6">
        <v>0.35218382186091002</v>
      </c>
      <c r="BB99" s="6">
        <v>0.11159094948750201</v>
      </c>
      <c r="BC99" s="6">
        <v>5.0486165513518498E-2</v>
      </c>
      <c r="BD99" s="6">
        <v>0.29694607743099199</v>
      </c>
      <c r="BE99" s="8">
        <v>0.22218784355806001</v>
      </c>
      <c r="BF99" s="10">
        <v>80759</v>
      </c>
      <c r="BG99" s="11">
        <v>36373</v>
      </c>
      <c r="BH99" s="11">
        <v>23928</v>
      </c>
      <c r="BI99" s="11">
        <v>10432</v>
      </c>
      <c r="BJ99" s="12">
        <v>0.450389430280216</v>
      </c>
      <c r="BK99" s="12">
        <v>0.29628895850617298</v>
      </c>
      <c r="BL99" s="12">
        <v>0.12917445733602401</v>
      </c>
      <c r="BM99" s="12">
        <v>0.15410047177404401</v>
      </c>
      <c r="BN99" s="12">
        <v>0.16711450117014801</v>
      </c>
      <c r="BO99" s="12">
        <v>6.5664507980534706E-2</v>
      </c>
      <c r="BP99" s="12">
        <v>6.35099493554898E-2</v>
      </c>
      <c r="BQ99" s="13">
        <v>66855</v>
      </c>
      <c r="BR99" s="13">
        <v>87422</v>
      </c>
      <c r="BS99" s="13">
        <v>859992</v>
      </c>
      <c r="BT99" s="11">
        <v>211976</v>
      </c>
      <c r="BU99" s="11">
        <v>213187</v>
      </c>
      <c r="BV99" s="12">
        <v>5.71291089557308E-3</v>
      </c>
      <c r="BW99" s="12">
        <v>0.368391916134096</v>
      </c>
      <c r="BX99" s="12">
        <v>0.101436011623957</v>
      </c>
      <c r="BY99" s="12">
        <v>4.8213005245876898E-2</v>
      </c>
      <c r="BZ99" s="12">
        <v>0.281715854625052</v>
      </c>
      <c r="CA99" s="14">
        <v>0.232115899913198</v>
      </c>
      <c r="CB99" s="86">
        <f t="shared" si="23"/>
        <v>10084212.896666422</v>
      </c>
      <c r="CC99" s="83">
        <v>6812048.2566664396</v>
      </c>
      <c r="CD99" s="83">
        <v>252950.18000000101</v>
      </c>
      <c r="CE99" s="83">
        <v>2431683.7399999802</v>
      </c>
      <c r="CF99" s="83">
        <v>587530.720000003</v>
      </c>
      <c r="CG99" s="90">
        <f t="shared" si="24"/>
        <v>0.67551610883962243</v>
      </c>
      <c r="CH99" s="90">
        <f t="shared" si="24"/>
        <v>2.5083780220826132E-2</v>
      </c>
      <c r="CI99" s="90">
        <f t="shared" si="17"/>
        <v>0.2411376837158834</v>
      </c>
      <c r="CK99" s="86">
        <f t="shared" si="15"/>
        <v>10065227</v>
      </c>
      <c r="CL99" s="83">
        <v>6779555</v>
      </c>
      <c r="CM99" s="83">
        <v>256237</v>
      </c>
      <c r="CN99" s="83">
        <v>2445710</v>
      </c>
      <c r="CO99" s="83">
        <v>583725</v>
      </c>
      <c r="CP99" s="90">
        <f t="shared" si="16"/>
        <v>0.67356205677229142</v>
      </c>
      <c r="CQ99" s="90">
        <f t="shared" si="16"/>
        <v>2.5457647403282609E-2</v>
      </c>
      <c r="CR99" s="90">
        <f t="shared" si="16"/>
        <v>0.2429860747303563</v>
      </c>
    </row>
    <row r="100" spans="1:97" ht="49.5" thickTop="1" thickBot="1" x14ac:dyDescent="0.3">
      <c r="A100" s="3" t="s">
        <v>295</v>
      </c>
      <c r="B100" s="3">
        <v>922</v>
      </c>
      <c r="C100" s="3" t="s">
        <v>137</v>
      </c>
      <c r="D100" s="16">
        <v>41417</v>
      </c>
      <c r="E100" s="16" t="s">
        <v>545</v>
      </c>
      <c r="F100" s="16" t="s">
        <v>413</v>
      </c>
      <c r="G100" s="17">
        <v>20047</v>
      </c>
      <c r="H100" s="17">
        <v>22784</v>
      </c>
      <c r="I100" s="17" t="s">
        <v>585</v>
      </c>
      <c r="J100" s="18"/>
      <c r="K100" s="18" t="s">
        <v>598</v>
      </c>
      <c r="L100" s="18"/>
      <c r="M100" s="18" t="s">
        <v>519</v>
      </c>
      <c r="N100" s="10">
        <v>59684</v>
      </c>
      <c r="O100" s="11">
        <v>26623</v>
      </c>
      <c r="P100" s="11">
        <v>18266</v>
      </c>
      <c r="Q100" s="11">
        <v>8240</v>
      </c>
      <c r="R100" s="12">
        <v>0.44606594732256499</v>
      </c>
      <c r="S100" s="12">
        <v>0.306045171235172</v>
      </c>
      <c r="T100" s="12">
        <v>0.13806045171235201</v>
      </c>
      <c r="U100" s="12">
        <v>0.14002077608739399</v>
      </c>
      <c r="V100" s="12">
        <v>0.16798471952281999</v>
      </c>
      <c r="W100" s="12">
        <v>6.7337980028148295E-2</v>
      </c>
      <c r="X100" s="12">
        <v>7.0722471684203495E-2</v>
      </c>
      <c r="Y100" s="13">
        <v>66164</v>
      </c>
      <c r="Z100" s="13">
        <v>88226</v>
      </c>
      <c r="AA100" s="13">
        <v>772083</v>
      </c>
      <c r="AB100" s="11">
        <v>173758</v>
      </c>
      <c r="AC100" s="11">
        <v>176395</v>
      </c>
      <c r="AD100" s="12">
        <v>1.5176279653310899E-2</v>
      </c>
      <c r="AE100" s="12">
        <v>0.349727365145867</v>
      </c>
      <c r="AF100" s="12">
        <v>0.82785828566166697</v>
      </c>
      <c r="AG100" s="12">
        <v>1.9147319835633499E-2</v>
      </c>
      <c r="AH100" s="12">
        <v>2.6945521932803099E-2</v>
      </c>
      <c r="AI100" s="14">
        <v>0.26574891515786297</v>
      </c>
      <c r="AJ100" s="4">
        <v>155715</v>
      </c>
      <c r="AK100" s="5">
        <v>70336</v>
      </c>
      <c r="AL100" s="5">
        <v>48716</v>
      </c>
      <c r="AM100" s="5">
        <v>23167</v>
      </c>
      <c r="AN100" s="6">
        <v>0.451697010564172</v>
      </c>
      <c r="AO100" s="6">
        <v>0.31285361076325302</v>
      </c>
      <c r="AP100" s="6">
        <v>0.14877821661368501</v>
      </c>
      <c r="AQ100" s="6">
        <v>0.138843399800918</v>
      </c>
      <c r="AR100" s="6">
        <v>0.16407539414956801</v>
      </c>
      <c r="AS100" s="6">
        <v>7.3396911023343905E-2</v>
      </c>
      <c r="AT100" s="6">
        <v>7.5381305590341299E-2</v>
      </c>
      <c r="AU100" s="7">
        <v>66776</v>
      </c>
      <c r="AV100" s="7">
        <v>90695</v>
      </c>
      <c r="AW100" s="7">
        <v>806438</v>
      </c>
      <c r="AX100" s="5">
        <v>476043</v>
      </c>
      <c r="AY100" s="5">
        <v>488219</v>
      </c>
      <c r="AZ100" s="6">
        <v>2.5577521358364701E-2</v>
      </c>
      <c r="BA100" s="6">
        <v>0.35434023112066598</v>
      </c>
      <c r="BB100" s="6">
        <v>0.82686437989845496</v>
      </c>
      <c r="BC100" s="6">
        <v>2.0281781267658599E-2</v>
      </c>
      <c r="BD100" s="6">
        <v>4.6094575490029301E-2</v>
      </c>
      <c r="BE100" s="8">
        <v>0.25973073860974699</v>
      </c>
      <c r="BF100" s="10">
        <v>250651</v>
      </c>
      <c r="BG100" s="11">
        <v>113798</v>
      </c>
      <c r="BH100" s="11">
        <v>79928</v>
      </c>
      <c r="BI100" s="11">
        <v>38810</v>
      </c>
      <c r="BJ100" s="12">
        <v>0.45400975858863502</v>
      </c>
      <c r="BK100" s="12">
        <v>0.31888163222967397</v>
      </c>
      <c r="BL100" s="12">
        <v>0.154836804959884</v>
      </c>
      <c r="BM100" s="12">
        <v>0.13512812635896099</v>
      </c>
      <c r="BN100" s="12">
        <v>0.164044827269789</v>
      </c>
      <c r="BO100" s="12">
        <v>7.0987149462798896E-2</v>
      </c>
      <c r="BP100" s="12">
        <v>8.3849655497085604E-2</v>
      </c>
      <c r="BQ100" s="13">
        <v>67053</v>
      </c>
      <c r="BR100" s="13">
        <v>93767</v>
      </c>
      <c r="BS100" s="13">
        <v>860471</v>
      </c>
      <c r="BT100" s="11">
        <v>777499</v>
      </c>
      <c r="BU100" s="11">
        <v>802657</v>
      </c>
      <c r="BV100" s="12">
        <v>3.2357597887585701E-2</v>
      </c>
      <c r="BW100" s="12">
        <v>0.357237708758808</v>
      </c>
      <c r="BX100" s="12">
        <v>0.80962547861797896</v>
      </c>
      <c r="BY100" s="12">
        <v>2.0331858947728501E-2</v>
      </c>
      <c r="BZ100" s="12">
        <v>5.55589139021401E-2</v>
      </c>
      <c r="CA100" s="14">
        <v>0.258808049913891</v>
      </c>
      <c r="CB100" s="86">
        <f t="shared" si="23"/>
        <v>20940052.5788881</v>
      </c>
      <c r="CC100" s="83">
        <v>7326022.2788885897</v>
      </c>
      <c r="CD100" s="83">
        <v>10515930.059999499</v>
      </c>
      <c r="CE100" s="83">
        <v>1793970.62</v>
      </c>
      <c r="CF100" s="83">
        <v>1304129.6200000099</v>
      </c>
      <c r="CG100" s="90">
        <f t="shared" si="24"/>
        <v>0.34985691899717264</v>
      </c>
      <c r="CH100" s="90">
        <f t="shared" si="24"/>
        <v>0.50219215163775333</v>
      </c>
      <c r="CI100" s="90">
        <f t="shared" si="17"/>
        <v>8.5671734263394028E-2</v>
      </c>
      <c r="CK100" s="86">
        <f t="shared" si="15"/>
        <v>20912751</v>
      </c>
      <c r="CL100" s="83">
        <v>7159339</v>
      </c>
      <c r="CM100" s="83">
        <v>10654935</v>
      </c>
      <c r="CN100" s="83">
        <v>1828243</v>
      </c>
      <c r="CO100" s="83">
        <v>1270234</v>
      </c>
      <c r="CP100" s="90">
        <f t="shared" si="16"/>
        <v>0.34234324312473285</v>
      </c>
      <c r="CQ100" s="90">
        <f t="shared" si="16"/>
        <v>0.50949466189311965</v>
      </c>
      <c r="CR100" s="90">
        <f t="shared" si="16"/>
        <v>8.7422405593601718E-2</v>
      </c>
    </row>
    <row r="101" spans="1:97" ht="37.5" thickTop="1" thickBot="1" x14ac:dyDescent="0.3">
      <c r="A101" s="3" t="s">
        <v>292</v>
      </c>
      <c r="B101" s="3">
        <v>615</v>
      </c>
      <c r="C101" s="3" t="s">
        <v>106</v>
      </c>
      <c r="D101" s="16">
        <v>44742</v>
      </c>
      <c r="E101" s="16" t="s">
        <v>593</v>
      </c>
      <c r="F101" s="16" t="s">
        <v>637</v>
      </c>
      <c r="G101" s="17">
        <v>19246</v>
      </c>
      <c r="H101" s="17">
        <v>23076</v>
      </c>
      <c r="I101" s="17" t="s">
        <v>585</v>
      </c>
      <c r="J101" s="18"/>
      <c r="K101" s="18" t="s">
        <v>598</v>
      </c>
      <c r="L101" s="18"/>
      <c r="M101" s="18" t="s">
        <v>598</v>
      </c>
      <c r="N101" s="10">
        <v>20820</v>
      </c>
      <c r="O101" s="11">
        <v>9260</v>
      </c>
      <c r="P101" s="11">
        <v>7155</v>
      </c>
      <c r="Q101" s="11">
        <v>3756</v>
      </c>
      <c r="R101" s="12">
        <v>0.44476464937560001</v>
      </c>
      <c r="S101" s="12">
        <v>0.34365994236311198</v>
      </c>
      <c r="T101" s="12">
        <v>0.18040345821325601</v>
      </c>
      <c r="U101" s="12">
        <v>0.101104707012488</v>
      </c>
      <c r="V101" s="12">
        <v>0.163256484149856</v>
      </c>
      <c r="W101" s="12">
        <v>8.3573487031700297E-2</v>
      </c>
      <c r="X101" s="12">
        <v>9.6829971181556201E-2</v>
      </c>
      <c r="Y101" s="13">
        <v>64631</v>
      </c>
      <c r="Z101" s="13">
        <v>97267</v>
      </c>
      <c r="AA101" s="13">
        <v>1139793</v>
      </c>
      <c r="AB101" s="11">
        <v>51676</v>
      </c>
      <c r="AC101" s="11">
        <v>56552</v>
      </c>
      <c r="AD101" s="12">
        <v>9.4357148386098003E-2</v>
      </c>
      <c r="AE101" s="12">
        <v>0.45866941418898999</v>
      </c>
      <c r="AF101" s="12">
        <v>6.0859973682173503E-2</v>
      </c>
      <c r="AG101" s="12">
        <v>1.6816317052403398E-2</v>
      </c>
      <c r="AH101" s="12">
        <v>5.0990788760740001E-2</v>
      </c>
      <c r="AI101" s="14">
        <v>0.22225017416208701</v>
      </c>
      <c r="AJ101" s="4">
        <v>46760</v>
      </c>
      <c r="AK101" s="5">
        <v>18349</v>
      </c>
      <c r="AL101" s="5">
        <v>13779</v>
      </c>
      <c r="AM101" s="5">
        <v>6843</v>
      </c>
      <c r="AN101" s="6">
        <v>0.39240804106073601</v>
      </c>
      <c r="AO101" s="6">
        <v>0.29467493584260102</v>
      </c>
      <c r="AP101" s="6">
        <v>0.14634302822925599</v>
      </c>
      <c r="AQ101" s="6">
        <v>9.7733105218135205E-2</v>
      </c>
      <c r="AR101" s="6">
        <v>0.148331907613345</v>
      </c>
      <c r="AS101" s="6">
        <v>6.3451668092386698E-2</v>
      </c>
      <c r="AT101" s="6">
        <v>8.2891360136869097E-2</v>
      </c>
      <c r="AU101" s="7">
        <v>57047</v>
      </c>
      <c r="AV101" s="7">
        <v>87978</v>
      </c>
      <c r="AW101" s="7">
        <v>975895</v>
      </c>
      <c r="AX101" s="5">
        <v>112442</v>
      </c>
      <c r="AY101" s="5">
        <v>121727</v>
      </c>
      <c r="AZ101" s="6">
        <v>8.2575905800323701E-2</v>
      </c>
      <c r="BA101" s="6">
        <v>0.44513341600992101</v>
      </c>
      <c r="BB101" s="6">
        <v>6.8292986606428199E-2</v>
      </c>
      <c r="BC101" s="6">
        <v>1.84895323811387E-2</v>
      </c>
      <c r="BD101" s="6">
        <v>0.10231941801106301</v>
      </c>
      <c r="BE101" s="8">
        <v>0.216066950072037</v>
      </c>
      <c r="BF101" s="10">
        <v>75022</v>
      </c>
      <c r="BG101" s="11">
        <v>28851</v>
      </c>
      <c r="BH101" s="11">
        <v>21520</v>
      </c>
      <c r="BI101" s="11">
        <v>10486</v>
      </c>
      <c r="BJ101" s="12">
        <v>0.38456719362320402</v>
      </c>
      <c r="BK101" s="12">
        <v>0.28684919090400202</v>
      </c>
      <c r="BL101" s="12">
        <v>0.13977233344885501</v>
      </c>
      <c r="BM101" s="12">
        <v>9.7718002719202404E-2</v>
      </c>
      <c r="BN101" s="12">
        <v>0.14707685745514601</v>
      </c>
      <c r="BO101" s="12">
        <v>6.0848817680147202E-2</v>
      </c>
      <c r="BP101" s="12">
        <v>7.8923515768707805E-2</v>
      </c>
      <c r="BQ101" s="13">
        <v>55584</v>
      </c>
      <c r="BR101" s="13">
        <v>85685</v>
      </c>
      <c r="BS101" s="13">
        <v>925422</v>
      </c>
      <c r="BT101" s="11">
        <v>176930</v>
      </c>
      <c r="BU101" s="11">
        <v>190230</v>
      </c>
      <c r="BV101" s="12">
        <v>7.5170971570677703E-2</v>
      </c>
      <c r="BW101" s="12">
        <v>0.43355961905385798</v>
      </c>
      <c r="BX101" s="12">
        <v>5.7994687164415297E-2</v>
      </c>
      <c r="BY101" s="12">
        <v>1.7357146894251999E-2</v>
      </c>
      <c r="BZ101" s="12">
        <v>0.14521562199740001</v>
      </c>
      <c r="CA101" s="14">
        <v>0.23387780478155201</v>
      </c>
      <c r="CB101" s="86">
        <f t="shared" si="23"/>
        <v>13741987.059999587</v>
      </c>
      <c r="CC101" s="83">
        <v>10353753.1499996</v>
      </c>
      <c r="CD101" s="83">
        <v>105747.6</v>
      </c>
      <c r="CE101" s="83">
        <v>2402749.6299999799</v>
      </c>
      <c r="CF101" s="83">
        <v>879736.68000000797</v>
      </c>
      <c r="CG101" s="90">
        <f t="shared" si="24"/>
        <v>0.75343930283106464</v>
      </c>
      <c r="CH101" s="90">
        <f t="shared" si="24"/>
        <v>7.6952190056860078E-3</v>
      </c>
      <c r="CI101" s="90">
        <f t="shared" si="17"/>
        <v>0.17484732153430307</v>
      </c>
      <c r="CK101" s="86">
        <f t="shared" si="15"/>
        <v>14072362</v>
      </c>
      <c r="CL101" s="83">
        <v>10610891</v>
      </c>
      <c r="CM101" s="83">
        <v>129921</v>
      </c>
      <c r="CN101" s="83">
        <v>2453485</v>
      </c>
      <c r="CO101" s="83">
        <v>878065</v>
      </c>
      <c r="CP101" s="90">
        <f t="shared" si="16"/>
        <v>0.75402345391626513</v>
      </c>
      <c r="CQ101" s="90">
        <f t="shared" si="16"/>
        <v>9.232352038698266E-3</v>
      </c>
      <c r="CR101" s="90">
        <f t="shared" si="16"/>
        <v>0.17434777473746058</v>
      </c>
      <c r="CS101" s="153">
        <f>CK101/CB101-1</f>
        <v>2.4041278641723896E-2</v>
      </c>
    </row>
    <row r="102" spans="1:97" ht="37.5" thickTop="1" thickBot="1" x14ac:dyDescent="0.3">
      <c r="A102" s="3" t="s">
        <v>299</v>
      </c>
      <c r="B102" s="3">
        <v>1301</v>
      </c>
      <c r="C102" s="3" t="s">
        <v>210</v>
      </c>
      <c r="D102" s="16">
        <v>41325</v>
      </c>
      <c r="E102" s="16" t="s">
        <v>560</v>
      </c>
      <c r="F102" s="16" t="s">
        <v>468</v>
      </c>
      <c r="G102" s="17">
        <v>18626</v>
      </c>
      <c r="H102" s="17">
        <v>21384</v>
      </c>
      <c r="I102" s="17" t="s">
        <v>584</v>
      </c>
      <c r="J102" s="18"/>
      <c r="K102" s="18" t="s">
        <v>598</v>
      </c>
      <c r="L102" s="18"/>
      <c r="M102" s="18" t="s">
        <v>598</v>
      </c>
      <c r="N102" s="10">
        <v>29508</v>
      </c>
      <c r="O102" s="11">
        <v>14484</v>
      </c>
      <c r="P102" s="11">
        <v>9930</v>
      </c>
      <c r="Q102" s="11">
        <v>4483</v>
      </c>
      <c r="R102" s="12">
        <v>0.49084993899959301</v>
      </c>
      <c r="S102" s="12">
        <v>0.33651891012606699</v>
      </c>
      <c r="T102" s="12">
        <v>0.151924901721567</v>
      </c>
      <c r="U102" s="12">
        <v>0.15433102887352601</v>
      </c>
      <c r="V102" s="12">
        <v>0.18459400840449999</v>
      </c>
      <c r="W102" s="12">
        <v>6.4795987528805707E-2</v>
      </c>
      <c r="X102" s="12">
        <v>8.7128914192761295E-2</v>
      </c>
      <c r="Y102" s="13">
        <v>73265</v>
      </c>
      <c r="Z102" s="13">
        <v>96065</v>
      </c>
      <c r="AA102" s="13">
        <v>1026548</v>
      </c>
      <c r="AB102" s="11">
        <v>73770</v>
      </c>
      <c r="AC102" s="11">
        <v>75452</v>
      </c>
      <c r="AD102" s="12">
        <v>2.28005964484208E-2</v>
      </c>
      <c r="AE102" s="12">
        <v>0.38377995514106999</v>
      </c>
      <c r="AF102" s="12">
        <v>0.44150738782702997</v>
      </c>
      <c r="AG102" s="12">
        <v>2.6270841805612E-2</v>
      </c>
      <c r="AH102" s="12">
        <v>3.1706655822149897E-2</v>
      </c>
      <c r="AI102" s="14">
        <v>0.24913921648366499</v>
      </c>
      <c r="AJ102" s="4">
        <v>67574</v>
      </c>
      <c r="AK102" s="5">
        <v>32882</v>
      </c>
      <c r="AL102" s="5">
        <v>22276</v>
      </c>
      <c r="AM102" s="5">
        <v>9812</v>
      </c>
      <c r="AN102" s="6">
        <v>0.48660727498742101</v>
      </c>
      <c r="AO102" s="6">
        <v>0.32965341699470202</v>
      </c>
      <c r="AP102" s="6">
        <v>0.14520377660046799</v>
      </c>
      <c r="AQ102" s="6">
        <v>0.15695385799271899</v>
      </c>
      <c r="AR102" s="6">
        <v>0.184449640394234</v>
      </c>
      <c r="AS102" s="6">
        <v>6.8650664456743699E-2</v>
      </c>
      <c r="AT102" s="6">
        <v>7.65531121437239E-2</v>
      </c>
      <c r="AU102" s="7">
        <v>72561</v>
      </c>
      <c r="AV102" s="7">
        <v>93913</v>
      </c>
      <c r="AW102" s="7">
        <v>981204</v>
      </c>
      <c r="AX102" s="5">
        <v>173552</v>
      </c>
      <c r="AY102" s="5">
        <v>184647</v>
      </c>
      <c r="AZ102" s="6">
        <v>6.3928966534525705E-2</v>
      </c>
      <c r="BA102" s="6">
        <v>0.37285052772099597</v>
      </c>
      <c r="BB102" s="6">
        <v>0.45842168341476902</v>
      </c>
      <c r="BC102" s="6">
        <v>2.3456946621185599E-2</v>
      </c>
      <c r="BD102" s="6">
        <v>2.9328385728772902E-2</v>
      </c>
      <c r="BE102" s="8">
        <v>0.25093919977874102</v>
      </c>
      <c r="BF102" s="10">
        <v>116596</v>
      </c>
      <c r="BG102" s="11">
        <v>53328</v>
      </c>
      <c r="BH102" s="11">
        <v>36003</v>
      </c>
      <c r="BI102" s="11">
        <v>16118</v>
      </c>
      <c r="BJ102" s="12">
        <v>0.45737418093245102</v>
      </c>
      <c r="BK102" s="12">
        <v>0.308784177844866</v>
      </c>
      <c r="BL102" s="12">
        <v>0.13823801845689401</v>
      </c>
      <c r="BM102" s="12">
        <v>0.14859000308758399</v>
      </c>
      <c r="BN102" s="12">
        <v>0.17054615938797199</v>
      </c>
      <c r="BO102" s="12">
        <v>6.5465367594085597E-2</v>
      </c>
      <c r="BP102" s="12">
        <v>7.2772650862808305E-2</v>
      </c>
      <c r="BQ102" s="13">
        <v>67619</v>
      </c>
      <c r="BR102" s="13">
        <v>89927</v>
      </c>
      <c r="BS102" s="13">
        <v>927258</v>
      </c>
      <c r="BT102" s="11">
        <v>293372</v>
      </c>
      <c r="BU102" s="11">
        <v>315935</v>
      </c>
      <c r="BV102" s="12">
        <v>7.69091801535252E-2</v>
      </c>
      <c r="BW102" s="12">
        <v>0.37074712869729398</v>
      </c>
      <c r="BX102" s="12">
        <v>0.46658508651132402</v>
      </c>
      <c r="BY102" s="12">
        <v>2.5898858786796299E-2</v>
      </c>
      <c r="BZ102" s="12">
        <v>2.85098782433225E-2</v>
      </c>
      <c r="CA102" s="14">
        <v>0.24732421635329899</v>
      </c>
      <c r="CB102" s="86">
        <f t="shared" si="23"/>
        <v>20011851.539999429</v>
      </c>
      <c r="CC102" s="83">
        <v>5506787.3799998499</v>
      </c>
      <c r="CD102" s="83">
        <v>9228406.1699996199</v>
      </c>
      <c r="CE102" s="83">
        <v>3690203.7699999502</v>
      </c>
      <c r="CF102" s="83">
        <v>1586454.22000001</v>
      </c>
      <c r="CG102" s="90">
        <f t="shared" si="24"/>
        <v>0.27517630585020858</v>
      </c>
      <c r="CH102" s="90">
        <f t="shared" si="24"/>
        <v>0.46114704336847601</v>
      </c>
      <c r="CI102" s="90">
        <f t="shared" si="17"/>
        <v>0.18440091675795309</v>
      </c>
      <c r="CK102" s="86">
        <f t="shared" si="15"/>
        <v>19860564</v>
      </c>
      <c r="CL102" s="83">
        <v>5377990</v>
      </c>
      <c r="CM102" s="83">
        <v>9366778</v>
      </c>
      <c r="CN102" s="83">
        <v>3548198</v>
      </c>
      <c r="CO102" s="83">
        <v>1567598</v>
      </c>
      <c r="CP102" s="90">
        <f t="shared" si="16"/>
        <v>0.2707873754239809</v>
      </c>
      <c r="CQ102" s="90">
        <f t="shared" si="16"/>
        <v>0.47162698904220446</v>
      </c>
      <c r="CR102" s="90">
        <f t="shared" si="16"/>
        <v>0.17865545006677555</v>
      </c>
    </row>
    <row r="103" spans="1:97" ht="49.5" thickTop="1" thickBot="1" x14ac:dyDescent="0.3">
      <c r="A103" s="3" t="s">
        <v>292</v>
      </c>
      <c r="B103" s="3">
        <v>611</v>
      </c>
      <c r="C103" s="3" t="s">
        <v>103</v>
      </c>
      <c r="D103" s="16">
        <v>38288</v>
      </c>
      <c r="E103" s="16" t="s">
        <v>537</v>
      </c>
      <c r="F103" s="16" t="s">
        <v>382</v>
      </c>
      <c r="G103" s="17">
        <v>10958</v>
      </c>
      <c r="H103" s="17">
        <v>13420</v>
      </c>
      <c r="I103" s="17" t="s">
        <v>584</v>
      </c>
      <c r="J103" s="18"/>
      <c r="K103" s="18" t="s">
        <v>598</v>
      </c>
      <c r="L103" s="18"/>
      <c r="M103" s="18" t="s">
        <v>519</v>
      </c>
      <c r="N103" s="10">
        <v>41177</v>
      </c>
      <c r="O103" s="11">
        <v>21212</v>
      </c>
      <c r="P103" s="11">
        <v>16223</v>
      </c>
      <c r="Q103" s="11">
        <v>9974</v>
      </c>
      <c r="R103" s="12">
        <v>0.51514194817495196</v>
      </c>
      <c r="S103" s="12">
        <v>0.393982077373291</v>
      </c>
      <c r="T103" s="12">
        <v>0.24222259999514301</v>
      </c>
      <c r="U103" s="12">
        <v>0.121159870801661</v>
      </c>
      <c r="V103" s="12">
        <v>0.15175947737814799</v>
      </c>
      <c r="W103" s="12">
        <v>0.103892949947786</v>
      </c>
      <c r="X103" s="12">
        <v>0.13832965004735701</v>
      </c>
      <c r="Y103" s="13">
        <v>77442</v>
      </c>
      <c r="Z103" s="13">
        <v>117114</v>
      </c>
      <c r="AA103" s="13">
        <v>1209044</v>
      </c>
      <c r="AB103" s="11">
        <v>92453</v>
      </c>
      <c r="AC103" s="11">
        <v>101247</v>
      </c>
      <c r="AD103" s="12">
        <v>9.5118600802569994E-2</v>
      </c>
      <c r="AE103" s="12">
        <v>0.61081573750569695</v>
      </c>
      <c r="AF103" s="12">
        <v>0.129687516900479</v>
      </c>
      <c r="AG103" s="12">
        <v>3.6364423004121002E-2</v>
      </c>
      <c r="AH103" s="12">
        <v>0.15916195255967899</v>
      </c>
      <c r="AI103" s="14">
        <v>0.23747201280650701</v>
      </c>
      <c r="AJ103" s="4">
        <v>109956</v>
      </c>
      <c r="AK103" s="5">
        <v>51470</v>
      </c>
      <c r="AL103" s="5">
        <v>37920</v>
      </c>
      <c r="AM103" s="5">
        <v>21143</v>
      </c>
      <c r="AN103" s="6">
        <v>0.46809632944086699</v>
      </c>
      <c r="AO103" s="6">
        <v>0.34486521881479898</v>
      </c>
      <c r="AP103" s="6">
        <v>0.19228600531121501</v>
      </c>
      <c r="AQ103" s="6">
        <v>0.12323111062606899</v>
      </c>
      <c r="AR103" s="6">
        <v>0.152579213503583</v>
      </c>
      <c r="AS103" s="6">
        <v>8.5097675433809902E-2</v>
      </c>
      <c r="AT103" s="6">
        <v>0.10718832987740599</v>
      </c>
      <c r="AU103" s="7">
        <v>68575</v>
      </c>
      <c r="AV103" s="7">
        <v>101977</v>
      </c>
      <c r="AW103" s="7">
        <v>848519</v>
      </c>
      <c r="AX103" s="5">
        <v>258848</v>
      </c>
      <c r="AY103" s="5">
        <v>281231</v>
      </c>
      <c r="AZ103" s="6">
        <v>8.6471597230807301E-2</v>
      </c>
      <c r="BA103" s="6">
        <v>0.56997409969023505</v>
      </c>
      <c r="BB103" s="6">
        <v>0.119038972678947</v>
      </c>
      <c r="BC103" s="6">
        <v>5.17678328594387E-2</v>
      </c>
      <c r="BD103" s="6">
        <v>0.24117628878724201</v>
      </c>
      <c r="BE103" s="8">
        <v>0.21535804796637401</v>
      </c>
      <c r="BF103" s="10">
        <v>168798</v>
      </c>
      <c r="BG103" s="11">
        <v>78254</v>
      </c>
      <c r="BH103" s="11">
        <v>57249</v>
      </c>
      <c r="BI103" s="11">
        <v>30667</v>
      </c>
      <c r="BJ103" s="12">
        <v>0.463595540231519</v>
      </c>
      <c r="BK103" s="12">
        <v>0.339156862048129</v>
      </c>
      <c r="BL103" s="12">
        <v>0.181678692875508</v>
      </c>
      <c r="BM103" s="12">
        <v>0.12443867818339099</v>
      </c>
      <c r="BN103" s="12">
        <v>0.157478169172621</v>
      </c>
      <c r="BO103" s="12">
        <v>8.4272325501487E-2</v>
      </c>
      <c r="BP103" s="12">
        <v>9.7406367374021002E-2</v>
      </c>
      <c r="BQ103" s="13">
        <v>67800</v>
      </c>
      <c r="BR103" s="13">
        <v>98355</v>
      </c>
      <c r="BS103" s="13">
        <v>821654</v>
      </c>
      <c r="BT103" s="11">
        <v>413534</v>
      </c>
      <c r="BU103" s="11">
        <v>449135</v>
      </c>
      <c r="BV103" s="12">
        <v>8.6089656473228304E-2</v>
      </c>
      <c r="BW103" s="12">
        <v>0.54014495969233001</v>
      </c>
      <c r="BX103" s="12">
        <v>0.123723805055933</v>
      </c>
      <c r="BY103" s="12">
        <v>6.5010373995850398E-2</v>
      </c>
      <c r="BZ103" s="12">
        <v>0.26616432989790401</v>
      </c>
      <c r="CA103" s="14">
        <v>0.206227299327262</v>
      </c>
      <c r="CB103" s="86">
        <f t="shared" si="23"/>
        <v>10455421.559999753</v>
      </c>
      <c r="CC103" s="83">
        <v>7916426.2399997497</v>
      </c>
      <c r="CD103" s="83">
        <v>94684.039999999804</v>
      </c>
      <c r="CE103" s="83">
        <v>1806074.52</v>
      </c>
      <c r="CF103" s="83">
        <v>638236.76000000304</v>
      </c>
      <c r="CG103" s="90">
        <f t="shared" si="24"/>
        <v>0.7571599284228131</v>
      </c>
      <c r="CH103" s="90">
        <f t="shared" si="24"/>
        <v>9.0559753575351811E-3</v>
      </c>
      <c r="CI103" s="90">
        <f t="shared" si="17"/>
        <v>0.17274047819455332</v>
      </c>
      <c r="CK103" s="86">
        <f t="shared" si="15"/>
        <v>10526288</v>
      </c>
      <c r="CL103" s="83">
        <v>7956943</v>
      </c>
      <c r="CM103" s="83">
        <v>123344</v>
      </c>
      <c r="CN103" s="83">
        <v>1803383</v>
      </c>
      <c r="CO103" s="83">
        <v>642618</v>
      </c>
      <c r="CP103" s="90">
        <f t="shared" si="16"/>
        <v>0.75591158060657282</v>
      </c>
      <c r="CQ103" s="90">
        <f t="shared" si="16"/>
        <v>1.1717710934756868E-2</v>
      </c>
      <c r="CR103" s="90">
        <f t="shared" si="16"/>
        <v>0.17132183728965045</v>
      </c>
    </row>
    <row r="104" spans="1:97" ht="37.5" thickTop="1" thickBot="1" x14ac:dyDescent="0.3">
      <c r="A104" s="3" t="s">
        <v>288</v>
      </c>
      <c r="B104" s="3">
        <v>211</v>
      </c>
      <c r="C104" s="3" t="s">
        <v>38</v>
      </c>
      <c r="D104" s="16">
        <v>37063</v>
      </c>
      <c r="E104" s="16" t="s">
        <v>523</v>
      </c>
      <c r="F104" s="16" t="s">
        <v>658</v>
      </c>
      <c r="G104" s="17">
        <v>4916</v>
      </c>
      <c r="H104" s="17">
        <v>12000</v>
      </c>
      <c r="I104" s="17" t="s">
        <v>583</v>
      </c>
      <c r="J104" s="18"/>
      <c r="K104" s="18" t="s">
        <v>598</v>
      </c>
      <c r="L104" s="18"/>
      <c r="M104" s="18" t="s">
        <v>598</v>
      </c>
      <c r="N104" s="10">
        <v>37052</v>
      </c>
      <c r="O104" s="11">
        <v>16769</v>
      </c>
      <c r="P104" s="11">
        <v>11574</v>
      </c>
      <c r="Q104" s="11">
        <v>4283</v>
      </c>
      <c r="R104" s="12">
        <v>0.45258015761632298</v>
      </c>
      <c r="S104" s="12">
        <v>0.31237180179207602</v>
      </c>
      <c r="T104" s="12">
        <v>0.115594299902839</v>
      </c>
      <c r="U104" s="12">
        <v>0.14020835582424701</v>
      </c>
      <c r="V104" s="12">
        <v>0.19677750188923701</v>
      </c>
      <c r="W104" s="12">
        <v>7.3464320414552503E-2</v>
      </c>
      <c r="X104" s="12">
        <v>4.2129979488286701E-2</v>
      </c>
      <c r="Y104" s="13">
        <v>67061</v>
      </c>
      <c r="Z104" s="13">
        <v>82895</v>
      </c>
      <c r="AA104" s="13">
        <v>530966</v>
      </c>
      <c r="AB104" s="11">
        <v>93483</v>
      </c>
      <c r="AC104" s="11">
        <v>99318</v>
      </c>
      <c r="AD104" s="12">
        <v>6.2417765796989801E-2</v>
      </c>
      <c r="AE104" s="12">
        <v>0.34472283167375001</v>
      </c>
      <c r="AF104" s="12">
        <v>8.6539798679973898E-2</v>
      </c>
      <c r="AG104" s="12">
        <v>6.7627269129146503E-2</v>
      </c>
      <c r="AH104" s="12">
        <v>0.348180952686585</v>
      </c>
      <c r="AI104" s="14">
        <v>0.23033064835317699</v>
      </c>
      <c r="AJ104" s="4">
        <v>79271</v>
      </c>
      <c r="AK104" s="5">
        <v>37969</v>
      </c>
      <c r="AL104" s="5">
        <v>26646</v>
      </c>
      <c r="AM104" s="5">
        <v>11090</v>
      </c>
      <c r="AN104" s="6">
        <v>0.478977179548637</v>
      </c>
      <c r="AO104" s="6">
        <v>0.33613805805401697</v>
      </c>
      <c r="AP104" s="6">
        <v>0.13989983726709601</v>
      </c>
      <c r="AQ104" s="6">
        <v>0.14283912149462</v>
      </c>
      <c r="AR104" s="6">
        <v>0.19623822078692099</v>
      </c>
      <c r="AS104" s="6">
        <v>8.4570650048567605E-2</v>
      </c>
      <c r="AT104" s="6">
        <v>5.5329187218528801E-2</v>
      </c>
      <c r="AU104" s="7">
        <v>71122</v>
      </c>
      <c r="AV104" s="7">
        <v>88220</v>
      </c>
      <c r="AW104" s="7">
        <v>754023</v>
      </c>
      <c r="AX104" s="5">
        <v>211962</v>
      </c>
      <c r="AY104" s="5">
        <v>220444</v>
      </c>
      <c r="AZ104" s="6">
        <v>4.0016606750266602E-2</v>
      </c>
      <c r="BA104" s="6">
        <v>0.33527203222062901</v>
      </c>
      <c r="BB104" s="6">
        <v>8.0816372746058296E-2</v>
      </c>
      <c r="BC104" s="6">
        <v>6.9281286268293399E-2</v>
      </c>
      <c r="BD104" s="6">
        <v>0.32814372387503399</v>
      </c>
      <c r="BE104" s="8">
        <v>0.238221945443051</v>
      </c>
      <c r="BF104" s="10">
        <v>155232</v>
      </c>
      <c r="BG104" s="11">
        <v>71726</v>
      </c>
      <c r="BH104" s="11">
        <v>49648</v>
      </c>
      <c r="BI104" s="11">
        <v>20967</v>
      </c>
      <c r="BJ104" s="12">
        <v>0.46205679241393499</v>
      </c>
      <c r="BK104" s="12">
        <v>0.31983096268810601</v>
      </c>
      <c r="BL104" s="12">
        <v>0.135068800247372</v>
      </c>
      <c r="BM104" s="12">
        <v>0.14222582972583001</v>
      </c>
      <c r="BN104" s="12">
        <v>0.18476216244073401</v>
      </c>
      <c r="BO104" s="12">
        <v>7.8714440321583201E-2</v>
      </c>
      <c r="BP104" s="12">
        <v>5.6354359925788501E-2</v>
      </c>
      <c r="BQ104" s="13">
        <v>68214</v>
      </c>
      <c r="BR104" s="13">
        <v>86618</v>
      </c>
      <c r="BS104" s="13">
        <v>760968</v>
      </c>
      <c r="BT104" s="11">
        <v>424368</v>
      </c>
      <c r="BU104" s="11">
        <v>438032</v>
      </c>
      <c r="BV104" s="12">
        <v>3.2198469253101103E-2</v>
      </c>
      <c r="BW104" s="12">
        <v>0.32178783682518403</v>
      </c>
      <c r="BX104" s="12">
        <v>7.6454869358669797E-2</v>
      </c>
      <c r="BY104" s="12">
        <v>6.1036647438072598E-2</v>
      </c>
      <c r="BZ104" s="12">
        <v>0.36831005165328201</v>
      </c>
      <c r="CA104" s="14">
        <v>0.24004166195377599</v>
      </c>
      <c r="CB104" s="86">
        <f t="shared" si="23"/>
        <v>8691946.5116664823</v>
      </c>
      <c r="CC104" s="83">
        <v>5922500.2316664802</v>
      </c>
      <c r="CD104" s="83">
        <v>247967.420000001</v>
      </c>
      <c r="CE104" s="83">
        <v>2031150.13</v>
      </c>
      <c r="CF104" s="83">
        <v>490328.73000000097</v>
      </c>
      <c r="CG104" s="90">
        <f t="shared" si="24"/>
        <v>0.68137789662156767</v>
      </c>
      <c r="CH104" s="90">
        <f t="shared" si="24"/>
        <v>2.8528410715272443E-2</v>
      </c>
      <c r="CI104" s="90">
        <f t="shared" si="17"/>
        <v>0.23368184874052719</v>
      </c>
      <c r="CK104" s="86">
        <f t="shared" si="15"/>
        <v>8592256</v>
      </c>
      <c r="CL104" s="83">
        <v>5840778</v>
      </c>
      <c r="CM104" s="83">
        <v>256484</v>
      </c>
      <c r="CN104" s="83">
        <v>2014581</v>
      </c>
      <c r="CO104" s="83">
        <v>480413</v>
      </c>
      <c r="CP104" s="90">
        <f t="shared" si="16"/>
        <v>0.67977234384077945</v>
      </c>
      <c r="CQ104" s="90">
        <f t="shared" si="16"/>
        <v>2.985060035455182E-2</v>
      </c>
      <c r="CR104" s="90">
        <f t="shared" si="16"/>
        <v>0.23446473196329345</v>
      </c>
    </row>
    <row r="105" spans="1:97" ht="49.5" thickTop="1" thickBot="1" x14ac:dyDescent="0.3">
      <c r="A105" s="3" t="s">
        <v>313</v>
      </c>
      <c r="B105" s="3">
        <v>2701</v>
      </c>
      <c r="C105" s="3" t="s">
        <v>274</v>
      </c>
      <c r="D105" s="16">
        <v>44139</v>
      </c>
      <c r="E105" s="16" t="s">
        <v>580</v>
      </c>
      <c r="F105" s="16" t="s">
        <v>518</v>
      </c>
      <c r="G105" s="17">
        <v>21560</v>
      </c>
      <c r="H105" s="17">
        <v>26000</v>
      </c>
      <c r="I105" s="17" t="s">
        <v>585</v>
      </c>
      <c r="J105" s="18"/>
      <c r="K105" s="18" t="s">
        <v>598</v>
      </c>
      <c r="L105" s="18"/>
      <c r="M105" s="18" t="s">
        <v>598</v>
      </c>
      <c r="N105" s="10">
        <v>27947</v>
      </c>
      <c r="O105" s="11">
        <v>13790</v>
      </c>
      <c r="P105" s="11">
        <v>10298</v>
      </c>
      <c r="Q105" s="11">
        <v>5433</v>
      </c>
      <c r="R105" s="12">
        <v>0.49343400007156402</v>
      </c>
      <c r="S105" s="12">
        <v>0.36848320034350701</v>
      </c>
      <c r="T105" s="12">
        <v>0.194403692704047</v>
      </c>
      <c r="U105" s="12">
        <v>0.124950799728057</v>
      </c>
      <c r="V105" s="12">
        <v>0.17407950763946001</v>
      </c>
      <c r="W105" s="12">
        <v>7.7360718502880496E-2</v>
      </c>
      <c r="X105" s="12">
        <v>0.11704297420116599</v>
      </c>
      <c r="Y105" s="13">
        <v>73537</v>
      </c>
      <c r="Z105" s="13">
        <v>106156</v>
      </c>
      <c r="AA105" s="13">
        <v>1142546</v>
      </c>
      <c r="AB105" s="11">
        <v>59833</v>
      </c>
      <c r="AC105" s="11">
        <v>62631</v>
      </c>
      <c r="AD105" s="12">
        <v>4.6763491718616802E-2</v>
      </c>
      <c r="AE105" s="12">
        <v>0.59069956616052099</v>
      </c>
      <c r="AF105" s="12">
        <v>7.8067287282937506E-2</v>
      </c>
      <c r="AG105" s="12">
        <v>7.0078384837798505E-2</v>
      </c>
      <c r="AH105" s="12">
        <v>0.11550482175388201</v>
      </c>
      <c r="AI105" s="14">
        <v>0.24590109137098301</v>
      </c>
      <c r="AJ105" s="4">
        <v>85421</v>
      </c>
      <c r="AK105" s="5">
        <v>40880</v>
      </c>
      <c r="AL105" s="5">
        <v>30145</v>
      </c>
      <c r="AM105" s="5">
        <v>16527</v>
      </c>
      <c r="AN105" s="6">
        <v>0.47857084323526999</v>
      </c>
      <c r="AO105" s="6">
        <v>0.35289916999332699</v>
      </c>
      <c r="AP105" s="6">
        <v>0.193477013849054</v>
      </c>
      <c r="AQ105" s="6">
        <v>0.125671673241943</v>
      </c>
      <c r="AR105" s="6">
        <v>0.15942215614427399</v>
      </c>
      <c r="AS105" s="6">
        <v>8.3691363950316705E-2</v>
      </c>
      <c r="AT105" s="6">
        <v>0.109785649898737</v>
      </c>
      <c r="AU105" s="7">
        <v>70745</v>
      </c>
      <c r="AV105" s="7">
        <v>103408</v>
      </c>
      <c r="AW105" s="7">
        <v>1062544</v>
      </c>
      <c r="AX105" s="5">
        <v>187704</v>
      </c>
      <c r="AY105" s="5">
        <v>196043</v>
      </c>
      <c r="AZ105" s="6">
        <v>4.4426330818735899E-2</v>
      </c>
      <c r="BA105" s="6">
        <v>0.58339676744684499</v>
      </c>
      <c r="BB105" s="6">
        <v>7.9838469078975405E-2</v>
      </c>
      <c r="BC105" s="6">
        <v>6.3807910326897699E-2</v>
      </c>
      <c r="BD105" s="6">
        <v>0.18552082001449099</v>
      </c>
      <c r="BE105" s="8">
        <v>0.238316711417977</v>
      </c>
      <c r="BF105" s="10">
        <v>152817</v>
      </c>
      <c r="BG105" s="11">
        <v>73878</v>
      </c>
      <c r="BH105" s="11">
        <v>55739</v>
      </c>
      <c r="BI105" s="11">
        <v>31593</v>
      </c>
      <c r="BJ105" s="12">
        <v>0.48344097842517503</v>
      </c>
      <c r="BK105" s="12">
        <v>0.36474345131758901</v>
      </c>
      <c r="BL105" s="12">
        <v>0.20673747030762299</v>
      </c>
      <c r="BM105" s="12">
        <v>0.11869752710758601</v>
      </c>
      <c r="BN105" s="12">
        <v>0.15800598100996599</v>
      </c>
      <c r="BO105" s="12">
        <v>8.7221971377530003E-2</v>
      </c>
      <c r="BP105" s="12">
        <v>0.119515498930093</v>
      </c>
      <c r="BQ105" s="13">
        <v>71552</v>
      </c>
      <c r="BR105" s="13">
        <v>104672</v>
      </c>
      <c r="BS105" s="13">
        <v>1103226</v>
      </c>
      <c r="BT105" s="11">
        <v>361073</v>
      </c>
      <c r="BU105" s="11">
        <v>380389</v>
      </c>
      <c r="BV105" s="12">
        <v>5.34961074353386E-2</v>
      </c>
      <c r="BW105" s="12">
        <v>0.55015253324825997</v>
      </c>
      <c r="BX105" s="12">
        <v>6.6554408665283796E-2</v>
      </c>
      <c r="BY105" s="12">
        <v>6.4862230075358698E-2</v>
      </c>
      <c r="BZ105" s="12">
        <v>0.25631105067396298</v>
      </c>
      <c r="CA105" s="14">
        <v>0.242576985817272</v>
      </c>
      <c r="CB105" s="86">
        <f t="shared" si="23"/>
        <v>29685228.529998451</v>
      </c>
      <c r="CC105" s="83">
        <v>11067753.3199993</v>
      </c>
      <c r="CD105" s="83">
        <v>12380101.199999301</v>
      </c>
      <c r="CE105" s="83">
        <v>4869837.9799998403</v>
      </c>
      <c r="CF105" s="83">
        <v>1367536.03000001</v>
      </c>
      <c r="CG105" s="90">
        <f t="shared" si="24"/>
        <v>0.37283705964448838</v>
      </c>
      <c r="CH105" s="90">
        <f t="shared" si="24"/>
        <v>0.41704584445050075</v>
      </c>
      <c r="CI105" s="90">
        <f t="shared" si="17"/>
        <v>0.164049199590248</v>
      </c>
      <c r="CK105" s="86">
        <f t="shared" si="15"/>
        <v>28921404</v>
      </c>
      <c r="CL105" s="83">
        <v>10432149</v>
      </c>
      <c r="CM105" s="83">
        <v>12321769</v>
      </c>
      <c r="CN105" s="83">
        <v>4816460</v>
      </c>
      <c r="CO105" s="83">
        <v>1351026</v>
      </c>
      <c r="CP105" s="90">
        <f t="shared" si="16"/>
        <v>0.36070686609820185</v>
      </c>
      <c r="CQ105" s="90">
        <f t="shared" si="16"/>
        <v>0.42604325156551875</v>
      </c>
      <c r="CR105" s="90">
        <f t="shared" si="16"/>
        <v>0.16653617507642438</v>
      </c>
    </row>
    <row r="106" spans="1:97" ht="49.5" thickTop="1" thickBot="1" x14ac:dyDescent="0.3">
      <c r="A106" s="3" t="s">
        <v>291</v>
      </c>
      <c r="B106" s="3">
        <v>511</v>
      </c>
      <c r="C106" s="3" t="s">
        <v>66</v>
      </c>
      <c r="D106" s="16">
        <v>42320</v>
      </c>
      <c r="E106" s="16" t="s">
        <v>529</v>
      </c>
      <c r="F106" s="16" t="s">
        <v>348</v>
      </c>
      <c r="G106" s="17">
        <v>18819</v>
      </c>
      <c r="H106" s="17">
        <v>24000</v>
      </c>
      <c r="I106" s="17" t="s">
        <v>584</v>
      </c>
      <c r="J106" s="18"/>
      <c r="K106" s="18" t="s">
        <v>598</v>
      </c>
      <c r="L106" s="18"/>
      <c r="M106" s="18" t="s">
        <v>598</v>
      </c>
      <c r="N106" s="10">
        <v>32044</v>
      </c>
      <c r="O106" s="11">
        <v>12639</v>
      </c>
      <c r="P106" s="11">
        <v>8544</v>
      </c>
      <c r="Q106" s="11">
        <v>3811</v>
      </c>
      <c r="R106" s="12">
        <v>0.39442641368118803</v>
      </c>
      <c r="S106" s="12">
        <v>0.26663337910373203</v>
      </c>
      <c r="T106" s="12">
        <v>0.118930220946199</v>
      </c>
      <c r="U106" s="12">
        <v>0.127793034577456</v>
      </c>
      <c r="V106" s="12">
        <v>0.14770315815753299</v>
      </c>
      <c r="W106" s="12">
        <v>5.8794158032704998E-2</v>
      </c>
      <c r="X106" s="12">
        <v>6.0136062913493903E-2</v>
      </c>
      <c r="Y106" s="13">
        <v>58309</v>
      </c>
      <c r="Z106" s="13">
        <v>80337</v>
      </c>
      <c r="AA106" s="13">
        <v>679658</v>
      </c>
      <c r="AB106" s="11">
        <v>83378</v>
      </c>
      <c r="AC106" s="11">
        <v>93198</v>
      </c>
      <c r="AD106" s="12">
        <v>0.117776871596824</v>
      </c>
      <c r="AE106" s="12">
        <v>0.38648714910309301</v>
      </c>
      <c r="AF106" s="12">
        <v>0.27058696538655302</v>
      </c>
      <c r="AG106" s="12">
        <v>6.1790880088272701E-2</v>
      </c>
      <c r="AH106" s="12">
        <v>0.14730504449615001</v>
      </c>
      <c r="AI106" s="14">
        <v>0.168977428098539</v>
      </c>
      <c r="AJ106" s="4">
        <v>61227</v>
      </c>
      <c r="AK106" s="5">
        <v>26995</v>
      </c>
      <c r="AL106" s="5">
        <v>18803</v>
      </c>
      <c r="AM106" s="5">
        <v>8577</v>
      </c>
      <c r="AN106" s="6">
        <v>0.44090025642281999</v>
      </c>
      <c r="AO106" s="6">
        <v>0.30710307544057402</v>
      </c>
      <c r="AP106" s="6">
        <v>0.140085256504483</v>
      </c>
      <c r="AQ106" s="6">
        <v>0.13379718098224599</v>
      </c>
      <c r="AR106" s="6">
        <v>0.16701781893609</v>
      </c>
      <c r="AS106" s="6">
        <v>7.1194081042677299E-2</v>
      </c>
      <c r="AT106" s="6">
        <v>6.8891175461806106E-2</v>
      </c>
      <c r="AU106" s="7">
        <v>64838</v>
      </c>
      <c r="AV106" s="7">
        <v>86620</v>
      </c>
      <c r="AW106" s="7">
        <v>790611</v>
      </c>
      <c r="AX106" s="5">
        <v>166046</v>
      </c>
      <c r="AY106" s="5">
        <v>186443</v>
      </c>
      <c r="AZ106" s="6">
        <v>0.12283945412717</v>
      </c>
      <c r="BA106" s="6">
        <v>0.40709234087375201</v>
      </c>
      <c r="BB106" s="6">
        <v>0.234778314442986</v>
      </c>
      <c r="BC106" s="6">
        <v>5.7309420281126899E-2</v>
      </c>
      <c r="BD106" s="6">
        <v>0.128115100634764</v>
      </c>
      <c r="BE106" s="8">
        <v>0.18074509473278499</v>
      </c>
      <c r="BF106" s="10">
        <v>76517</v>
      </c>
      <c r="BG106" s="11">
        <v>37577</v>
      </c>
      <c r="BH106" s="11">
        <v>27211</v>
      </c>
      <c r="BI106" s="11">
        <v>13544</v>
      </c>
      <c r="BJ106" s="12">
        <v>0.49109348249408602</v>
      </c>
      <c r="BK106" s="12">
        <v>0.355620319667525</v>
      </c>
      <c r="BL106" s="12">
        <v>0.17700641687468099</v>
      </c>
      <c r="BM106" s="12">
        <v>0.13547316282656099</v>
      </c>
      <c r="BN106" s="12">
        <v>0.178613902792843</v>
      </c>
      <c r="BO106" s="12">
        <v>8.23346445887842E-2</v>
      </c>
      <c r="BP106" s="12">
        <v>9.4671772285897293E-2</v>
      </c>
      <c r="BQ106" s="13">
        <v>73236</v>
      </c>
      <c r="BR106" s="13">
        <v>96932</v>
      </c>
      <c r="BS106" s="13">
        <v>989396</v>
      </c>
      <c r="BT106" s="11">
        <v>210759</v>
      </c>
      <c r="BU106" s="11">
        <v>237833</v>
      </c>
      <c r="BV106" s="12">
        <v>0.128459520115392</v>
      </c>
      <c r="BW106" s="12">
        <v>0.41730743864495201</v>
      </c>
      <c r="BX106" s="12">
        <v>0.222481602209158</v>
      </c>
      <c r="BY106" s="12">
        <v>5.3397482432541402E-2</v>
      </c>
      <c r="BZ106" s="12">
        <v>0.11582423526397401</v>
      </c>
      <c r="CA106" s="14">
        <v>0.19284111236056301</v>
      </c>
      <c r="CB106" s="86">
        <f t="shared" si="23"/>
        <v>20401609.139999222</v>
      </c>
      <c r="CC106" s="83">
        <v>4723181.05833322</v>
      </c>
      <c r="CD106" s="83">
        <v>12362803.301666001</v>
      </c>
      <c r="CE106" s="83">
        <v>2342771.0199999898</v>
      </c>
      <c r="CF106" s="83">
        <v>972853.760000012</v>
      </c>
      <c r="CG106" s="90">
        <f t="shared" si="24"/>
        <v>0.23151022186151932</v>
      </c>
      <c r="CH106" s="90">
        <f t="shared" si="24"/>
        <v>0.60597197097691635</v>
      </c>
      <c r="CI106" s="90">
        <f t="shared" si="17"/>
        <v>0.11483265873409822</v>
      </c>
      <c r="CK106" s="86">
        <f t="shared" si="15"/>
        <v>20450733</v>
      </c>
      <c r="CL106" s="83">
        <v>4727071</v>
      </c>
      <c r="CM106" s="83">
        <v>12413334</v>
      </c>
      <c r="CN106" s="83">
        <v>2335265</v>
      </c>
      <c r="CO106" s="83">
        <v>975063</v>
      </c>
      <c r="CP106" s="90">
        <f t="shared" si="16"/>
        <v>0.23114433111028343</v>
      </c>
      <c r="CQ106" s="90">
        <f t="shared" si="16"/>
        <v>0.60698724099522494</v>
      </c>
      <c r="CR106" s="90">
        <f t="shared" si="16"/>
        <v>0.11418979456628767</v>
      </c>
    </row>
    <row r="107" spans="1:97" ht="49.5" thickTop="1" thickBot="1" x14ac:dyDescent="0.3">
      <c r="A107" s="3" t="s">
        <v>291</v>
      </c>
      <c r="B107" s="3">
        <v>529</v>
      </c>
      <c r="C107" s="3" t="s">
        <v>84</v>
      </c>
      <c r="D107" s="16">
        <v>43419</v>
      </c>
      <c r="E107" s="16" t="s">
        <v>532</v>
      </c>
      <c r="F107" s="16" t="s">
        <v>366</v>
      </c>
      <c r="G107" s="17">
        <v>20992</v>
      </c>
      <c r="H107" s="17">
        <v>24500</v>
      </c>
      <c r="I107" s="17" t="s">
        <v>585</v>
      </c>
      <c r="J107" s="18"/>
      <c r="K107" s="18" t="s">
        <v>598</v>
      </c>
      <c r="L107" s="18" t="s">
        <v>519</v>
      </c>
      <c r="M107" s="18" t="s">
        <v>598</v>
      </c>
      <c r="N107" s="10">
        <v>28322</v>
      </c>
      <c r="O107" s="11">
        <v>19902</v>
      </c>
      <c r="P107" s="11">
        <v>15938</v>
      </c>
      <c r="Q107" s="11">
        <v>9329</v>
      </c>
      <c r="R107" s="12">
        <v>0.70270461125626704</v>
      </c>
      <c r="S107" s="12">
        <v>0.56274274415648595</v>
      </c>
      <c r="T107" s="12">
        <v>0.32939057976131603</v>
      </c>
      <c r="U107" s="12">
        <v>0.13996186709978101</v>
      </c>
      <c r="V107" s="12">
        <v>0.23335216439517001</v>
      </c>
      <c r="W107" s="12">
        <v>0.17110373561189199</v>
      </c>
      <c r="X107" s="12">
        <v>0.15828684414942401</v>
      </c>
      <c r="Y107" s="13">
        <v>109362</v>
      </c>
      <c r="Z107" s="13">
        <v>133147</v>
      </c>
      <c r="AA107" s="13">
        <v>1322193</v>
      </c>
      <c r="AB107" s="11">
        <v>82955</v>
      </c>
      <c r="AC107" s="11">
        <v>91764</v>
      </c>
      <c r="AD107" s="12">
        <v>0.106190103067928</v>
      </c>
      <c r="AE107" s="12">
        <v>0.57487366593175004</v>
      </c>
      <c r="AF107" s="12">
        <v>0.186245554818878</v>
      </c>
      <c r="AG107" s="12">
        <v>0.21728648062202399</v>
      </c>
      <c r="AH107" s="12">
        <v>0.27055632571876298</v>
      </c>
      <c r="AI107" s="14">
        <v>0.180579832439274</v>
      </c>
      <c r="AJ107" s="4">
        <v>52803</v>
      </c>
      <c r="AK107" s="5">
        <v>33699</v>
      </c>
      <c r="AL107" s="5">
        <v>25689</v>
      </c>
      <c r="AM107" s="5">
        <v>13550</v>
      </c>
      <c r="AN107" s="6">
        <v>0.63820237486506404</v>
      </c>
      <c r="AO107" s="6">
        <v>0.486506448497244</v>
      </c>
      <c r="AP107" s="6">
        <v>0.25661420752608799</v>
      </c>
      <c r="AQ107" s="6">
        <v>0.15169592636782001</v>
      </c>
      <c r="AR107" s="6">
        <v>0.22989224097115701</v>
      </c>
      <c r="AS107" s="6">
        <v>0.13965115618430801</v>
      </c>
      <c r="AT107" s="6">
        <v>0.11696305134178001</v>
      </c>
      <c r="AU107" s="7">
        <v>97144</v>
      </c>
      <c r="AV107" s="7">
        <v>116992</v>
      </c>
      <c r="AW107" s="7">
        <v>1101290</v>
      </c>
      <c r="AX107" s="5">
        <v>158708</v>
      </c>
      <c r="AY107" s="5">
        <v>175484</v>
      </c>
      <c r="AZ107" s="6">
        <v>0.105703556216448</v>
      </c>
      <c r="BA107" s="6">
        <v>0.465377367047275</v>
      </c>
      <c r="BB107" s="6">
        <v>0.28193285782695299</v>
      </c>
      <c r="BC107" s="6">
        <v>0.144233434987524</v>
      </c>
      <c r="BD107" s="6">
        <v>0.302038964639464</v>
      </c>
      <c r="BE107" s="8">
        <v>0.186455629205837</v>
      </c>
      <c r="BF107" s="10">
        <v>99802</v>
      </c>
      <c r="BG107" s="11">
        <v>51792</v>
      </c>
      <c r="BH107" s="11">
        <v>37497</v>
      </c>
      <c r="BI107" s="11">
        <v>18080</v>
      </c>
      <c r="BJ107" s="12">
        <v>0.51894751608184198</v>
      </c>
      <c r="BK107" s="12">
        <v>0.37571391354882699</v>
      </c>
      <c r="BL107" s="12">
        <v>0.181158694214545</v>
      </c>
      <c r="BM107" s="12">
        <v>0.14323360253301501</v>
      </c>
      <c r="BN107" s="12">
        <v>0.19455521933428199</v>
      </c>
      <c r="BO107" s="12">
        <v>0.102172301156289</v>
      </c>
      <c r="BP107" s="12">
        <v>7.8986393058255305E-2</v>
      </c>
      <c r="BQ107" s="13">
        <v>77527</v>
      </c>
      <c r="BR107" s="13">
        <v>97284</v>
      </c>
      <c r="BS107" s="13">
        <v>809405</v>
      </c>
      <c r="BT107" s="11">
        <v>307580</v>
      </c>
      <c r="BU107" s="11">
        <v>338803</v>
      </c>
      <c r="BV107" s="12">
        <v>0.10151180180765999</v>
      </c>
      <c r="BW107" s="12">
        <v>0.348624280327131</v>
      </c>
      <c r="BX107" s="12">
        <v>0.32516093374081501</v>
      </c>
      <c r="BY107" s="12">
        <v>8.63125040639834E-2</v>
      </c>
      <c r="BZ107" s="12">
        <v>0.38778529163144498</v>
      </c>
      <c r="CA107" s="14">
        <v>0.194814357240393</v>
      </c>
      <c r="CB107" s="86">
        <f t="shared" si="23"/>
        <v>20837684.760332581</v>
      </c>
      <c r="CC107" s="83">
        <v>3980427.2416665698</v>
      </c>
      <c r="CD107" s="83">
        <v>13863711.103666</v>
      </c>
      <c r="CE107" s="83">
        <v>1778409.43</v>
      </c>
      <c r="CF107" s="83">
        <v>1215136.9850000101</v>
      </c>
      <c r="CG107" s="90">
        <f t="shared" si="24"/>
        <v>0.19102060941260923</v>
      </c>
      <c r="CH107" s="90">
        <f t="shared" si="24"/>
        <v>0.66531916876185282</v>
      </c>
      <c r="CI107" s="90">
        <f t="shared" si="17"/>
        <v>8.5345826585564277E-2</v>
      </c>
      <c r="CK107" s="86">
        <f t="shared" si="15"/>
        <v>20239792</v>
      </c>
      <c r="CL107" s="83">
        <v>3708272</v>
      </c>
      <c r="CM107" s="83">
        <v>13614123</v>
      </c>
      <c r="CN107" s="83">
        <v>1708333</v>
      </c>
      <c r="CO107" s="83">
        <v>1209064</v>
      </c>
      <c r="CP107" s="90">
        <f t="shared" si="16"/>
        <v>0.18321690262429574</v>
      </c>
      <c r="CQ107" s="90">
        <f t="shared" si="16"/>
        <v>0.672641448093933</v>
      </c>
      <c r="CR107" s="90">
        <f t="shared" si="16"/>
        <v>8.4404671747614804E-2</v>
      </c>
    </row>
    <row r="108" spans="1:97" ht="37.5" thickTop="1" thickBot="1" x14ac:dyDescent="0.3">
      <c r="A108" s="3" t="s">
        <v>301</v>
      </c>
      <c r="B108" s="3">
        <v>1502</v>
      </c>
      <c r="C108" s="3" t="s">
        <v>227</v>
      </c>
      <c r="D108" s="16">
        <v>42089</v>
      </c>
      <c r="E108" s="16" t="s">
        <v>565</v>
      </c>
      <c r="F108" s="16" t="s">
        <v>484</v>
      </c>
      <c r="G108" s="17">
        <v>16644</v>
      </c>
      <c r="H108" s="17">
        <v>20710</v>
      </c>
      <c r="I108" s="17" t="s">
        <v>584</v>
      </c>
      <c r="J108" s="18"/>
      <c r="K108" s="18" t="s">
        <v>598</v>
      </c>
      <c r="L108" s="18"/>
      <c r="M108" s="18" t="s">
        <v>598</v>
      </c>
      <c r="N108" s="10">
        <v>23698</v>
      </c>
      <c r="O108" s="11">
        <v>11722</v>
      </c>
      <c r="P108" s="11">
        <v>7745</v>
      </c>
      <c r="Q108" s="11">
        <v>3268</v>
      </c>
      <c r="R108" s="12">
        <v>0.49464089796607302</v>
      </c>
      <c r="S108" s="12">
        <v>0.32682082876192098</v>
      </c>
      <c r="T108" s="12">
        <v>0.137901932652545</v>
      </c>
      <c r="U108" s="12">
        <v>0.16782006920415199</v>
      </c>
      <c r="V108" s="12">
        <v>0.18891889610937601</v>
      </c>
      <c r="W108" s="12">
        <v>7.5238416744028994E-2</v>
      </c>
      <c r="X108" s="12">
        <v>6.2663515908515502E-2</v>
      </c>
      <c r="Y108" s="13">
        <v>73893</v>
      </c>
      <c r="Z108" s="13">
        <v>89305</v>
      </c>
      <c r="AA108" s="13">
        <v>766947</v>
      </c>
      <c r="AB108" s="11">
        <v>56392</v>
      </c>
      <c r="AC108" s="11">
        <v>56643</v>
      </c>
      <c r="AD108" s="12">
        <v>4.4509859554546704E-3</v>
      </c>
      <c r="AE108" s="12">
        <v>0.40013838778233601</v>
      </c>
      <c r="AF108" s="12">
        <v>0.17892608880692301</v>
      </c>
      <c r="AG108" s="12">
        <v>0.13269612711022799</v>
      </c>
      <c r="AH108" s="12">
        <v>0.16192013051496701</v>
      </c>
      <c r="AI108" s="14">
        <v>0.246258334515534</v>
      </c>
      <c r="AJ108" s="4">
        <v>52938</v>
      </c>
      <c r="AK108" s="5">
        <v>26911</v>
      </c>
      <c r="AL108" s="5">
        <v>18842</v>
      </c>
      <c r="AM108" s="5">
        <v>8660</v>
      </c>
      <c r="AN108" s="6">
        <v>0.50834938985227995</v>
      </c>
      <c r="AO108" s="6">
        <v>0.355925799992444</v>
      </c>
      <c r="AP108" s="6">
        <v>0.16358759303336001</v>
      </c>
      <c r="AQ108" s="6">
        <v>0.15242358985983601</v>
      </c>
      <c r="AR108" s="6">
        <v>0.19233820695908399</v>
      </c>
      <c r="AS108" s="6">
        <v>8.7158562847104201E-2</v>
      </c>
      <c r="AT108" s="6">
        <v>7.6429030186255603E-2</v>
      </c>
      <c r="AU108" s="7">
        <v>76008</v>
      </c>
      <c r="AV108" s="7">
        <v>94822</v>
      </c>
      <c r="AW108" s="7">
        <v>1031100</v>
      </c>
      <c r="AX108" s="5">
        <v>130267</v>
      </c>
      <c r="AY108" s="5">
        <v>130394</v>
      </c>
      <c r="AZ108" s="6">
        <v>9.74920739711516E-4</v>
      </c>
      <c r="BA108" s="6">
        <v>0.37481830431507401</v>
      </c>
      <c r="BB108" s="6">
        <v>0.18359216071606799</v>
      </c>
      <c r="BC108" s="6">
        <v>0.10159902354395201</v>
      </c>
      <c r="BD108" s="6">
        <v>0.165084019744064</v>
      </c>
      <c r="BE108" s="8">
        <v>0.26173935071813997</v>
      </c>
      <c r="BF108" s="10">
        <v>96794</v>
      </c>
      <c r="BG108" s="11">
        <v>45471</v>
      </c>
      <c r="BH108" s="11">
        <v>32510</v>
      </c>
      <c r="BI108" s="11">
        <v>14970</v>
      </c>
      <c r="BJ108" s="12">
        <v>0.46977085356530401</v>
      </c>
      <c r="BK108" s="12">
        <v>0.33586792569787399</v>
      </c>
      <c r="BL108" s="12">
        <v>0.154658346591731</v>
      </c>
      <c r="BM108" s="12">
        <v>0.13390292786742999</v>
      </c>
      <c r="BN108" s="12">
        <v>0.18120957910614299</v>
      </c>
      <c r="BO108" s="12">
        <v>8.3062999772713197E-2</v>
      </c>
      <c r="BP108" s="12">
        <v>7.1595346819017705E-2</v>
      </c>
      <c r="BQ108" s="13">
        <v>68947</v>
      </c>
      <c r="BR108" s="13">
        <v>90230</v>
      </c>
      <c r="BS108" s="13">
        <v>922708</v>
      </c>
      <c r="BT108" s="11">
        <v>238403</v>
      </c>
      <c r="BU108" s="11">
        <v>239549</v>
      </c>
      <c r="BV108" s="12">
        <v>4.8069864892639801E-3</v>
      </c>
      <c r="BW108" s="12">
        <v>0.35754979102944301</v>
      </c>
      <c r="BX108" s="12">
        <v>0.19226687583629401</v>
      </c>
      <c r="BY108" s="12">
        <v>8.2285038359416598E-2</v>
      </c>
      <c r="BZ108" s="12">
        <v>0.22920013590433</v>
      </c>
      <c r="CA108" s="14">
        <v>0.25836923193080602</v>
      </c>
      <c r="CB108" s="86">
        <f t="shared" si="23"/>
        <v>14431873.109999513</v>
      </c>
      <c r="CC108" s="83">
        <v>5075108.4299998498</v>
      </c>
      <c r="CD108" s="83">
        <v>5792140.0999997295</v>
      </c>
      <c r="CE108" s="83">
        <v>3017099.7199999299</v>
      </c>
      <c r="CF108" s="83">
        <v>547524.86000000301</v>
      </c>
      <c r="CG108" s="90">
        <f t="shared" si="24"/>
        <v>0.3516597181334295</v>
      </c>
      <c r="CH108" s="90">
        <f t="shared" si="24"/>
        <v>0.40134361325464318</v>
      </c>
      <c r="CI108" s="90">
        <f t="shared" si="17"/>
        <v>0.20905808255128372</v>
      </c>
      <c r="CK108" s="86">
        <f t="shared" si="15"/>
        <v>14242327</v>
      </c>
      <c r="CL108" s="83">
        <v>4933616</v>
      </c>
      <c r="CM108" s="83">
        <v>5806876</v>
      </c>
      <c r="CN108" s="83">
        <v>2975112</v>
      </c>
      <c r="CO108" s="83">
        <v>526723</v>
      </c>
      <c r="CP108" s="90">
        <f t="shared" si="16"/>
        <v>0.34640519066863162</v>
      </c>
      <c r="CQ108" s="90">
        <f t="shared" si="16"/>
        <v>0.40771960930260903</v>
      </c>
      <c r="CR108" s="90">
        <f t="shared" si="16"/>
        <v>0.20889226879849057</v>
      </c>
    </row>
    <row r="109" spans="1:97" ht="49.5" thickTop="1" thickBot="1" x14ac:dyDescent="0.3">
      <c r="A109" s="3" t="s">
        <v>291</v>
      </c>
      <c r="B109" s="3">
        <v>512</v>
      </c>
      <c r="C109" s="3" t="s">
        <v>67</v>
      </c>
      <c r="D109" s="16">
        <v>42670</v>
      </c>
      <c r="E109" s="16" t="s">
        <v>532</v>
      </c>
      <c r="F109" s="16" t="s">
        <v>349</v>
      </c>
      <c r="G109" s="17">
        <v>19116</v>
      </c>
      <c r="H109" s="17">
        <v>23413</v>
      </c>
      <c r="I109" s="17" t="s">
        <v>584</v>
      </c>
      <c r="J109" s="18"/>
      <c r="K109" s="18" t="s">
        <v>598</v>
      </c>
      <c r="L109" s="18"/>
      <c r="M109" s="18" t="s">
        <v>598</v>
      </c>
      <c r="N109" s="10">
        <v>38194</v>
      </c>
      <c r="O109" s="11">
        <v>16754</v>
      </c>
      <c r="P109" s="11">
        <v>11112</v>
      </c>
      <c r="Q109" s="11">
        <v>5383</v>
      </c>
      <c r="R109" s="12">
        <v>0.43865528617060301</v>
      </c>
      <c r="S109" s="12">
        <v>0.29093574907053499</v>
      </c>
      <c r="T109" s="12">
        <v>0.140938367282819</v>
      </c>
      <c r="U109" s="12">
        <v>0.14771953710006799</v>
      </c>
      <c r="V109" s="12">
        <v>0.14999738178771499</v>
      </c>
      <c r="W109" s="12">
        <v>6.4120018851128405E-2</v>
      </c>
      <c r="X109" s="12">
        <v>7.6818348431690803E-2</v>
      </c>
      <c r="Y109" s="13">
        <v>65071</v>
      </c>
      <c r="Z109" s="13">
        <v>90521</v>
      </c>
      <c r="AA109" s="13">
        <v>851993</v>
      </c>
      <c r="AB109" s="11">
        <v>97144</v>
      </c>
      <c r="AC109" s="11">
        <v>103278</v>
      </c>
      <c r="AD109" s="12">
        <v>6.3143374783826103E-2</v>
      </c>
      <c r="AE109" s="12">
        <v>0.37615005638986199</v>
      </c>
      <c r="AF109" s="12">
        <v>0.31192868319196199</v>
      </c>
      <c r="AG109" s="12">
        <v>0.12864407477559101</v>
      </c>
      <c r="AH109" s="12">
        <v>0.16541423042081899</v>
      </c>
      <c r="AI109" s="14">
        <v>0.230853166433336</v>
      </c>
      <c r="AJ109" s="4">
        <v>106276</v>
      </c>
      <c r="AK109" s="5">
        <v>49007</v>
      </c>
      <c r="AL109" s="5">
        <v>33408</v>
      </c>
      <c r="AM109" s="5">
        <v>16633</v>
      </c>
      <c r="AN109" s="6">
        <v>0.46112951183710299</v>
      </c>
      <c r="AO109" s="6">
        <v>0.31435131167902403</v>
      </c>
      <c r="AP109" s="6">
        <v>0.156507584026497</v>
      </c>
      <c r="AQ109" s="6">
        <v>0.14677820015807899</v>
      </c>
      <c r="AR109" s="6">
        <v>0.15784372765252699</v>
      </c>
      <c r="AS109" s="6">
        <v>7.6348375926831996E-2</v>
      </c>
      <c r="AT109" s="6">
        <v>8.0159208099664994E-2</v>
      </c>
      <c r="AU109" s="7">
        <v>68377</v>
      </c>
      <c r="AV109" s="7">
        <v>92930</v>
      </c>
      <c r="AW109" s="7">
        <v>960399</v>
      </c>
      <c r="AX109" s="5">
        <v>303001</v>
      </c>
      <c r="AY109" s="5">
        <v>318072</v>
      </c>
      <c r="AZ109" s="6">
        <v>4.9739109771914897E-2</v>
      </c>
      <c r="BA109" s="6">
        <v>0.33734910112746602</v>
      </c>
      <c r="BB109" s="6">
        <v>0.34739159276702097</v>
      </c>
      <c r="BC109" s="6">
        <v>0.121969894488797</v>
      </c>
      <c r="BD109" s="6">
        <v>0.17626014435595899</v>
      </c>
      <c r="BE109" s="8">
        <v>0.23267249943069501</v>
      </c>
      <c r="BF109" s="10">
        <v>193806</v>
      </c>
      <c r="BG109" s="11">
        <v>90414</v>
      </c>
      <c r="BH109" s="11">
        <v>63697</v>
      </c>
      <c r="BI109" s="11">
        <v>32435</v>
      </c>
      <c r="BJ109" s="12">
        <v>0.46651806445620903</v>
      </c>
      <c r="BK109" s="12">
        <v>0.328663715261653</v>
      </c>
      <c r="BL109" s="12">
        <v>0.16735807972921399</v>
      </c>
      <c r="BM109" s="12">
        <v>0.137854349194555</v>
      </c>
      <c r="BN109" s="12">
        <v>0.16130563553244001</v>
      </c>
      <c r="BO109" s="12">
        <v>7.9491862997017604E-2</v>
      </c>
      <c r="BP109" s="12">
        <v>8.7866216732196106E-2</v>
      </c>
      <c r="BQ109" s="13">
        <v>69118</v>
      </c>
      <c r="BR109" s="13">
        <v>94993</v>
      </c>
      <c r="BS109" s="13">
        <v>958687</v>
      </c>
      <c r="BT109" s="11">
        <v>566735</v>
      </c>
      <c r="BU109" s="11">
        <v>600096</v>
      </c>
      <c r="BV109" s="12">
        <v>5.8865254484018102E-2</v>
      </c>
      <c r="BW109" s="12">
        <v>0.33730770991359199</v>
      </c>
      <c r="BX109" s="12">
        <v>0.35593178469655101</v>
      </c>
      <c r="BY109" s="12">
        <v>0.107455865616205</v>
      </c>
      <c r="BZ109" s="12">
        <v>0.187796765684138</v>
      </c>
      <c r="CA109" s="14">
        <v>0.222739022647269</v>
      </c>
      <c r="CB109" s="86">
        <f t="shared" si="23"/>
        <v>21486331.44788811</v>
      </c>
      <c r="CC109" s="83">
        <v>5232074.1188332001</v>
      </c>
      <c r="CD109" s="83">
        <v>13450446.1930549</v>
      </c>
      <c r="CE109" s="83">
        <v>1933760.3959999999</v>
      </c>
      <c r="CF109" s="83">
        <v>870050.74000000802</v>
      </c>
      <c r="CG109" s="90">
        <f t="shared" si="24"/>
        <v>0.24350709340600163</v>
      </c>
      <c r="CH109" s="90">
        <f t="shared" si="24"/>
        <v>0.62600012597203714</v>
      </c>
      <c r="CI109" s="90">
        <f t="shared" si="17"/>
        <v>8.9999560915740656E-2</v>
      </c>
      <c r="CK109" s="86">
        <f t="shared" si="15"/>
        <v>20921726</v>
      </c>
      <c r="CL109" s="83">
        <v>4886876</v>
      </c>
      <c r="CM109" s="83">
        <v>13286135</v>
      </c>
      <c r="CN109" s="83">
        <v>1907064</v>
      </c>
      <c r="CO109" s="83">
        <v>841651</v>
      </c>
      <c r="CP109" s="90">
        <f t="shared" si="16"/>
        <v>0.23357900777402399</v>
      </c>
      <c r="CQ109" s="90">
        <f t="shared" si="16"/>
        <v>0.63504010137595723</v>
      </c>
      <c r="CR109" s="90">
        <f t="shared" si="16"/>
        <v>9.1152326533671266E-2</v>
      </c>
    </row>
    <row r="110" spans="1:97" ht="37.5" thickTop="1" thickBot="1" x14ac:dyDescent="0.3">
      <c r="A110" s="3" t="s">
        <v>303</v>
      </c>
      <c r="B110" s="3">
        <v>1703</v>
      </c>
      <c r="C110" s="3" t="s">
        <v>241</v>
      </c>
      <c r="D110" s="16">
        <v>42789</v>
      </c>
      <c r="E110" s="16" t="s">
        <v>568</v>
      </c>
      <c r="F110" s="16" t="s">
        <v>495</v>
      </c>
      <c r="G110" s="17">
        <v>19730</v>
      </c>
      <c r="H110" s="17">
        <v>24700</v>
      </c>
      <c r="I110" s="17" t="s">
        <v>584</v>
      </c>
      <c r="J110" s="18"/>
      <c r="K110" s="18" t="s">
        <v>598</v>
      </c>
      <c r="L110" s="18"/>
      <c r="M110" s="18" t="s">
        <v>598</v>
      </c>
      <c r="N110" s="10">
        <v>39572</v>
      </c>
      <c r="O110" s="11">
        <v>16255</v>
      </c>
      <c r="P110" s="11">
        <v>11503</v>
      </c>
      <c r="Q110" s="11">
        <v>5674</v>
      </c>
      <c r="R110" s="12">
        <v>0.41077024158495901</v>
      </c>
      <c r="S110" s="12">
        <v>0.29068533306378203</v>
      </c>
      <c r="T110" s="12">
        <v>0.143384211058324</v>
      </c>
      <c r="U110" s="12">
        <v>0.12008490852117699</v>
      </c>
      <c r="V110" s="12">
        <v>0.147301122005458</v>
      </c>
      <c r="W110" s="12">
        <v>7.2879814009905994E-2</v>
      </c>
      <c r="X110" s="12">
        <v>7.0504397048418099E-2</v>
      </c>
      <c r="Y110" s="13">
        <v>58690</v>
      </c>
      <c r="Z110" s="13">
        <v>83645</v>
      </c>
      <c r="AA110" s="13">
        <v>693080</v>
      </c>
      <c r="AB110" s="11">
        <v>99518</v>
      </c>
      <c r="AC110" s="11">
        <v>101813</v>
      </c>
      <c r="AD110" s="12">
        <v>2.3061154765972001E-2</v>
      </c>
      <c r="AE110" s="12">
        <v>0.37042759188958502</v>
      </c>
      <c r="AF110" s="12">
        <v>0.22913442794268399</v>
      </c>
      <c r="AG110" s="12">
        <v>0.104955887377158</v>
      </c>
      <c r="AH110" s="12">
        <v>0.13548302819590399</v>
      </c>
      <c r="AI110" s="14">
        <v>0.223949436282883</v>
      </c>
      <c r="AJ110" s="4">
        <v>86737</v>
      </c>
      <c r="AK110" s="5">
        <v>37359</v>
      </c>
      <c r="AL110" s="5">
        <v>27474</v>
      </c>
      <c r="AM110" s="5">
        <v>14183</v>
      </c>
      <c r="AN110" s="6">
        <v>0.43071584214349101</v>
      </c>
      <c r="AO110" s="6">
        <v>0.31675063698306399</v>
      </c>
      <c r="AP110" s="6">
        <v>0.16351729942239199</v>
      </c>
      <c r="AQ110" s="6">
        <v>0.113965205160428</v>
      </c>
      <c r="AR110" s="6">
        <v>0.15323333756067201</v>
      </c>
      <c r="AS110" s="6">
        <v>7.7141243068125503E-2</v>
      </c>
      <c r="AT110" s="6">
        <v>8.6376056354266303E-2</v>
      </c>
      <c r="AU110" s="7">
        <v>61435</v>
      </c>
      <c r="AV110" s="7">
        <v>89755</v>
      </c>
      <c r="AW110" s="7">
        <v>861694</v>
      </c>
      <c r="AX110" s="5">
        <v>231101</v>
      </c>
      <c r="AY110" s="5">
        <v>235711</v>
      </c>
      <c r="AZ110" s="6">
        <v>1.9947988109095201E-2</v>
      </c>
      <c r="BA110" s="6">
        <v>0.38317477062129202</v>
      </c>
      <c r="BB110" s="6">
        <v>0.216818620430028</v>
      </c>
      <c r="BC110" s="6">
        <v>9.8177852973375307E-2</v>
      </c>
      <c r="BD110" s="6">
        <v>0.120042751870394</v>
      </c>
      <c r="BE110" s="8">
        <v>0.22954465796340101</v>
      </c>
      <c r="BF110" s="10">
        <v>115362</v>
      </c>
      <c r="BG110" s="11">
        <v>54718</v>
      </c>
      <c r="BH110" s="11">
        <v>41083</v>
      </c>
      <c r="BI110" s="11">
        <v>22383</v>
      </c>
      <c r="BJ110" s="12">
        <v>0.47431563253064302</v>
      </c>
      <c r="BK110" s="12">
        <v>0.35612246667013397</v>
      </c>
      <c r="BL110" s="12">
        <v>0.19402402870962701</v>
      </c>
      <c r="BM110" s="12">
        <v>0.118193165860509</v>
      </c>
      <c r="BN110" s="12">
        <v>0.16209843796050699</v>
      </c>
      <c r="BO110" s="12">
        <v>8.8885421542622398E-2</v>
      </c>
      <c r="BP110" s="12">
        <v>0.105138607167005</v>
      </c>
      <c r="BQ110" s="13">
        <v>69354</v>
      </c>
      <c r="BR110" s="13">
        <v>98337</v>
      </c>
      <c r="BS110" s="13">
        <v>1063851</v>
      </c>
      <c r="BT110" s="11">
        <v>305930</v>
      </c>
      <c r="BU110" s="11">
        <v>311993</v>
      </c>
      <c r="BV110" s="12">
        <v>1.9818259078874301E-2</v>
      </c>
      <c r="BW110" s="12">
        <v>0.41244002576848698</v>
      </c>
      <c r="BX110" s="12">
        <v>0.181819370444219</v>
      </c>
      <c r="BY110" s="12">
        <v>9.6427287287941699E-2</v>
      </c>
      <c r="BZ110" s="12">
        <v>0.103513875723205</v>
      </c>
      <c r="CA110" s="14">
        <v>0.24332036740430801</v>
      </c>
      <c r="CB110" s="86">
        <f t="shared" si="23"/>
        <v>27238471.221665625</v>
      </c>
      <c r="CC110" s="83">
        <v>11359144.5799996</v>
      </c>
      <c r="CD110" s="83">
        <v>9725289.5199995209</v>
      </c>
      <c r="CE110" s="83">
        <v>5119737.5316664902</v>
      </c>
      <c r="CF110" s="83">
        <v>1034299.59000001</v>
      </c>
      <c r="CG110" s="90">
        <f t="shared" si="24"/>
        <v>0.41702577532928781</v>
      </c>
      <c r="CH110" s="90">
        <f t="shared" si="24"/>
        <v>0.35704241404943365</v>
      </c>
      <c r="CI110" s="90">
        <f t="shared" si="17"/>
        <v>0.18795979737637492</v>
      </c>
      <c r="CK110" s="86">
        <f t="shared" si="15"/>
        <v>26615000</v>
      </c>
      <c r="CL110" s="83">
        <v>10881052</v>
      </c>
      <c r="CM110" s="83">
        <v>9694364</v>
      </c>
      <c r="CN110" s="83">
        <v>4997290</v>
      </c>
      <c r="CO110" s="83">
        <v>1042294</v>
      </c>
      <c r="CP110" s="90">
        <f t="shared" si="16"/>
        <v>0.40883156114972757</v>
      </c>
      <c r="CQ110" s="90">
        <f t="shared" si="16"/>
        <v>0.36424437347360511</v>
      </c>
      <c r="CR110" s="90">
        <f t="shared" si="16"/>
        <v>0.18776216419312416</v>
      </c>
    </row>
    <row r="111" spans="1:97" ht="49.5" thickTop="1" thickBot="1" x14ac:dyDescent="0.3">
      <c r="A111" s="3" t="s">
        <v>287</v>
      </c>
      <c r="B111" s="3">
        <v>102</v>
      </c>
      <c r="C111" s="3" t="s">
        <v>27</v>
      </c>
      <c r="D111" s="16">
        <v>33420</v>
      </c>
      <c r="E111" s="16" t="s">
        <v>520</v>
      </c>
      <c r="F111" s="16" t="s">
        <v>316</v>
      </c>
      <c r="G111" s="17">
        <v>9028</v>
      </c>
      <c r="H111" s="17">
        <v>11200</v>
      </c>
      <c r="I111" s="17" t="s">
        <v>583</v>
      </c>
      <c r="J111" s="18"/>
      <c r="K111" s="18" t="s">
        <v>598</v>
      </c>
      <c r="L111" s="18"/>
      <c r="M111" s="18" t="s">
        <v>598</v>
      </c>
      <c r="N111" s="10">
        <v>27617</v>
      </c>
      <c r="O111" s="11">
        <v>14848</v>
      </c>
      <c r="P111" s="11">
        <v>11014</v>
      </c>
      <c r="Q111" s="11">
        <v>5734</v>
      </c>
      <c r="R111" s="12">
        <v>0.53763985950682502</v>
      </c>
      <c r="S111" s="12">
        <v>0.39881232574139103</v>
      </c>
      <c r="T111" s="12">
        <v>0.20762573777021401</v>
      </c>
      <c r="U111" s="12">
        <v>0.138827533765434</v>
      </c>
      <c r="V111" s="12">
        <v>0.19118658797117699</v>
      </c>
      <c r="W111" s="12">
        <v>0.10649237788318799</v>
      </c>
      <c r="X111" s="12">
        <v>0.101133359887026</v>
      </c>
      <c r="Y111" s="13">
        <v>80430</v>
      </c>
      <c r="Z111" s="13">
        <v>106221</v>
      </c>
      <c r="AA111" s="13">
        <v>1300990</v>
      </c>
      <c r="AB111" s="11">
        <v>67967</v>
      </c>
      <c r="AC111" s="11">
        <v>67841</v>
      </c>
      <c r="AD111" s="12">
        <v>-1.8538408345226401E-3</v>
      </c>
      <c r="AE111" s="12">
        <v>0.40198699277819899</v>
      </c>
      <c r="AF111" s="12">
        <v>0.12592875954507299</v>
      </c>
      <c r="AG111" s="12">
        <v>7.2079097208939596E-2</v>
      </c>
      <c r="AH111" s="12">
        <v>8.4246766813306506E-2</v>
      </c>
      <c r="AI111" s="14">
        <v>0.27551605926405498</v>
      </c>
      <c r="AJ111" s="4">
        <v>61525</v>
      </c>
      <c r="AK111" s="5">
        <v>32167</v>
      </c>
      <c r="AL111" s="5">
        <v>23365</v>
      </c>
      <c r="AM111" s="5">
        <v>12339</v>
      </c>
      <c r="AN111" s="6">
        <v>0.52282811865095502</v>
      </c>
      <c r="AO111" s="6">
        <v>0.379764323445754</v>
      </c>
      <c r="AP111" s="6">
        <v>0.20055262088581899</v>
      </c>
      <c r="AQ111" s="6">
        <v>0.14306379520520099</v>
      </c>
      <c r="AR111" s="6">
        <v>0.17921170255993499</v>
      </c>
      <c r="AS111" s="6">
        <v>9.39292970337261E-2</v>
      </c>
      <c r="AT111" s="6">
        <v>0.106623323852093</v>
      </c>
      <c r="AU111" s="7">
        <v>78074</v>
      </c>
      <c r="AV111" s="7">
        <v>107112</v>
      </c>
      <c r="AW111" s="7">
        <v>1246506</v>
      </c>
      <c r="AX111" s="5">
        <v>156479</v>
      </c>
      <c r="AY111" s="5">
        <v>157022</v>
      </c>
      <c r="AZ111" s="6">
        <v>3.47011420062756E-3</v>
      </c>
      <c r="BA111" s="6">
        <v>0.38967161158015301</v>
      </c>
      <c r="BB111" s="6">
        <v>0.143910684500796</v>
      </c>
      <c r="BC111" s="6">
        <v>7.2431444474977499E-2</v>
      </c>
      <c r="BD111" s="6">
        <v>0.12749314604515599</v>
      </c>
      <c r="BE111" s="8">
        <v>0.26532633771943798</v>
      </c>
      <c r="BF111" s="10">
        <v>126673</v>
      </c>
      <c r="BG111" s="11">
        <v>59314</v>
      </c>
      <c r="BH111" s="11">
        <v>42707</v>
      </c>
      <c r="BI111" s="11">
        <v>22466</v>
      </c>
      <c r="BJ111" s="12">
        <v>0.468245008802191</v>
      </c>
      <c r="BK111" s="12">
        <v>0.33714366913233301</v>
      </c>
      <c r="BL111" s="12">
        <v>0.177354290180228</v>
      </c>
      <c r="BM111" s="12">
        <v>0.13110133966985901</v>
      </c>
      <c r="BN111" s="12">
        <v>0.15978937895210499</v>
      </c>
      <c r="BO111" s="12">
        <v>8.1769595730739802E-2</v>
      </c>
      <c r="BP111" s="12">
        <v>9.5584694449488097E-2</v>
      </c>
      <c r="BQ111" s="13">
        <v>69413</v>
      </c>
      <c r="BR111" s="13">
        <v>98738</v>
      </c>
      <c r="BS111" s="13">
        <v>1025971</v>
      </c>
      <c r="BT111" s="11">
        <v>328656</v>
      </c>
      <c r="BU111" s="11">
        <v>331240</v>
      </c>
      <c r="BV111" s="12">
        <v>7.8623241322233594E-3</v>
      </c>
      <c r="BW111" s="12">
        <v>0.36771440838670399</v>
      </c>
      <c r="BX111" s="12">
        <v>0.139577552212648</v>
      </c>
      <c r="BY111" s="12">
        <v>6.0345771870892399E-2</v>
      </c>
      <c r="BZ111" s="12">
        <v>0.24568241565649199</v>
      </c>
      <c r="CA111" s="14">
        <v>0.242490628499099</v>
      </c>
      <c r="CB111" s="86">
        <f t="shared" si="23"/>
        <v>29278653.031799793</v>
      </c>
      <c r="CC111" s="83">
        <v>12348008.229860799</v>
      </c>
      <c r="CD111" s="83">
        <v>9789156.7693936396</v>
      </c>
      <c r="CE111" s="83">
        <v>6361429.8925453499</v>
      </c>
      <c r="CF111" s="83">
        <v>780058.14000000397</v>
      </c>
      <c r="CG111" s="90">
        <f t="shared" si="24"/>
        <v>0.42174099390602166</v>
      </c>
      <c r="CH111" s="90">
        <f t="shared" si="24"/>
        <v>0.33434450549216022</v>
      </c>
      <c r="CI111" s="90">
        <f t="shared" si="17"/>
        <v>0.21727194504597416</v>
      </c>
      <c r="CK111" s="86">
        <f t="shared" si="15"/>
        <v>29605398</v>
      </c>
      <c r="CL111" s="83">
        <v>12203432</v>
      </c>
      <c r="CM111" s="83">
        <v>10184866</v>
      </c>
      <c r="CN111" s="83">
        <v>6437655</v>
      </c>
      <c r="CO111" s="83">
        <v>779445</v>
      </c>
      <c r="CP111" s="90">
        <f t="shared" si="16"/>
        <v>0.41220293677524616</v>
      </c>
      <c r="CQ111" s="90">
        <f t="shared" si="16"/>
        <v>0.34402057354540549</v>
      </c>
      <c r="CR111" s="90">
        <f t="shared" si="16"/>
        <v>0.21744868959370181</v>
      </c>
    </row>
    <row r="112" spans="1:97" ht="37.5" thickTop="1" thickBot="1" x14ac:dyDescent="0.3">
      <c r="A112" s="3" t="s">
        <v>295</v>
      </c>
      <c r="B112" s="3">
        <v>918</v>
      </c>
      <c r="C112" s="3" t="s">
        <v>133</v>
      </c>
      <c r="D112" s="16">
        <v>40773</v>
      </c>
      <c r="E112" s="16" t="s">
        <v>545</v>
      </c>
      <c r="F112" s="16" t="s">
        <v>409</v>
      </c>
      <c r="G112" s="17">
        <v>19248</v>
      </c>
      <c r="H112" s="17">
        <v>23000</v>
      </c>
      <c r="I112" s="17" t="s">
        <v>584</v>
      </c>
      <c r="J112" s="18"/>
      <c r="K112" s="18" t="s">
        <v>519</v>
      </c>
      <c r="L112" s="18"/>
      <c r="M112" s="18" t="s">
        <v>519</v>
      </c>
      <c r="N112" s="10">
        <v>33962</v>
      </c>
      <c r="O112" s="11">
        <v>19711</v>
      </c>
      <c r="P112" s="11">
        <v>15692</v>
      </c>
      <c r="Q112" s="11">
        <v>10282</v>
      </c>
      <c r="R112" s="12">
        <v>0.58038395854189995</v>
      </c>
      <c r="S112" s="12">
        <v>0.46204581591190202</v>
      </c>
      <c r="T112" s="12">
        <v>0.302750132501031</v>
      </c>
      <c r="U112" s="12">
        <v>0.11833814262999801</v>
      </c>
      <c r="V112" s="12">
        <v>0.159295683410871</v>
      </c>
      <c r="W112" s="12">
        <v>0.103203580472293</v>
      </c>
      <c r="X112" s="12">
        <v>0.199546552028738</v>
      </c>
      <c r="Y112" s="13">
        <v>90524</v>
      </c>
      <c r="Z112" s="13">
        <v>140278</v>
      </c>
      <c r="AA112" s="13">
        <v>1970501</v>
      </c>
      <c r="AB112" s="11">
        <v>100313</v>
      </c>
      <c r="AC112" s="11">
        <v>103172</v>
      </c>
      <c r="AD112" s="12">
        <v>2.85007925194142E-2</v>
      </c>
      <c r="AE112" s="12">
        <v>0.474882674738274</v>
      </c>
      <c r="AF112" s="12">
        <v>0.54827390268459697</v>
      </c>
      <c r="AG112" s="12">
        <v>3.43624455454428E-2</v>
      </c>
      <c r="AH112" s="12">
        <v>0.148445366004406</v>
      </c>
      <c r="AI112" s="14">
        <v>0.28661290161793601</v>
      </c>
      <c r="AJ112" s="4">
        <v>95855</v>
      </c>
      <c r="AK112" s="5">
        <v>49208</v>
      </c>
      <c r="AL112" s="5">
        <v>36811</v>
      </c>
      <c r="AM112" s="5">
        <v>21328</v>
      </c>
      <c r="AN112" s="6">
        <v>0.51335871889833595</v>
      </c>
      <c r="AO112" s="6">
        <v>0.38402795889625002</v>
      </c>
      <c r="AP112" s="6">
        <v>0.22250273851129301</v>
      </c>
      <c r="AQ112" s="6">
        <v>0.12933076000208599</v>
      </c>
      <c r="AR112" s="6">
        <v>0.16152522038495601</v>
      </c>
      <c r="AS112" s="6">
        <v>8.5003390537791504E-2</v>
      </c>
      <c r="AT112" s="6">
        <v>0.137499347973502</v>
      </c>
      <c r="AU112" s="7">
        <v>76987</v>
      </c>
      <c r="AV112" s="7">
        <v>114593</v>
      </c>
      <c r="AW112" s="7">
        <v>1309505</v>
      </c>
      <c r="AX112" s="5">
        <v>274650</v>
      </c>
      <c r="AY112" s="5">
        <v>283542</v>
      </c>
      <c r="AZ112" s="6">
        <v>3.2375750955761902E-2</v>
      </c>
      <c r="BA112" s="6">
        <v>0.42435878748888001</v>
      </c>
      <c r="BB112" s="6">
        <v>0.64496632077189198</v>
      </c>
      <c r="BC112" s="6">
        <v>3.03149462952849E-2</v>
      </c>
      <c r="BD112" s="6">
        <v>0.109036956125979</v>
      </c>
      <c r="BE112" s="8">
        <v>0.26947751683961402</v>
      </c>
      <c r="BF112" s="10">
        <v>192537</v>
      </c>
      <c r="BG112" s="11">
        <v>90808</v>
      </c>
      <c r="BH112" s="11">
        <v>66100</v>
      </c>
      <c r="BI112" s="11">
        <v>34580</v>
      </c>
      <c r="BJ112" s="12">
        <v>0.47163921739717601</v>
      </c>
      <c r="BK112" s="12">
        <v>0.34331063639715997</v>
      </c>
      <c r="BL112" s="12">
        <v>0.17960184276269001</v>
      </c>
      <c r="BM112" s="12">
        <v>0.12832858100001601</v>
      </c>
      <c r="BN112" s="12">
        <v>0.16370879363447</v>
      </c>
      <c r="BO112" s="12">
        <v>7.5652991373086703E-2</v>
      </c>
      <c r="BP112" s="12">
        <v>0.103948851389603</v>
      </c>
      <c r="BQ112" s="13">
        <v>69811</v>
      </c>
      <c r="BR112" s="13">
        <v>101969</v>
      </c>
      <c r="BS112" s="13">
        <v>1023952</v>
      </c>
      <c r="BT112" s="11">
        <v>581941</v>
      </c>
      <c r="BU112" s="11">
        <v>601674</v>
      </c>
      <c r="BV112" s="12">
        <v>3.39089357855865E-2</v>
      </c>
      <c r="BW112" s="12">
        <v>0.37099493692198499</v>
      </c>
      <c r="BX112" s="12">
        <v>0.72124150042701896</v>
      </c>
      <c r="BY112" s="12">
        <v>2.3402716082901901E-2</v>
      </c>
      <c r="BZ112" s="12">
        <v>9.4179650514399194E-2</v>
      </c>
      <c r="CA112" s="14">
        <v>0.256460706497738</v>
      </c>
      <c r="CB112" s="86">
        <f t="shared" si="23"/>
        <v>30226844.523213331</v>
      </c>
      <c r="CC112" s="83">
        <v>13100591.456547201</v>
      </c>
      <c r="CD112" s="83">
        <v>13067650.059999499</v>
      </c>
      <c r="CE112" s="83">
        <v>2524744.0566666299</v>
      </c>
      <c r="CF112" s="83">
        <v>1533858.95</v>
      </c>
      <c r="CG112" s="90">
        <f t="shared" si="24"/>
        <v>0.43340916536909202</v>
      </c>
      <c r="CH112" s="90">
        <f t="shared" si="24"/>
        <v>0.43231935936825716</v>
      </c>
      <c r="CI112" s="90">
        <f t="shared" si="17"/>
        <v>8.3526550537807553E-2</v>
      </c>
      <c r="CK112" s="86">
        <f t="shared" si="15"/>
        <v>28535091</v>
      </c>
      <c r="CL112" s="83">
        <v>12085956</v>
      </c>
      <c r="CM112" s="83">
        <v>12514789</v>
      </c>
      <c r="CN112" s="83">
        <v>2465323</v>
      </c>
      <c r="CO112" s="83">
        <v>1469023</v>
      </c>
      <c r="CP112" s="90">
        <f t="shared" si="16"/>
        <v>0.42354713359771656</v>
      </c>
      <c r="CQ112" s="90">
        <f t="shared" si="16"/>
        <v>0.43857540177460796</v>
      </c>
      <c r="CR112" s="90">
        <f t="shared" si="16"/>
        <v>8.6396184963979966E-2</v>
      </c>
    </row>
    <row r="113" spans="1:96" ht="37.5" thickTop="1" thickBot="1" x14ac:dyDescent="0.3">
      <c r="A113" s="3" t="s">
        <v>295</v>
      </c>
      <c r="B113" s="3">
        <v>914</v>
      </c>
      <c r="C113" s="3" t="s">
        <v>129</v>
      </c>
      <c r="D113" s="16">
        <v>39722</v>
      </c>
      <c r="E113" s="16" t="s">
        <v>543</v>
      </c>
      <c r="F113" s="16" t="s">
        <v>405</v>
      </c>
      <c r="G113" s="17">
        <v>17697</v>
      </c>
      <c r="H113" s="17">
        <v>20142</v>
      </c>
      <c r="I113" s="17" t="s">
        <v>584</v>
      </c>
      <c r="J113" s="18"/>
      <c r="K113" s="18" t="s">
        <v>598</v>
      </c>
      <c r="L113" s="18"/>
      <c r="M113" s="18" t="s">
        <v>598</v>
      </c>
      <c r="N113" s="10">
        <v>19752</v>
      </c>
      <c r="O113" s="11">
        <v>10685</v>
      </c>
      <c r="P113" s="11">
        <v>7721</v>
      </c>
      <c r="Q113" s="11">
        <v>4127</v>
      </c>
      <c r="R113" s="12">
        <v>0.54095787768327297</v>
      </c>
      <c r="S113" s="12">
        <v>0.39089712434183899</v>
      </c>
      <c r="T113" s="12">
        <v>0.20894086674767101</v>
      </c>
      <c r="U113" s="12">
        <v>0.15006075334143401</v>
      </c>
      <c r="V113" s="12">
        <v>0.181956257594168</v>
      </c>
      <c r="W113" s="12">
        <v>8.22701498582422E-2</v>
      </c>
      <c r="X113" s="12">
        <v>0.12667071688942899</v>
      </c>
      <c r="Y113" s="13">
        <v>80419</v>
      </c>
      <c r="Z113" s="13">
        <v>114735</v>
      </c>
      <c r="AA113" s="13">
        <v>1784169</v>
      </c>
      <c r="AB113" s="11">
        <v>41889</v>
      </c>
      <c r="AC113" s="11">
        <v>44707</v>
      </c>
      <c r="AD113" s="12">
        <v>6.7273031106018302E-2</v>
      </c>
      <c r="AE113" s="12">
        <v>0.49720181881776798</v>
      </c>
      <c r="AF113" s="12">
        <v>8.9426818496502705E-2</v>
      </c>
      <c r="AG113" s="12">
        <v>3.0318221967581001E-2</v>
      </c>
      <c r="AH113" s="12">
        <v>3.3182935854281601E-2</v>
      </c>
      <c r="AI113" s="14">
        <v>0.31709995464203</v>
      </c>
      <c r="AJ113" s="4">
        <v>53078</v>
      </c>
      <c r="AK113" s="5">
        <v>26496</v>
      </c>
      <c r="AL113" s="5">
        <v>18828</v>
      </c>
      <c r="AM113" s="5">
        <v>9048</v>
      </c>
      <c r="AN113" s="6">
        <v>0.499189871509853</v>
      </c>
      <c r="AO113" s="6">
        <v>0.354723237499529</v>
      </c>
      <c r="AP113" s="6">
        <v>0.17046610648479599</v>
      </c>
      <c r="AQ113" s="6">
        <v>0.144466634010324</v>
      </c>
      <c r="AR113" s="6">
        <v>0.18425713101473301</v>
      </c>
      <c r="AS113" s="6">
        <v>7.1856513056256802E-2</v>
      </c>
      <c r="AT113" s="6">
        <v>9.8609593428539102E-2</v>
      </c>
      <c r="AU113" s="7">
        <v>74843</v>
      </c>
      <c r="AV113" s="7">
        <v>102060</v>
      </c>
      <c r="AW113" s="7">
        <v>1374467</v>
      </c>
      <c r="AX113" s="5">
        <v>121757</v>
      </c>
      <c r="AY113" s="5">
        <v>130507</v>
      </c>
      <c r="AZ113" s="6">
        <v>7.1864451325180503E-2</v>
      </c>
      <c r="BA113" s="6">
        <v>0.40749655391792999</v>
      </c>
      <c r="BB113" s="6">
        <v>0.14478017690974601</v>
      </c>
      <c r="BC113" s="6">
        <v>3.2844107525645302E-2</v>
      </c>
      <c r="BD113" s="6">
        <v>5.53561602207676E-2</v>
      </c>
      <c r="BE113" s="8">
        <v>0.29383936857839799</v>
      </c>
      <c r="BF113" s="10">
        <v>108559</v>
      </c>
      <c r="BG113" s="11">
        <v>51303</v>
      </c>
      <c r="BH113" s="11">
        <v>35822</v>
      </c>
      <c r="BI113" s="11">
        <v>16762</v>
      </c>
      <c r="BJ113" s="12">
        <v>0.472581729750642</v>
      </c>
      <c r="BK113" s="12">
        <v>0.329977247395426</v>
      </c>
      <c r="BL113" s="12">
        <v>0.154404517359224</v>
      </c>
      <c r="BM113" s="12">
        <v>0.142604482355217</v>
      </c>
      <c r="BN113" s="12">
        <v>0.175572730036202</v>
      </c>
      <c r="BO113" s="12">
        <v>6.0778010114315703E-2</v>
      </c>
      <c r="BP113" s="12">
        <v>9.36265072449083E-2</v>
      </c>
      <c r="BQ113" s="13">
        <v>69854</v>
      </c>
      <c r="BR113" s="13">
        <v>97647</v>
      </c>
      <c r="BS113" s="13">
        <v>1313071</v>
      </c>
      <c r="BT113" s="11">
        <v>252975</v>
      </c>
      <c r="BU113" s="11">
        <v>271837</v>
      </c>
      <c r="BV113" s="12">
        <v>7.4560727344599301E-2</v>
      </c>
      <c r="BW113" s="12">
        <v>0.36741908182643901</v>
      </c>
      <c r="BX113" s="12">
        <v>0.151003063543828</v>
      </c>
      <c r="BY113" s="12">
        <v>2.7382152386599499E-2</v>
      </c>
      <c r="BZ113" s="12">
        <v>7.5252495305860298E-2</v>
      </c>
      <c r="CA113" s="14">
        <v>0.29060974404585399</v>
      </c>
      <c r="CB113" s="86">
        <f t="shared" si="23"/>
        <v>30879801.58694322</v>
      </c>
      <c r="CC113" s="83">
        <v>14412597.8369439</v>
      </c>
      <c r="CD113" s="83">
        <v>11647000.059999401</v>
      </c>
      <c r="CE113" s="83">
        <v>3329513.2299999199</v>
      </c>
      <c r="CF113" s="83">
        <v>1490690.46</v>
      </c>
      <c r="CG113" s="90">
        <f t="shared" si="24"/>
        <v>0.46673220345554034</v>
      </c>
      <c r="CH113" s="90">
        <f t="shared" si="24"/>
        <v>0.37717211450361304</v>
      </c>
      <c r="CI113" s="90">
        <f t="shared" si="17"/>
        <v>0.10782171707371735</v>
      </c>
      <c r="CK113" s="86">
        <f t="shared" si="15"/>
        <v>31831568</v>
      </c>
      <c r="CL113" s="83">
        <v>14713930</v>
      </c>
      <c r="CM113" s="83">
        <v>12250346</v>
      </c>
      <c r="CN113" s="83">
        <v>3393089</v>
      </c>
      <c r="CO113" s="83">
        <v>1474203</v>
      </c>
      <c r="CP113" s="90">
        <f t="shared" si="16"/>
        <v>0.46224333026887021</v>
      </c>
      <c r="CQ113" s="90">
        <f t="shared" si="16"/>
        <v>0.38484896502742183</v>
      </c>
      <c r="CR113" s="90">
        <f t="shared" si="16"/>
        <v>0.10659509453005897</v>
      </c>
    </row>
    <row r="114" spans="1:96" ht="49.5" thickTop="1" thickBot="1" x14ac:dyDescent="0.3">
      <c r="A114" s="3" t="s">
        <v>298</v>
      </c>
      <c r="B114" s="3">
        <v>1204</v>
      </c>
      <c r="C114" s="3" t="s">
        <v>208</v>
      </c>
      <c r="D114" s="16">
        <v>42236</v>
      </c>
      <c r="E114" s="16" t="s">
        <v>558</v>
      </c>
      <c r="F114" s="16" t="s">
        <v>466</v>
      </c>
      <c r="G114" s="17">
        <v>22638</v>
      </c>
      <c r="H114" s="17">
        <v>35076</v>
      </c>
      <c r="I114" s="17" t="s">
        <v>585</v>
      </c>
      <c r="J114" s="18"/>
      <c r="K114" s="18" t="s">
        <v>598</v>
      </c>
      <c r="L114" s="18"/>
      <c r="M114" s="18" t="s">
        <v>598</v>
      </c>
      <c r="N114" s="10">
        <v>44517</v>
      </c>
      <c r="O114" s="11">
        <v>24130</v>
      </c>
      <c r="P114" s="11">
        <v>17145</v>
      </c>
      <c r="Q114" s="11">
        <v>8367</v>
      </c>
      <c r="R114" s="12">
        <v>0.54204011950490805</v>
      </c>
      <c r="S114" s="12">
        <v>0.385133769121908</v>
      </c>
      <c r="T114" s="12">
        <v>0.18795067053035899</v>
      </c>
      <c r="U114" s="12">
        <v>0.15690635038299999</v>
      </c>
      <c r="V114" s="12">
        <v>0.19718309859154901</v>
      </c>
      <c r="W114" s="12">
        <v>9.5940876519082605E-2</v>
      </c>
      <c r="X114" s="12">
        <v>9.2009794011276597E-2</v>
      </c>
      <c r="Y114" s="13">
        <v>80276</v>
      </c>
      <c r="Z114" s="13">
        <v>102639</v>
      </c>
      <c r="AA114" s="13">
        <v>1151672</v>
      </c>
      <c r="AB114" s="11">
        <v>122833</v>
      </c>
      <c r="AC114" s="11">
        <v>133440</v>
      </c>
      <c r="AD114" s="12">
        <v>8.6353015883353798E-2</v>
      </c>
      <c r="AE114" s="12">
        <v>0.29538881748071999</v>
      </c>
      <c r="AF114" s="12">
        <v>0.19958805858360501</v>
      </c>
      <c r="AG114" s="12">
        <v>6.7205067042244396E-2</v>
      </c>
      <c r="AH114" s="12">
        <v>0.12687958447648401</v>
      </c>
      <c r="AI114" s="14">
        <v>0.258228651909503</v>
      </c>
      <c r="AJ114" s="4">
        <v>130136</v>
      </c>
      <c r="AK114" s="5">
        <v>67011</v>
      </c>
      <c r="AL114" s="5">
        <v>46752</v>
      </c>
      <c r="AM114" s="5">
        <v>20746</v>
      </c>
      <c r="AN114" s="6">
        <v>0.51493053421036405</v>
      </c>
      <c r="AO114" s="6">
        <v>0.35925493330054697</v>
      </c>
      <c r="AP114" s="6">
        <v>0.15941783979836499</v>
      </c>
      <c r="AQ114" s="6">
        <v>0.155675600909817</v>
      </c>
      <c r="AR114" s="6">
        <v>0.19983709350218201</v>
      </c>
      <c r="AS114" s="6">
        <v>8.7331714514046796E-2</v>
      </c>
      <c r="AT114" s="6">
        <v>7.2086125284317903E-2</v>
      </c>
      <c r="AU114" s="7">
        <v>76784</v>
      </c>
      <c r="AV114" s="7">
        <v>95578</v>
      </c>
      <c r="AW114" s="7">
        <v>884916</v>
      </c>
      <c r="AX114" s="5">
        <v>359067</v>
      </c>
      <c r="AY114" s="5">
        <v>391871</v>
      </c>
      <c r="AZ114" s="6">
        <v>9.1358994282404099E-2</v>
      </c>
      <c r="BA114" s="6">
        <v>0.29372242766316298</v>
      </c>
      <c r="BB114" s="6">
        <v>0.23003506309407401</v>
      </c>
      <c r="BC114" s="6">
        <v>7.2824848844366102E-2</v>
      </c>
      <c r="BD114" s="6">
        <v>0.15067104467968401</v>
      </c>
      <c r="BE114" s="8">
        <v>0.23007126803632699</v>
      </c>
      <c r="BF114" s="10">
        <v>201686</v>
      </c>
      <c r="BG114" s="11">
        <v>95042</v>
      </c>
      <c r="BH114" s="11">
        <v>64634</v>
      </c>
      <c r="BI114" s="11">
        <v>27672</v>
      </c>
      <c r="BJ114" s="12">
        <v>0.47123746814355</v>
      </c>
      <c r="BK114" s="12">
        <v>0.32046845095842103</v>
      </c>
      <c r="BL114" s="12">
        <v>0.13720337554416301</v>
      </c>
      <c r="BM114" s="12">
        <v>0.150769017185129</v>
      </c>
      <c r="BN114" s="12">
        <v>0.18326507541425799</v>
      </c>
      <c r="BO114" s="12">
        <v>7.3906964291026597E-2</v>
      </c>
      <c r="BP114" s="12">
        <v>6.3296411253136106E-2</v>
      </c>
      <c r="BQ114" s="13">
        <v>70025</v>
      </c>
      <c r="BR114" s="13">
        <v>89624</v>
      </c>
      <c r="BS114" s="13">
        <v>781294</v>
      </c>
      <c r="BT114" s="11">
        <v>566412</v>
      </c>
      <c r="BU114" s="11">
        <v>613810</v>
      </c>
      <c r="BV114" s="12">
        <v>8.3681136699081199E-2</v>
      </c>
      <c r="BW114" s="12">
        <v>0.27000259605399801</v>
      </c>
      <c r="BX114" s="12">
        <v>0.278175603624217</v>
      </c>
      <c r="BY114" s="12">
        <v>7.1919380239119202E-2</v>
      </c>
      <c r="BZ114" s="12">
        <v>0.166363000783882</v>
      </c>
      <c r="CA114" s="14">
        <v>0.226195772688432</v>
      </c>
      <c r="CB114" s="86">
        <f t="shared" si="23"/>
        <v>18323613.575245481</v>
      </c>
      <c r="CC114" s="83">
        <v>5545442.9919125503</v>
      </c>
      <c r="CD114" s="83">
        <v>8882137.76333295</v>
      </c>
      <c r="CE114" s="83">
        <v>2537315.1699999701</v>
      </c>
      <c r="CF114" s="83">
        <v>1358717.6500000099</v>
      </c>
      <c r="CG114" s="90">
        <f t="shared" si="24"/>
        <v>0.30263915843566125</v>
      </c>
      <c r="CH114" s="90">
        <f t="shared" si="24"/>
        <v>0.48473723410825403</v>
      </c>
      <c r="CI114" s="90">
        <f t="shared" si="17"/>
        <v>0.13847242300655085</v>
      </c>
      <c r="CK114" s="86">
        <f t="shared" si="15"/>
        <v>18272431</v>
      </c>
      <c r="CL114" s="83">
        <v>5405037</v>
      </c>
      <c r="CM114" s="83">
        <v>8977145</v>
      </c>
      <c r="CN114" s="83">
        <v>2504822</v>
      </c>
      <c r="CO114" s="83">
        <v>1385427</v>
      </c>
      <c r="CP114" s="90">
        <f t="shared" si="16"/>
        <v>0.29580284090277864</v>
      </c>
      <c r="CQ114" s="90">
        <f t="shared" si="16"/>
        <v>0.49129450810349207</v>
      </c>
      <c r="CR114" s="90">
        <f t="shared" si="16"/>
        <v>0.13708203358381815</v>
      </c>
    </row>
    <row r="115" spans="1:96" ht="49.5" thickTop="1" thickBot="1" x14ac:dyDescent="0.3">
      <c r="A115" s="3" t="s">
        <v>291</v>
      </c>
      <c r="B115" s="3">
        <v>507</v>
      </c>
      <c r="C115" s="3" t="s">
        <v>62</v>
      </c>
      <c r="D115" s="16">
        <v>41781</v>
      </c>
      <c r="E115" s="16" t="s">
        <v>529</v>
      </c>
      <c r="F115" s="16" t="s">
        <v>665</v>
      </c>
      <c r="G115" s="17">
        <v>21285</v>
      </c>
      <c r="H115" s="17">
        <v>27008</v>
      </c>
      <c r="I115" s="17" t="s">
        <v>585</v>
      </c>
      <c r="J115" s="18"/>
      <c r="K115" s="18" t="s">
        <v>598</v>
      </c>
      <c r="L115" s="18" t="s">
        <v>587</v>
      </c>
      <c r="M115" s="18" t="s">
        <v>598</v>
      </c>
      <c r="N115" s="10">
        <v>38536</v>
      </c>
      <c r="O115" s="11">
        <v>19369</v>
      </c>
      <c r="P115" s="11">
        <v>13760</v>
      </c>
      <c r="Q115" s="11">
        <v>7107</v>
      </c>
      <c r="R115" s="12">
        <v>0.50262092588748197</v>
      </c>
      <c r="S115" s="12">
        <v>0.357068714967822</v>
      </c>
      <c r="T115" s="12">
        <v>0.18442495329042999</v>
      </c>
      <c r="U115" s="12">
        <v>0.14555221091966</v>
      </c>
      <c r="V115" s="12">
        <v>0.17264376167739301</v>
      </c>
      <c r="W115" s="12">
        <v>8.3506331741747999E-2</v>
      </c>
      <c r="X115" s="12">
        <v>0.100918621548682</v>
      </c>
      <c r="Y115" s="13">
        <v>75329</v>
      </c>
      <c r="Z115" s="13">
        <v>102785</v>
      </c>
      <c r="AA115" s="13">
        <v>818143</v>
      </c>
      <c r="AB115" s="11">
        <v>99838</v>
      </c>
      <c r="AC115" s="11">
        <v>108979</v>
      </c>
      <c r="AD115" s="12">
        <v>9.1558324485666795E-2</v>
      </c>
      <c r="AE115" s="12">
        <v>0.46932647593236998</v>
      </c>
      <c r="AF115" s="12">
        <v>0.26392756265149497</v>
      </c>
      <c r="AG115" s="12">
        <v>0.17979126184418801</v>
      </c>
      <c r="AH115" s="12">
        <v>0.13388689677277199</v>
      </c>
      <c r="AI115" s="14">
        <v>0.19990384422764901</v>
      </c>
      <c r="AJ115" s="4">
        <v>87469</v>
      </c>
      <c r="AK115" s="5">
        <v>50023</v>
      </c>
      <c r="AL115" s="5">
        <v>37095</v>
      </c>
      <c r="AM115" s="5">
        <v>20010</v>
      </c>
      <c r="AN115" s="6">
        <v>0.57189404246075703</v>
      </c>
      <c r="AO115" s="6">
        <v>0.42409310727229099</v>
      </c>
      <c r="AP115" s="6">
        <v>0.22876676308177801</v>
      </c>
      <c r="AQ115" s="6">
        <v>0.14780093518846699</v>
      </c>
      <c r="AR115" s="6">
        <v>0.19532634419051301</v>
      </c>
      <c r="AS115" s="6">
        <v>0.10228766763081799</v>
      </c>
      <c r="AT115" s="6">
        <v>0.12647909545096001</v>
      </c>
      <c r="AU115" s="7">
        <v>85349</v>
      </c>
      <c r="AV115" s="7">
        <v>113539</v>
      </c>
      <c r="AW115" s="7">
        <v>1118838</v>
      </c>
      <c r="AX115" s="5">
        <v>233223</v>
      </c>
      <c r="AY115" s="5">
        <v>255270</v>
      </c>
      <c r="AZ115" s="6">
        <v>9.4531842914292299E-2</v>
      </c>
      <c r="BA115" s="6">
        <v>0.501503802979269</v>
      </c>
      <c r="BB115" s="6">
        <v>0.22115743301475399</v>
      </c>
      <c r="BC115" s="6">
        <v>0.20297740788858701</v>
      </c>
      <c r="BD115" s="6">
        <v>0.112497480951707</v>
      </c>
      <c r="BE115" s="8">
        <v>0.22764478632038901</v>
      </c>
      <c r="BF115" s="10">
        <v>159638</v>
      </c>
      <c r="BG115" s="11">
        <v>93875</v>
      </c>
      <c r="BH115" s="11">
        <v>70978</v>
      </c>
      <c r="BI115" s="11">
        <v>38875</v>
      </c>
      <c r="BJ115" s="12">
        <v>0.58804921134065802</v>
      </c>
      <c r="BK115" s="12">
        <v>0.44461844924140898</v>
      </c>
      <c r="BL115" s="12">
        <v>0.243519713351458</v>
      </c>
      <c r="BM115" s="12">
        <v>0.14343076209924999</v>
      </c>
      <c r="BN115" s="12">
        <v>0.201098735889951</v>
      </c>
      <c r="BO115" s="12">
        <v>0.10937245517984399</v>
      </c>
      <c r="BP115" s="12">
        <v>0.13414725817161299</v>
      </c>
      <c r="BQ115" s="13">
        <v>88622</v>
      </c>
      <c r="BR115" s="13">
        <v>117261</v>
      </c>
      <c r="BS115" s="13">
        <v>1163860</v>
      </c>
      <c r="BT115" s="11">
        <v>429296</v>
      </c>
      <c r="BU115" s="11">
        <v>470133</v>
      </c>
      <c r="BV115" s="12">
        <v>9.5125507808132406E-2</v>
      </c>
      <c r="BW115" s="12">
        <v>0.48847356555886801</v>
      </c>
      <c r="BX115" s="12">
        <v>0.23191690581789701</v>
      </c>
      <c r="BY115" s="12">
        <v>0.19298805486191301</v>
      </c>
      <c r="BZ115" s="12">
        <v>0.104403488502106</v>
      </c>
      <c r="CA115" s="14">
        <v>0.231683966307629</v>
      </c>
      <c r="CB115" s="86">
        <f t="shared" si="23"/>
        <v>21724141.094999246</v>
      </c>
      <c r="CC115" s="83">
        <v>5753772.6199998502</v>
      </c>
      <c r="CD115" s="83">
        <v>12848962.8399994</v>
      </c>
      <c r="CE115" s="83">
        <v>2091176.89499999</v>
      </c>
      <c r="CF115" s="83">
        <v>1030228.74000001</v>
      </c>
      <c r="CG115" s="90">
        <f t="shared" si="24"/>
        <v>0.26485616139384821</v>
      </c>
      <c r="CH115" s="90">
        <f t="shared" si="24"/>
        <v>0.59146010808027505</v>
      </c>
      <c r="CI115" s="90">
        <f t="shared" si="17"/>
        <v>9.6260509718442452E-2</v>
      </c>
      <c r="CK115" s="86">
        <f t="shared" si="15"/>
        <v>21388777</v>
      </c>
      <c r="CL115" s="83">
        <v>5540350</v>
      </c>
      <c r="CM115" s="83">
        <v>12815399</v>
      </c>
      <c r="CN115" s="83">
        <v>2081842</v>
      </c>
      <c r="CO115" s="83">
        <v>951186</v>
      </c>
      <c r="CP115" s="90">
        <f t="shared" si="16"/>
        <v>0.25903070568270453</v>
      </c>
      <c r="CQ115" s="90">
        <f t="shared" si="16"/>
        <v>0.59916464601973274</v>
      </c>
      <c r="CR115" s="90">
        <f t="shared" si="16"/>
        <v>9.7333381894626328E-2</v>
      </c>
    </row>
    <row r="116" spans="1:96" ht="49.5" thickTop="1" thickBot="1" x14ac:dyDescent="0.3">
      <c r="A116" s="3" t="s">
        <v>291</v>
      </c>
      <c r="B116" s="3">
        <v>504</v>
      </c>
      <c r="C116" s="3" t="s">
        <v>59</v>
      </c>
      <c r="D116" s="16">
        <v>41914</v>
      </c>
      <c r="E116" s="16" t="s">
        <v>530</v>
      </c>
      <c r="F116" s="16" t="s">
        <v>342</v>
      </c>
      <c r="G116" s="17">
        <v>21703</v>
      </c>
      <c r="H116" s="17">
        <v>26436</v>
      </c>
      <c r="I116" s="17" t="s">
        <v>585</v>
      </c>
      <c r="J116" s="18"/>
      <c r="K116" s="18" t="s">
        <v>598</v>
      </c>
      <c r="L116" s="18"/>
      <c r="M116" s="18" t="s">
        <v>598</v>
      </c>
      <c r="N116" s="10">
        <v>21539</v>
      </c>
      <c r="O116" s="11">
        <v>9974</v>
      </c>
      <c r="P116" s="11">
        <v>7744</v>
      </c>
      <c r="Q116" s="11">
        <v>4135</v>
      </c>
      <c r="R116" s="12">
        <v>0.463066994753703</v>
      </c>
      <c r="S116" s="12">
        <v>0.35953386879613702</v>
      </c>
      <c r="T116" s="12">
        <v>0.19197734342355699</v>
      </c>
      <c r="U116" s="12">
        <v>0.103533125957565</v>
      </c>
      <c r="V116" s="12">
        <v>0.16755652537258001</v>
      </c>
      <c r="W116" s="12">
        <v>8.8815636751938307E-2</v>
      </c>
      <c r="X116" s="12">
        <v>0.103161706671619</v>
      </c>
      <c r="Y116" s="13">
        <v>68493</v>
      </c>
      <c r="Z116" s="13">
        <v>100884</v>
      </c>
      <c r="AA116" s="13">
        <v>675040</v>
      </c>
      <c r="AB116" s="11">
        <v>51236</v>
      </c>
      <c r="AC116" s="11">
        <v>58547</v>
      </c>
      <c r="AD116" s="12">
        <v>0.14269263798891399</v>
      </c>
      <c r="AE116" s="12">
        <v>0.54040125757624902</v>
      </c>
      <c r="AF116" s="12">
        <v>0.40924350066359599</v>
      </c>
      <c r="AG116" s="12">
        <v>9.2142243734873897E-2</v>
      </c>
      <c r="AH116" s="12">
        <v>6.23194628776641E-2</v>
      </c>
      <c r="AI116" s="14">
        <v>0.174467171520025</v>
      </c>
      <c r="AJ116" s="4">
        <v>62754</v>
      </c>
      <c r="AK116" s="5">
        <v>32633</v>
      </c>
      <c r="AL116" s="5">
        <v>24692</v>
      </c>
      <c r="AM116" s="5">
        <v>14252</v>
      </c>
      <c r="AN116" s="6">
        <v>0.52001466042005295</v>
      </c>
      <c r="AO116" s="6">
        <v>0.39347292602862</v>
      </c>
      <c r="AP116" s="6">
        <v>0.22710902890652401</v>
      </c>
      <c r="AQ116" s="6">
        <v>0.12654173439143299</v>
      </c>
      <c r="AR116" s="6">
        <v>0.16636389712209601</v>
      </c>
      <c r="AS116" s="6">
        <v>9.7953915288268495E-2</v>
      </c>
      <c r="AT116" s="6">
        <v>0.12915511361825499</v>
      </c>
      <c r="AU116" s="7">
        <v>78101</v>
      </c>
      <c r="AV116" s="7">
        <v>112184</v>
      </c>
      <c r="AW116" s="7">
        <v>1087999</v>
      </c>
      <c r="AX116" s="5">
        <v>156244</v>
      </c>
      <c r="AY116" s="5">
        <v>169541</v>
      </c>
      <c r="AZ116" s="6">
        <v>8.5104067996210994E-2</v>
      </c>
      <c r="BA116" s="6">
        <v>0.53511917925444497</v>
      </c>
      <c r="BB116" s="6">
        <v>0.42973170169734498</v>
      </c>
      <c r="BC116" s="6">
        <v>7.7186963979416795E-2</v>
      </c>
      <c r="BD116" s="6">
        <v>4.8635467601955903E-2</v>
      </c>
      <c r="BE116" s="8">
        <v>0.215649880955429</v>
      </c>
      <c r="BF116" s="10">
        <v>139690</v>
      </c>
      <c r="BG116" s="11">
        <v>66175</v>
      </c>
      <c r="BH116" s="11">
        <v>48388</v>
      </c>
      <c r="BI116" s="11">
        <v>25576</v>
      </c>
      <c r="BJ116" s="12">
        <v>0.47372753955186497</v>
      </c>
      <c r="BK116" s="12">
        <v>0.34639559023552202</v>
      </c>
      <c r="BL116" s="12">
        <v>0.18309113036008301</v>
      </c>
      <c r="BM116" s="12">
        <v>0.12733194931634301</v>
      </c>
      <c r="BN116" s="12">
        <v>0.16330445987543801</v>
      </c>
      <c r="BO116" s="12">
        <v>8.6570262724604496E-2</v>
      </c>
      <c r="BP116" s="12">
        <v>9.6520867635478597E-2</v>
      </c>
      <c r="BQ116" s="13">
        <v>70222</v>
      </c>
      <c r="BR116" s="13">
        <v>99407</v>
      </c>
      <c r="BS116" s="13">
        <v>916660</v>
      </c>
      <c r="BT116" s="11">
        <v>338241</v>
      </c>
      <c r="BU116" s="11">
        <v>363101</v>
      </c>
      <c r="BV116" s="12">
        <v>7.3497890557324502E-2</v>
      </c>
      <c r="BW116" s="12">
        <v>0.49265918874568498</v>
      </c>
      <c r="BX116" s="12">
        <v>0.44990110601612499</v>
      </c>
      <c r="BY116" s="12">
        <v>7.3196330427121495E-2</v>
      </c>
      <c r="BZ116" s="12">
        <v>5.3840309128698201E-2</v>
      </c>
      <c r="CA116" s="14">
        <v>0.214636900907932</v>
      </c>
      <c r="CB116" s="86">
        <f t="shared" si="23"/>
        <v>22036625.814665817</v>
      </c>
      <c r="CC116" s="83">
        <v>7218706.9983331095</v>
      </c>
      <c r="CD116" s="83">
        <v>11722925.303332699</v>
      </c>
      <c r="CE116" s="83">
        <v>1929640.845</v>
      </c>
      <c r="CF116" s="83">
        <v>1165352.6680000101</v>
      </c>
      <c r="CG116" s="90">
        <f t="shared" si="24"/>
        <v>0.32757769084271127</v>
      </c>
      <c r="CH116" s="90">
        <f t="shared" si="24"/>
        <v>0.53197460454816348</v>
      </c>
      <c r="CI116" s="90">
        <f t="shared" si="17"/>
        <v>8.7565168153637449E-2</v>
      </c>
      <c r="CK116" s="86">
        <f t="shared" si="15"/>
        <v>21118215</v>
      </c>
      <c r="CL116" s="83">
        <v>6727509</v>
      </c>
      <c r="CM116" s="83">
        <v>11457831</v>
      </c>
      <c r="CN116" s="83">
        <v>1868189</v>
      </c>
      <c r="CO116" s="83">
        <v>1064686</v>
      </c>
      <c r="CP116" s="90">
        <f t="shared" si="16"/>
        <v>0.31856428206645304</v>
      </c>
      <c r="CQ116" s="90">
        <f t="shared" si="16"/>
        <v>0.54255679279711855</v>
      </c>
      <c r="CR116" s="90">
        <f t="shared" si="16"/>
        <v>8.8463395225401392E-2</v>
      </c>
    </row>
    <row r="117" spans="1:96" ht="49.5" thickTop="1" thickBot="1" x14ac:dyDescent="0.3">
      <c r="A117" s="3" t="s">
        <v>289</v>
      </c>
      <c r="B117" s="3">
        <v>302</v>
      </c>
      <c r="C117" s="3" t="s">
        <v>49</v>
      </c>
      <c r="D117" s="16">
        <v>35977</v>
      </c>
      <c r="E117" s="16" t="s">
        <v>525</v>
      </c>
      <c r="F117" s="16" t="s">
        <v>334</v>
      </c>
      <c r="G117" s="17">
        <v>18794</v>
      </c>
      <c r="H117" s="17">
        <v>21736</v>
      </c>
      <c r="I117" s="17" t="s">
        <v>584</v>
      </c>
      <c r="J117" s="18"/>
      <c r="K117" s="18" t="s">
        <v>598</v>
      </c>
      <c r="L117" s="18"/>
      <c r="M117" s="18" t="s">
        <v>598</v>
      </c>
      <c r="N117" s="10">
        <v>61060</v>
      </c>
      <c r="O117" s="11">
        <v>32826</v>
      </c>
      <c r="P117" s="11">
        <v>26139</v>
      </c>
      <c r="Q117" s="11">
        <v>16431</v>
      </c>
      <c r="R117" s="12">
        <v>0.53760235833606296</v>
      </c>
      <c r="S117" s="12">
        <v>0.42808712741565702</v>
      </c>
      <c r="T117" s="12">
        <v>0.26909597117589301</v>
      </c>
      <c r="U117" s="12">
        <v>0.10951523092040601</v>
      </c>
      <c r="V117" s="12">
        <v>0.15899115623976401</v>
      </c>
      <c r="W117" s="12">
        <v>9.3285293154274501E-2</v>
      </c>
      <c r="X117" s="12">
        <v>0.17581067802161801</v>
      </c>
      <c r="Y117" s="13">
        <v>82191</v>
      </c>
      <c r="Z117" s="13">
        <v>128748</v>
      </c>
      <c r="AA117" s="13">
        <v>1524501</v>
      </c>
      <c r="AB117" s="11">
        <v>160669</v>
      </c>
      <c r="AC117" s="11">
        <v>166223</v>
      </c>
      <c r="AD117" s="12">
        <v>3.4567962705935797E-2</v>
      </c>
      <c r="AE117" s="12">
        <v>0.486817825863885</v>
      </c>
      <c r="AF117" s="12">
        <v>0.16585028848128799</v>
      </c>
      <c r="AG117" s="12">
        <v>6.3534347011557898E-2</v>
      </c>
      <c r="AH117" s="12">
        <v>0.42455607491177499</v>
      </c>
      <c r="AI117" s="14">
        <v>0.251517094150085</v>
      </c>
      <c r="AJ117" s="4">
        <v>195507</v>
      </c>
      <c r="AK117" s="5">
        <v>94906</v>
      </c>
      <c r="AL117" s="5">
        <v>73612</v>
      </c>
      <c r="AM117" s="5">
        <v>45554</v>
      </c>
      <c r="AN117" s="6">
        <v>0.485435304106758</v>
      </c>
      <c r="AO117" s="6">
        <v>0.37651848782907998</v>
      </c>
      <c r="AP117" s="6">
        <v>0.233004444853637</v>
      </c>
      <c r="AQ117" s="6">
        <v>0.10891681627767801</v>
      </c>
      <c r="AR117" s="6">
        <v>0.14351404297544301</v>
      </c>
      <c r="AS117" s="6">
        <v>7.9945986588715504E-2</v>
      </c>
      <c r="AT117" s="6">
        <v>0.15305845826492101</v>
      </c>
      <c r="AU117" s="7">
        <v>71908</v>
      </c>
      <c r="AV117" s="7">
        <v>117385</v>
      </c>
      <c r="AW117" s="7">
        <v>1291591</v>
      </c>
      <c r="AX117" s="5">
        <v>526340</v>
      </c>
      <c r="AY117" s="5">
        <v>535805</v>
      </c>
      <c r="AZ117" s="6">
        <v>1.7982672797051302E-2</v>
      </c>
      <c r="BA117" s="6">
        <v>0.42325634633262499</v>
      </c>
      <c r="BB117" s="6">
        <v>0.22048485769654599</v>
      </c>
      <c r="BC117" s="6">
        <v>6.3631872933844993E-2</v>
      </c>
      <c r="BD117" s="6">
        <v>0.39901014553330499</v>
      </c>
      <c r="BE117" s="8">
        <v>0.24559410267127699</v>
      </c>
      <c r="BF117" s="10">
        <v>361726</v>
      </c>
      <c r="BG117" s="11">
        <v>172763</v>
      </c>
      <c r="BH117" s="11">
        <v>132029</v>
      </c>
      <c r="BI117" s="11">
        <v>77682</v>
      </c>
      <c r="BJ117" s="12">
        <v>0.47760736026716399</v>
      </c>
      <c r="BK117" s="12">
        <v>0.36499726312181002</v>
      </c>
      <c r="BL117" s="12">
        <v>0.214753708608173</v>
      </c>
      <c r="BM117" s="12">
        <v>0.112610097145353</v>
      </c>
      <c r="BN117" s="12">
        <v>0.150243554513637</v>
      </c>
      <c r="BO117" s="12">
        <v>8.3162393634961307E-2</v>
      </c>
      <c r="BP117" s="12">
        <v>0.131591314973212</v>
      </c>
      <c r="BQ117" s="13">
        <v>70438</v>
      </c>
      <c r="BR117" s="13">
        <v>109778</v>
      </c>
      <c r="BS117" s="13">
        <v>1120627</v>
      </c>
      <c r="BT117" s="11">
        <v>986392</v>
      </c>
      <c r="BU117" s="11">
        <v>1007087</v>
      </c>
      <c r="BV117" s="12">
        <v>2.0980502680475899E-2</v>
      </c>
      <c r="BW117" s="12">
        <v>0.38858459797558498</v>
      </c>
      <c r="BX117" s="12">
        <v>0.24638683200999201</v>
      </c>
      <c r="BY117" s="12">
        <v>7.1115743031168105E-2</v>
      </c>
      <c r="BZ117" s="12">
        <v>0.34996228679875802</v>
      </c>
      <c r="CA117" s="14">
        <v>0.24210050365371999</v>
      </c>
      <c r="CB117" s="86">
        <f t="shared" si="23"/>
        <v>22167350.912499186</v>
      </c>
      <c r="CC117" s="83">
        <v>10247867.357499599</v>
      </c>
      <c r="CD117" s="83">
        <v>7857521.6199996304</v>
      </c>
      <c r="CE117" s="83">
        <v>3119231.22499994</v>
      </c>
      <c r="CF117" s="83">
        <v>942730.71000001102</v>
      </c>
      <c r="CG117" s="90">
        <f t="shared" si="24"/>
        <v>0.46229553535516421</v>
      </c>
      <c r="CH117" s="90">
        <f t="shared" si="24"/>
        <v>0.35446371788020564</v>
      </c>
      <c r="CI117" s="90">
        <f t="shared" si="17"/>
        <v>0.14071285456311083</v>
      </c>
      <c r="CK117" s="86">
        <f t="shared" si="15"/>
        <v>22014244</v>
      </c>
      <c r="CL117" s="83">
        <v>10083928</v>
      </c>
      <c r="CM117" s="83">
        <v>7887395</v>
      </c>
      <c r="CN117" s="83">
        <v>3099312</v>
      </c>
      <c r="CO117" s="83">
        <v>943609</v>
      </c>
      <c r="CP117" s="90">
        <f t="shared" si="16"/>
        <v>0.45806378815461479</v>
      </c>
      <c r="CQ117" s="90">
        <f t="shared" si="16"/>
        <v>0.35828598065870443</v>
      </c>
      <c r="CR117" s="90">
        <f t="shared" si="16"/>
        <v>0.14078666521548502</v>
      </c>
    </row>
    <row r="118" spans="1:96" ht="49.5" thickTop="1" thickBot="1" x14ac:dyDescent="0.3">
      <c r="A118" s="3" t="s">
        <v>291</v>
      </c>
      <c r="B118" s="3">
        <v>503</v>
      </c>
      <c r="C118" s="3" t="s">
        <v>58</v>
      </c>
      <c r="D118" s="16">
        <v>41612</v>
      </c>
      <c r="E118" s="16" t="s">
        <v>530</v>
      </c>
      <c r="F118" s="16" t="s">
        <v>341</v>
      </c>
      <c r="G118" s="17">
        <v>18796</v>
      </c>
      <c r="H118" s="17">
        <v>23229</v>
      </c>
      <c r="I118" s="17" t="s">
        <v>584</v>
      </c>
      <c r="J118" s="18"/>
      <c r="K118" s="18" t="s">
        <v>598</v>
      </c>
      <c r="L118" s="18"/>
      <c r="M118" s="18" t="s">
        <v>598</v>
      </c>
      <c r="N118" s="10">
        <v>42566</v>
      </c>
      <c r="O118" s="11">
        <v>12940</v>
      </c>
      <c r="P118" s="11">
        <v>8326</v>
      </c>
      <c r="Q118" s="11">
        <v>4398</v>
      </c>
      <c r="R118" s="12">
        <v>0.30399849645256799</v>
      </c>
      <c r="S118" s="12">
        <v>0.19560212376074801</v>
      </c>
      <c r="T118" s="12">
        <v>0.10332190010806699</v>
      </c>
      <c r="U118" s="12">
        <v>0.10839637269181999</v>
      </c>
      <c r="V118" s="12">
        <v>9.2280223652680501E-2</v>
      </c>
      <c r="W118" s="12">
        <v>5.0274867264953199E-2</v>
      </c>
      <c r="X118" s="12">
        <v>5.3047032843114197E-2</v>
      </c>
      <c r="Y118" s="13">
        <v>50888</v>
      </c>
      <c r="Z118" s="13">
        <v>74145</v>
      </c>
      <c r="AA118" s="13">
        <v>608338</v>
      </c>
      <c r="AB118" s="11">
        <v>99172</v>
      </c>
      <c r="AC118" s="11">
        <v>102115</v>
      </c>
      <c r="AD118" s="12">
        <v>2.9675714919533702E-2</v>
      </c>
      <c r="AE118" s="12">
        <v>0.34282835951643997</v>
      </c>
      <c r="AF118" s="12">
        <v>0.61508288629855201</v>
      </c>
      <c r="AG118" s="12">
        <v>2.1840842173194E-2</v>
      </c>
      <c r="AH118" s="12">
        <v>4.51942080425927E-2</v>
      </c>
      <c r="AI118" s="14">
        <v>0.22084862662848401</v>
      </c>
      <c r="AJ118" s="4">
        <v>133629</v>
      </c>
      <c r="AK118" s="5">
        <v>45275</v>
      </c>
      <c r="AL118" s="5">
        <v>30447</v>
      </c>
      <c r="AM118" s="5">
        <v>15813</v>
      </c>
      <c r="AN118" s="6">
        <v>0.33881118619461298</v>
      </c>
      <c r="AO118" s="6">
        <v>0.22784724872595</v>
      </c>
      <c r="AP118" s="6">
        <v>0.118335091933637</v>
      </c>
      <c r="AQ118" s="6">
        <v>0.110963937468663</v>
      </c>
      <c r="AR118" s="6">
        <v>0.10951215679231301</v>
      </c>
      <c r="AS118" s="6">
        <v>5.4127472330107999E-2</v>
      </c>
      <c r="AT118" s="6">
        <v>6.4207619603529206E-2</v>
      </c>
      <c r="AU118" s="7">
        <v>53255</v>
      </c>
      <c r="AV118" s="7">
        <v>80151</v>
      </c>
      <c r="AW118" s="7">
        <v>701789</v>
      </c>
      <c r="AX118" s="5">
        <v>310476</v>
      </c>
      <c r="AY118" s="5">
        <v>320167</v>
      </c>
      <c r="AZ118" s="6">
        <v>3.1213362707584499E-2</v>
      </c>
      <c r="BA118" s="6">
        <v>0.37589457349978</v>
      </c>
      <c r="BB118" s="6">
        <v>0.56050387147476799</v>
      </c>
      <c r="BC118" s="6">
        <v>3.07495587420606E-2</v>
      </c>
      <c r="BD118" s="6">
        <v>5.1575645138432602E-2</v>
      </c>
      <c r="BE118" s="8">
        <v>0.22832038547262901</v>
      </c>
      <c r="BF118" s="10">
        <v>243369</v>
      </c>
      <c r="BG118" s="11">
        <v>82723</v>
      </c>
      <c r="BH118" s="11">
        <v>55062</v>
      </c>
      <c r="BI118" s="11">
        <v>27348</v>
      </c>
      <c r="BJ118" s="12">
        <v>0.33990771215725901</v>
      </c>
      <c r="BK118" s="12">
        <v>0.22624902925187701</v>
      </c>
      <c r="BL118" s="12">
        <v>0.11237257004795199</v>
      </c>
      <c r="BM118" s="12">
        <v>0.113658682905382</v>
      </c>
      <c r="BN118" s="12">
        <v>0.113876459203925</v>
      </c>
      <c r="BO118" s="12">
        <v>5.4004413051785598E-2</v>
      </c>
      <c r="BP118" s="12">
        <v>5.83681569961663E-2</v>
      </c>
      <c r="BQ118" s="13">
        <v>53132</v>
      </c>
      <c r="BR118" s="13">
        <v>78015</v>
      </c>
      <c r="BS118" s="13">
        <v>621136</v>
      </c>
      <c r="BT118" s="11">
        <v>592377</v>
      </c>
      <c r="BU118" s="11">
        <v>618759</v>
      </c>
      <c r="BV118" s="12">
        <v>4.4535827690811797E-2</v>
      </c>
      <c r="BW118" s="12">
        <v>0.353375337976642</v>
      </c>
      <c r="BX118" s="12">
        <v>0.57726920525273595</v>
      </c>
      <c r="BY118" s="12">
        <v>3.5517921863948101E-2</v>
      </c>
      <c r="BZ118" s="12">
        <v>6.3344795628459599E-2</v>
      </c>
      <c r="CA118" s="14">
        <v>0.222517079494984</v>
      </c>
      <c r="CB118" s="86">
        <f t="shared" si="23"/>
        <v>22125518.608205006</v>
      </c>
      <c r="CC118" s="83">
        <v>5985146.2074998301</v>
      </c>
      <c r="CD118" s="83">
        <v>13059323.4359993</v>
      </c>
      <c r="CE118" s="83">
        <v>2131137.4347058702</v>
      </c>
      <c r="CF118" s="83">
        <v>949911.53000000899</v>
      </c>
      <c r="CG118" s="90">
        <f t="shared" si="24"/>
        <v>0.27050874212188203</v>
      </c>
      <c r="CH118" s="90">
        <f t="shared" si="24"/>
        <v>0.59023807157932084</v>
      </c>
      <c r="CI118" s="90">
        <f t="shared" si="17"/>
        <v>9.6320338177996942E-2</v>
      </c>
      <c r="CK118" s="86">
        <f t="shared" si="15"/>
        <v>22504203</v>
      </c>
      <c r="CL118" s="83">
        <v>5846663</v>
      </c>
      <c r="CM118" s="83">
        <v>13585908</v>
      </c>
      <c r="CN118" s="83">
        <v>2120112</v>
      </c>
      <c r="CO118" s="83">
        <v>951520</v>
      </c>
      <c r="CP118" s="90">
        <f t="shared" si="16"/>
        <v>0.25980315765903816</v>
      </c>
      <c r="CQ118" s="90">
        <f t="shared" si="16"/>
        <v>0.60370536117186646</v>
      </c>
      <c r="CR118" s="90">
        <f t="shared" si="16"/>
        <v>9.4209601646412455E-2</v>
      </c>
    </row>
    <row r="119" spans="1:96" ht="37.5" thickTop="1" thickBot="1" x14ac:dyDescent="0.3">
      <c r="A119" s="3" t="s">
        <v>295</v>
      </c>
      <c r="B119" s="3">
        <v>924</v>
      </c>
      <c r="C119" s="3" t="s">
        <v>139</v>
      </c>
      <c r="D119" s="16">
        <v>41935</v>
      </c>
      <c r="E119" s="16" t="s">
        <v>543</v>
      </c>
      <c r="F119" s="16" t="s">
        <v>415</v>
      </c>
      <c r="G119" s="17">
        <v>19473</v>
      </c>
      <c r="H119" s="17">
        <v>23012</v>
      </c>
      <c r="I119" s="17" t="s">
        <v>584</v>
      </c>
      <c r="J119" s="18"/>
      <c r="K119" s="18" t="s">
        <v>598</v>
      </c>
      <c r="L119" s="18"/>
      <c r="M119" s="18" t="s">
        <v>598</v>
      </c>
      <c r="N119" s="10">
        <v>21421</v>
      </c>
      <c r="O119" s="11">
        <v>10096</v>
      </c>
      <c r="P119" s="11">
        <v>7239</v>
      </c>
      <c r="Q119" s="11">
        <v>3722</v>
      </c>
      <c r="R119" s="12">
        <v>0.47131319732972299</v>
      </c>
      <c r="S119" s="12">
        <v>0.33793940525652399</v>
      </c>
      <c r="T119" s="12">
        <v>0.17375472667009001</v>
      </c>
      <c r="U119" s="12">
        <v>0.13337379207319899</v>
      </c>
      <c r="V119" s="12">
        <v>0.16418467858643401</v>
      </c>
      <c r="W119" s="12">
        <v>6.8297465104336902E-2</v>
      </c>
      <c r="X119" s="12">
        <v>0.105457261565753</v>
      </c>
      <c r="Y119" s="13">
        <v>70124</v>
      </c>
      <c r="Z119" s="13">
        <v>103942</v>
      </c>
      <c r="AA119" s="13">
        <v>1787450</v>
      </c>
      <c r="AB119" s="11">
        <v>41978</v>
      </c>
      <c r="AC119" s="11">
        <v>44795</v>
      </c>
      <c r="AD119" s="12">
        <v>6.7106579636952698E-2</v>
      </c>
      <c r="AE119" s="12">
        <v>0.49461889611287901</v>
      </c>
      <c r="AF119" s="12">
        <v>7.4610510267282895E-2</v>
      </c>
      <c r="AG119" s="12">
        <v>2.34408499690314E-2</v>
      </c>
      <c r="AH119" s="12">
        <v>1.18157129925199E-2</v>
      </c>
      <c r="AI119" s="14">
        <v>0.33186430987660198</v>
      </c>
      <c r="AJ119" s="4">
        <v>45822</v>
      </c>
      <c r="AK119" s="5">
        <v>21542</v>
      </c>
      <c r="AL119" s="5">
        <v>15276</v>
      </c>
      <c r="AM119" s="5">
        <v>7593</v>
      </c>
      <c r="AN119" s="6">
        <v>0.47012352145257702</v>
      </c>
      <c r="AO119" s="6">
        <v>0.33337698048972098</v>
      </c>
      <c r="AP119" s="6">
        <v>0.16570642922613599</v>
      </c>
      <c r="AQ119" s="6">
        <v>0.13674654096285599</v>
      </c>
      <c r="AR119" s="6">
        <v>0.16767055126358499</v>
      </c>
      <c r="AS119" s="6">
        <v>6.3288376762253906E-2</v>
      </c>
      <c r="AT119" s="6">
        <v>0.102418052463882</v>
      </c>
      <c r="AU119" s="7">
        <v>69771</v>
      </c>
      <c r="AV119" s="7">
        <v>101933</v>
      </c>
      <c r="AW119" s="7">
        <v>1679664</v>
      </c>
      <c r="AX119" s="5">
        <v>93776</v>
      </c>
      <c r="AY119" s="5">
        <v>100193</v>
      </c>
      <c r="AZ119" s="6">
        <v>6.84290223511346E-2</v>
      </c>
      <c r="BA119" s="6">
        <v>0.45521260522339702</v>
      </c>
      <c r="BB119" s="6">
        <v>8.0777597679576901E-2</v>
      </c>
      <c r="BC119" s="6">
        <v>2.4036000682477399E-2</v>
      </c>
      <c r="BD119" s="6">
        <v>1.2817778536086E-2</v>
      </c>
      <c r="BE119" s="8">
        <v>0.32572299948814198</v>
      </c>
      <c r="BF119" s="10">
        <v>74489</v>
      </c>
      <c r="BG119" s="11">
        <v>35647</v>
      </c>
      <c r="BH119" s="11">
        <v>24909</v>
      </c>
      <c r="BI119" s="11">
        <v>12012</v>
      </c>
      <c r="BJ119" s="12">
        <v>0.47855388043872199</v>
      </c>
      <c r="BK119" s="12">
        <v>0.33439836754420099</v>
      </c>
      <c r="BL119" s="12">
        <v>0.16125870933963399</v>
      </c>
      <c r="BM119" s="12">
        <v>0.144155512894521</v>
      </c>
      <c r="BN119" s="12">
        <v>0.173139658204567</v>
      </c>
      <c r="BO119" s="12">
        <v>6.1539287680060097E-2</v>
      </c>
      <c r="BP119" s="12">
        <v>9.9719421659573898E-2</v>
      </c>
      <c r="BQ119" s="13">
        <v>71239</v>
      </c>
      <c r="BR119" s="13">
        <v>101362</v>
      </c>
      <c r="BS119" s="13">
        <v>1590292</v>
      </c>
      <c r="BT119" s="11">
        <v>159328</v>
      </c>
      <c r="BU119" s="11">
        <v>169056</v>
      </c>
      <c r="BV119" s="12">
        <v>6.1056437035549298E-2</v>
      </c>
      <c r="BW119" s="12">
        <v>0.42420847243182302</v>
      </c>
      <c r="BX119" s="12">
        <v>9.20804880498092E-2</v>
      </c>
      <c r="BY119" s="12">
        <v>2.2657662181160901E-2</v>
      </c>
      <c r="BZ119" s="12">
        <v>1.4448182365936899E-2</v>
      </c>
      <c r="CA119" s="14">
        <v>0.32477656155854601</v>
      </c>
      <c r="CB119" s="86">
        <f t="shared" si="23"/>
        <v>23894623.179999162</v>
      </c>
      <c r="CC119" s="83">
        <v>11235423.1599996</v>
      </c>
      <c r="CD119" s="83">
        <v>8628531.6299996097</v>
      </c>
      <c r="CE119" s="83">
        <v>2823522.2099999399</v>
      </c>
      <c r="CF119" s="83">
        <v>1207146.1800000099</v>
      </c>
      <c r="CG119" s="90">
        <f t="shared" si="24"/>
        <v>0.47020717068282281</v>
      </c>
      <c r="CH119" s="90">
        <f t="shared" si="24"/>
        <v>0.3611076669843476</v>
      </c>
      <c r="CI119" s="90">
        <f t="shared" si="17"/>
        <v>0.11816558849789063</v>
      </c>
      <c r="CK119" s="86">
        <f t="shared" si="15"/>
        <v>23464455</v>
      </c>
      <c r="CL119" s="83">
        <v>11032439</v>
      </c>
      <c r="CM119" s="83">
        <v>8530829</v>
      </c>
      <c r="CN119" s="83">
        <v>2733129</v>
      </c>
      <c r="CO119" s="83">
        <v>1168058</v>
      </c>
      <c r="CP119" s="90">
        <f t="shared" si="16"/>
        <v>0.47017665656415203</v>
      </c>
      <c r="CQ119" s="90">
        <f t="shared" si="16"/>
        <v>0.36356390975200575</v>
      </c>
      <c r="CR119" s="90">
        <f t="shared" si="16"/>
        <v>0.11647954320694855</v>
      </c>
    </row>
    <row r="120" spans="1:96" ht="49.5" thickTop="1" thickBot="1" x14ac:dyDescent="0.3">
      <c r="A120" s="3" t="s">
        <v>293</v>
      </c>
      <c r="B120" s="3">
        <v>703</v>
      </c>
      <c r="C120" s="3" t="s">
        <v>109</v>
      </c>
      <c r="D120" s="16">
        <v>38653</v>
      </c>
      <c r="E120" s="16" t="s">
        <v>540</v>
      </c>
      <c r="F120" s="16" t="s">
        <v>387</v>
      </c>
      <c r="G120" s="17">
        <v>19810</v>
      </c>
      <c r="H120" s="17">
        <v>25000</v>
      </c>
      <c r="I120" s="17" t="s">
        <v>584</v>
      </c>
      <c r="J120" s="18"/>
      <c r="K120" s="18" t="s">
        <v>598</v>
      </c>
      <c r="L120" s="18"/>
      <c r="M120" s="18" t="s">
        <v>598</v>
      </c>
      <c r="N120" s="10">
        <v>24172</v>
      </c>
      <c r="O120" s="11">
        <v>12615</v>
      </c>
      <c r="P120" s="11">
        <v>8955</v>
      </c>
      <c r="Q120" s="11">
        <v>4835</v>
      </c>
      <c r="R120" s="12">
        <v>0.52188482541783898</v>
      </c>
      <c r="S120" s="12">
        <v>0.37046996524904802</v>
      </c>
      <c r="T120" s="12">
        <v>0.200024822108224</v>
      </c>
      <c r="U120" s="12">
        <v>0.15141486016878999</v>
      </c>
      <c r="V120" s="12">
        <v>0.17044514314082401</v>
      </c>
      <c r="W120" s="12">
        <v>8.8863147443322896E-2</v>
      </c>
      <c r="X120" s="12">
        <v>0.111161674664902</v>
      </c>
      <c r="Y120" s="13">
        <v>77746</v>
      </c>
      <c r="Z120" s="13">
        <v>105514</v>
      </c>
      <c r="AA120" s="13">
        <v>1169024</v>
      </c>
      <c r="AB120" s="11">
        <v>55689</v>
      </c>
      <c r="AC120" s="11">
        <v>60312</v>
      </c>
      <c r="AD120" s="12">
        <v>8.3014598933362105E-2</v>
      </c>
      <c r="AE120" s="12">
        <v>0.54583082480433498</v>
      </c>
      <c r="AF120" s="12">
        <v>6.7338253515056803E-2</v>
      </c>
      <c r="AG120" s="12">
        <v>6.9295552083894499E-2</v>
      </c>
      <c r="AH120" s="12">
        <v>0.123399594174792</v>
      </c>
      <c r="AI120" s="14">
        <v>0.24685305895239601</v>
      </c>
      <c r="AJ120" s="4">
        <v>66227</v>
      </c>
      <c r="AK120" s="5">
        <v>32746</v>
      </c>
      <c r="AL120" s="5">
        <v>23922</v>
      </c>
      <c r="AM120" s="5">
        <v>12528</v>
      </c>
      <c r="AN120" s="6">
        <v>0.49445090370996703</v>
      </c>
      <c r="AO120" s="6">
        <v>0.36121219442221503</v>
      </c>
      <c r="AP120" s="6">
        <v>0.18916756005858601</v>
      </c>
      <c r="AQ120" s="6">
        <v>0.133238709287753</v>
      </c>
      <c r="AR120" s="6">
        <v>0.17204463436362799</v>
      </c>
      <c r="AS120" s="6">
        <v>8.1824633457653201E-2</v>
      </c>
      <c r="AT120" s="6">
        <v>0.107342926600933</v>
      </c>
      <c r="AU120" s="7">
        <v>73919</v>
      </c>
      <c r="AV120" s="7">
        <v>102847</v>
      </c>
      <c r="AW120" s="7">
        <v>1185073</v>
      </c>
      <c r="AX120" s="5">
        <v>161281</v>
      </c>
      <c r="AY120" s="5">
        <v>172275</v>
      </c>
      <c r="AZ120" s="6">
        <v>6.8166740037574197E-2</v>
      </c>
      <c r="BA120" s="6">
        <v>0.51939498750011204</v>
      </c>
      <c r="BB120" s="6">
        <v>7.5073939273689994E-2</v>
      </c>
      <c r="BC120" s="6">
        <v>5.3701303935367498E-2</v>
      </c>
      <c r="BD120" s="6">
        <v>0.15106553158772601</v>
      </c>
      <c r="BE120" s="8">
        <v>0.24317805569161899</v>
      </c>
      <c r="BF120" s="10">
        <v>115328</v>
      </c>
      <c r="BG120" s="11">
        <v>55560</v>
      </c>
      <c r="BH120" s="11">
        <v>40253</v>
      </c>
      <c r="BI120" s="11">
        <v>21039</v>
      </c>
      <c r="BJ120" s="12">
        <v>0.48175638179800201</v>
      </c>
      <c r="BK120" s="12">
        <v>0.34903059100998901</v>
      </c>
      <c r="BL120" s="12">
        <v>0.182427511098779</v>
      </c>
      <c r="BM120" s="12">
        <v>0.132725790788013</v>
      </c>
      <c r="BN120" s="12">
        <v>0.16660307991121001</v>
      </c>
      <c r="BO120" s="12">
        <v>8.2209003884572696E-2</v>
      </c>
      <c r="BP120" s="12">
        <v>0.100218507214206</v>
      </c>
      <c r="BQ120" s="13">
        <v>71386</v>
      </c>
      <c r="BR120" s="13">
        <v>99546</v>
      </c>
      <c r="BS120" s="13">
        <v>1033851</v>
      </c>
      <c r="BT120" s="11">
        <v>282265</v>
      </c>
      <c r="BU120" s="11">
        <v>303713</v>
      </c>
      <c r="BV120" s="12">
        <v>7.5985332931819402E-2</v>
      </c>
      <c r="BW120" s="12">
        <v>0.47579461102044801</v>
      </c>
      <c r="BX120" s="12">
        <v>8.2546543142082804E-2</v>
      </c>
      <c r="BY120" s="12">
        <v>4.21377074734735E-2</v>
      </c>
      <c r="BZ120" s="12">
        <v>0.18447558145714099</v>
      </c>
      <c r="CA120" s="14">
        <v>0.24333870653463899</v>
      </c>
      <c r="CB120" s="86">
        <f t="shared" si="23"/>
        <v>32748234.907062281</v>
      </c>
      <c r="CC120" s="83">
        <v>14680960.7061106</v>
      </c>
      <c r="CD120" s="83">
        <v>11954682.456666101</v>
      </c>
      <c r="CE120" s="83">
        <v>4512092.3642855799</v>
      </c>
      <c r="CF120" s="83">
        <v>1600499.38</v>
      </c>
      <c r="CG120" s="90">
        <f t="shared" si="24"/>
        <v>0.44829777078900201</v>
      </c>
      <c r="CH120" s="90">
        <f t="shared" si="24"/>
        <v>0.36504814658233775</v>
      </c>
      <c r="CI120" s="90">
        <f t="shared" si="17"/>
        <v>0.13778123850310264</v>
      </c>
      <c r="CK120" s="86">
        <f t="shared" si="15"/>
        <v>32905621</v>
      </c>
      <c r="CL120" s="83">
        <v>14537524</v>
      </c>
      <c r="CM120" s="83">
        <v>12323181</v>
      </c>
      <c r="CN120" s="83">
        <v>4489182</v>
      </c>
      <c r="CO120" s="83">
        <v>1555734</v>
      </c>
      <c r="CP120" s="90">
        <f t="shared" si="16"/>
        <v>0.44179454932639017</v>
      </c>
      <c r="CQ120" s="90">
        <f t="shared" si="16"/>
        <v>0.37450078817840882</v>
      </c>
      <c r="CR120" s="90">
        <f t="shared" si="16"/>
        <v>0.13642599238592093</v>
      </c>
    </row>
    <row r="121" spans="1:96" ht="37.5" thickTop="1" thickBot="1" x14ac:dyDescent="0.3">
      <c r="A121" s="3" t="s">
        <v>289</v>
      </c>
      <c r="B121" s="3">
        <v>304</v>
      </c>
      <c r="C121" s="3" t="s">
        <v>51</v>
      </c>
      <c r="D121" s="16">
        <v>37600</v>
      </c>
      <c r="E121" s="16" t="s">
        <v>524</v>
      </c>
      <c r="F121" s="16" t="s">
        <v>336</v>
      </c>
      <c r="G121" s="17">
        <v>19456</v>
      </c>
      <c r="H121" s="17">
        <v>23600</v>
      </c>
      <c r="I121" s="17" t="s">
        <v>584</v>
      </c>
      <c r="J121" s="18"/>
      <c r="K121" s="18" t="s">
        <v>598</v>
      </c>
      <c r="L121" s="18"/>
      <c r="M121" s="18" t="s">
        <v>598</v>
      </c>
      <c r="N121" s="10">
        <v>55370</v>
      </c>
      <c r="O121" s="11">
        <v>34303</v>
      </c>
      <c r="P121" s="11">
        <v>27665</v>
      </c>
      <c r="Q121" s="11">
        <v>17354</v>
      </c>
      <c r="R121" s="12">
        <v>0.61952320751309398</v>
      </c>
      <c r="S121" s="12">
        <v>0.49963879357052599</v>
      </c>
      <c r="T121" s="12">
        <v>0.31341881885497602</v>
      </c>
      <c r="U121" s="12">
        <v>0.119884413942568</v>
      </c>
      <c r="V121" s="12">
        <v>0.18621997471554999</v>
      </c>
      <c r="W121" s="12">
        <v>0.126476431280477</v>
      </c>
      <c r="X121" s="12">
        <v>0.18694238757449899</v>
      </c>
      <c r="Y121" s="13">
        <v>99903</v>
      </c>
      <c r="Z121" s="13">
        <v>137480</v>
      </c>
      <c r="AA121" s="13">
        <v>1667955</v>
      </c>
      <c r="AB121" s="11">
        <v>151636</v>
      </c>
      <c r="AC121" s="11">
        <v>153790</v>
      </c>
      <c r="AD121" s="12">
        <v>1.4205070036139199E-2</v>
      </c>
      <c r="AE121" s="12">
        <v>0.49431734317343201</v>
      </c>
      <c r="AF121" s="12">
        <v>0.197624574639268</v>
      </c>
      <c r="AG121" s="12">
        <v>9.7569178822970795E-2</v>
      </c>
      <c r="AH121" s="12">
        <v>0.189361365374977</v>
      </c>
      <c r="AI121" s="14">
        <v>0.27166372101611802</v>
      </c>
      <c r="AJ121" s="4">
        <v>179410</v>
      </c>
      <c r="AK121" s="5">
        <v>94577</v>
      </c>
      <c r="AL121" s="5">
        <v>73727</v>
      </c>
      <c r="AM121" s="5">
        <v>46771</v>
      </c>
      <c r="AN121" s="6">
        <v>0.52715567694108501</v>
      </c>
      <c r="AO121" s="6">
        <v>0.41094141909592602</v>
      </c>
      <c r="AP121" s="6">
        <v>0.26069338386934998</v>
      </c>
      <c r="AQ121" s="6">
        <v>0.116214257845159</v>
      </c>
      <c r="AR121" s="6">
        <v>0.15024803522657601</v>
      </c>
      <c r="AS121" s="6">
        <v>9.4593389443174802E-2</v>
      </c>
      <c r="AT121" s="6">
        <v>0.16609999442617501</v>
      </c>
      <c r="AU121" s="7">
        <v>79724</v>
      </c>
      <c r="AV121" s="7">
        <v>125105</v>
      </c>
      <c r="AW121" s="7">
        <v>1403768</v>
      </c>
      <c r="AX121" s="5">
        <v>495740</v>
      </c>
      <c r="AY121" s="5">
        <v>504669</v>
      </c>
      <c r="AZ121" s="6">
        <v>1.8011457618913099E-2</v>
      </c>
      <c r="BA121" s="6">
        <v>0.41868580997997401</v>
      </c>
      <c r="BB121" s="6">
        <v>0.24050308629523501</v>
      </c>
      <c r="BC121" s="6">
        <v>6.3402186630088397E-2</v>
      </c>
      <c r="BD121" s="6">
        <v>0.30545043772945502</v>
      </c>
      <c r="BE121" s="8">
        <v>0.25645297938435502</v>
      </c>
      <c r="BF121" s="10">
        <v>317888</v>
      </c>
      <c r="BG121" s="11">
        <v>153467</v>
      </c>
      <c r="BH121" s="11">
        <v>117796</v>
      </c>
      <c r="BI121" s="11">
        <v>72844</v>
      </c>
      <c r="BJ121" s="12">
        <v>0.48277066136500901</v>
      </c>
      <c r="BK121" s="12">
        <v>0.37055818401449597</v>
      </c>
      <c r="BL121" s="12">
        <v>0.22914988926917701</v>
      </c>
      <c r="BM121" s="12">
        <v>0.112212477350513</v>
      </c>
      <c r="BN121" s="12">
        <v>0.14140829474531899</v>
      </c>
      <c r="BO121" s="12">
        <v>8.2183033017918294E-2</v>
      </c>
      <c r="BP121" s="12">
        <v>0.14696685625125799</v>
      </c>
      <c r="BQ121" s="13">
        <v>71417</v>
      </c>
      <c r="BR121" s="13">
        <v>114902</v>
      </c>
      <c r="BS121" s="13">
        <v>1240159</v>
      </c>
      <c r="BT121" s="11">
        <v>889999</v>
      </c>
      <c r="BU121" s="11">
        <v>906041</v>
      </c>
      <c r="BV121" s="12">
        <v>1.8024739353639699E-2</v>
      </c>
      <c r="BW121" s="12">
        <v>0.38038763656960001</v>
      </c>
      <c r="BX121" s="12">
        <v>0.24796769434572399</v>
      </c>
      <c r="BY121" s="12">
        <v>5.9400066741648001E-2</v>
      </c>
      <c r="BZ121" s="12">
        <v>0.36648805223376701</v>
      </c>
      <c r="CA121" s="14">
        <v>0.245176679973798</v>
      </c>
      <c r="CB121" s="86">
        <f t="shared" si="23"/>
        <v>24730146.696999241</v>
      </c>
      <c r="CC121" s="83">
        <v>9954672.3541663699</v>
      </c>
      <c r="CD121" s="83">
        <v>9181842.5033329502</v>
      </c>
      <c r="CE121" s="83">
        <v>4422111.5994999101</v>
      </c>
      <c r="CF121" s="83">
        <v>1171520.24000001</v>
      </c>
      <c r="CG121" s="90">
        <f t="shared" si="24"/>
        <v>0.40253187642329152</v>
      </c>
      <c r="CH121" s="90">
        <f t="shared" si="24"/>
        <v>0.37128136018890162</v>
      </c>
      <c r="CI121" s="90">
        <f t="shared" si="17"/>
        <v>0.17881461253266603</v>
      </c>
      <c r="CK121" s="86">
        <f t="shared" si="15"/>
        <v>24854010</v>
      </c>
      <c r="CL121" s="83">
        <v>9689454</v>
      </c>
      <c r="CM121" s="83">
        <v>9557217</v>
      </c>
      <c r="CN121" s="83">
        <v>4428718</v>
      </c>
      <c r="CO121" s="83">
        <v>1178621</v>
      </c>
      <c r="CP121" s="90">
        <f t="shared" si="16"/>
        <v>0.38985475583215745</v>
      </c>
      <c r="CQ121" s="90">
        <f t="shared" si="16"/>
        <v>0.38453420594906013</v>
      </c>
      <c r="CR121" s="90">
        <f t="shared" si="16"/>
        <v>0.17818927408494645</v>
      </c>
    </row>
    <row r="122" spans="1:96" ht="37.5" thickTop="1" thickBot="1" x14ac:dyDescent="0.3">
      <c r="A122" s="3" t="s">
        <v>291</v>
      </c>
      <c r="B122" s="3">
        <v>517</v>
      </c>
      <c r="C122" s="3" t="s">
        <v>72</v>
      </c>
      <c r="D122" s="16">
        <v>42796</v>
      </c>
      <c r="E122" s="16" t="s">
        <v>532</v>
      </c>
      <c r="F122" s="16" t="s">
        <v>354</v>
      </c>
      <c r="G122" s="17">
        <v>18618</v>
      </c>
      <c r="H122" s="17">
        <v>27389</v>
      </c>
      <c r="I122" s="17" t="s">
        <v>584</v>
      </c>
      <c r="J122" s="18"/>
      <c r="K122" s="18" t="s">
        <v>598</v>
      </c>
      <c r="L122" s="18"/>
      <c r="M122" s="18" t="s">
        <v>598</v>
      </c>
      <c r="N122" s="10">
        <v>66026</v>
      </c>
      <c r="O122" s="11">
        <v>28809</v>
      </c>
      <c r="P122" s="11">
        <v>21682</v>
      </c>
      <c r="Q122" s="11">
        <v>14242</v>
      </c>
      <c r="R122" s="12">
        <v>0.43632811316754</v>
      </c>
      <c r="S122" s="12">
        <v>0.32838578741707802</v>
      </c>
      <c r="T122" s="12">
        <v>0.215702904916245</v>
      </c>
      <c r="U122" s="12">
        <v>0.107942325750462</v>
      </c>
      <c r="V122" s="12">
        <v>0.112682882500833</v>
      </c>
      <c r="W122" s="12">
        <v>6.32326659194863E-2</v>
      </c>
      <c r="X122" s="12">
        <v>0.15247023899675899</v>
      </c>
      <c r="Y122" s="13">
        <v>63157</v>
      </c>
      <c r="Z122" s="13">
        <v>115102</v>
      </c>
      <c r="AA122" s="13">
        <v>1307674</v>
      </c>
      <c r="AB122" s="11">
        <v>157430</v>
      </c>
      <c r="AC122" s="11">
        <v>166390</v>
      </c>
      <c r="AD122" s="12">
        <v>5.6914184081814097E-2</v>
      </c>
      <c r="AE122" s="12">
        <v>0.54339783986764101</v>
      </c>
      <c r="AF122" s="12">
        <v>0.32789176141777299</v>
      </c>
      <c r="AG122" s="12">
        <v>0.102750428761989</v>
      </c>
      <c r="AH122" s="12">
        <v>0.14870736200216</v>
      </c>
      <c r="AI122" s="14">
        <v>0.22720574223464399</v>
      </c>
      <c r="AJ122" s="4">
        <v>186096</v>
      </c>
      <c r="AK122" s="5">
        <v>72381</v>
      </c>
      <c r="AL122" s="5">
        <v>52770</v>
      </c>
      <c r="AM122" s="5">
        <v>32046</v>
      </c>
      <c r="AN122" s="6">
        <v>0.38894441578540101</v>
      </c>
      <c r="AO122" s="6">
        <v>0.28356332215630597</v>
      </c>
      <c r="AP122" s="6">
        <v>0.172201444415785</v>
      </c>
      <c r="AQ122" s="6">
        <v>0.10538109362909499</v>
      </c>
      <c r="AR122" s="6">
        <v>0.111361877740521</v>
      </c>
      <c r="AS122" s="6">
        <v>5.44127762015304E-2</v>
      </c>
      <c r="AT122" s="6">
        <v>0.117788668214255</v>
      </c>
      <c r="AU122" s="7">
        <v>56721</v>
      </c>
      <c r="AV122" s="7">
        <v>98669</v>
      </c>
      <c r="AW122" s="7">
        <v>916533</v>
      </c>
      <c r="AX122" s="5">
        <v>459599</v>
      </c>
      <c r="AY122" s="5">
        <v>486848</v>
      </c>
      <c r="AZ122" s="6">
        <v>5.9288640749871099E-2</v>
      </c>
      <c r="BA122" s="6">
        <v>0.45934785061491601</v>
      </c>
      <c r="BB122" s="6">
        <v>0.42016845119332302</v>
      </c>
      <c r="BC122" s="6">
        <v>0.11636230714166</v>
      </c>
      <c r="BD122" s="6">
        <v>0.13851640234204199</v>
      </c>
      <c r="BE122" s="8">
        <v>0.20750045148053001</v>
      </c>
      <c r="BF122" s="10">
        <v>320993</v>
      </c>
      <c r="BG122" s="11">
        <v>118185</v>
      </c>
      <c r="BH122" s="11">
        <v>85562</v>
      </c>
      <c r="BI122" s="11">
        <v>50587</v>
      </c>
      <c r="BJ122" s="12">
        <v>0.36818559906290799</v>
      </c>
      <c r="BK122" s="12">
        <v>0.266554099310577</v>
      </c>
      <c r="BL122" s="12">
        <v>0.157595336969965</v>
      </c>
      <c r="BM122" s="12">
        <v>0.101631499752331</v>
      </c>
      <c r="BN122" s="12">
        <v>0.108958762340612</v>
      </c>
      <c r="BO122" s="12">
        <v>5.2269052596162498E-2</v>
      </c>
      <c r="BP122" s="12">
        <v>0.10532628437380299</v>
      </c>
      <c r="BQ122" s="13">
        <v>54016</v>
      </c>
      <c r="BR122" s="13">
        <v>92881</v>
      </c>
      <c r="BS122" s="13">
        <v>794203</v>
      </c>
      <c r="BT122" s="11">
        <v>826064</v>
      </c>
      <c r="BU122" s="11">
        <v>874825</v>
      </c>
      <c r="BV122" s="12">
        <v>5.9028114044432402E-2</v>
      </c>
      <c r="BW122" s="12">
        <v>0.404709707929921</v>
      </c>
      <c r="BX122" s="12">
        <v>0.46032147630207798</v>
      </c>
      <c r="BY122" s="12">
        <v>0.11535546882566</v>
      </c>
      <c r="BZ122" s="12">
        <v>0.153574057215906</v>
      </c>
      <c r="CA122" s="14">
        <v>0.199459121811385</v>
      </c>
      <c r="CB122" s="86">
        <f t="shared" si="23"/>
        <v>22241291.104927838</v>
      </c>
      <c r="CC122" s="83">
        <v>9424208.5448330604</v>
      </c>
      <c r="CD122" s="83">
        <v>10259366.6516662</v>
      </c>
      <c r="CE122" s="83">
        <v>1637953.7450000001</v>
      </c>
      <c r="CF122" s="83">
        <v>919762.16342858004</v>
      </c>
      <c r="CG122" s="90">
        <f t="shared" si="24"/>
        <v>0.4237257855388174</v>
      </c>
      <c r="CH122" s="90">
        <f t="shared" si="24"/>
        <v>0.46127567879335513</v>
      </c>
      <c r="CI122" s="90">
        <f t="shared" si="17"/>
        <v>7.3644724007820336E-2</v>
      </c>
      <c r="CK122" s="86">
        <f t="shared" si="15"/>
        <v>22635413</v>
      </c>
      <c r="CL122" s="83">
        <v>9357276</v>
      </c>
      <c r="CM122" s="83">
        <v>10644085</v>
      </c>
      <c r="CN122" s="83">
        <v>1702663</v>
      </c>
      <c r="CO122" s="83">
        <v>931389</v>
      </c>
      <c r="CP122" s="90">
        <f t="shared" si="16"/>
        <v>0.41339099931598333</v>
      </c>
      <c r="CQ122" s="90">
        <f t="shared" si="16"/>
        <v>0.47024037069701358</v>
      </c>
      <c r="CR122" s="90">
        <f t="shared" si="16"/>
        <v>7.5221203165146577E-2</v>
      </c>
    </row>
    <row r="123" spans="1:96" ht="37.5" thickTop="1" thickBot="1" x14ac:dyDescent="0.3">
      <c r="A123" s="3" t="s">
        <v>296</v>
      </c>
      <c r="B123" s="3">
        <v>1004</v>
      </c>
      <c r="C123" s="3" t="s">
        <v>157</v>
      </c>
      <c r="D123" s="16">
        <v>40052</v>
      </c>
      <c r="E123" s="16" t="s">
        <v>551</v>
      </c>
      <c r="F123" s="16" t="s">
        <v>428</v>
      </c>
      <c r="G123" s="17">
        <v>19625</v>
      </c>
      <c r="H123" s="17">
        <v>23475</v>
      </c>
      <c r="I123" s="17" t="s">
        <v>584</v>
      </c>
      <c r="J123" s="18"/>
      <c r="K123" s="18" t="s">
        <v>598</v>
      </c>
      <c r="L123" s="18"/>
      <c r="M123" s="18" t="s">
        <v>598</v>
      </c>
      <c r="N123" s="10">
        <v>42494</v>
      </c>
      <c r="O123" s="11">
        <v>22889</v>
      </c>
      <c r="P123" s="11">
        <v>16509</v>
      </c>
      <c r="Q123" s="11">
        <v>8388</v>
      </c>
      <c r="R123" s="12">
        <v>0.53864074928225203</v>
      </c>
      <c r="S123" s="12">
        <v>0.38850190615145702</v>
      </c>
      <c r="T123" s="12">
        <v>0.19739257306913899</v>
      </c>
      <c r="U123" s="12">
        <v>0.15013884313079501</v>
      </c>
      <c r="V123" s="12">
        <v>0.19110933308231801</v>
      </c>
      <c r="W123" s="12">
        <v>9.3095495834706096E-2</v>
      </c>
      <c r="X123" s="12">
        <v>0.104297077234433</v>
      </c>
      <c r="Y123" s="13">
        <v>80087</v>
      </c>
      <c r="Z123" s="13">
        <v>106987</v>
      </c>
      <c r="AA123" s="13">
        <v>1118214</v>
      </c>
      <c r="AB123" s="11">
        <v>100904</v>
      </c>
      <c r="AC123" s="11">
        <v>106335</v>
      </c>
      <c r="AD123" s="12">
        <v>5.3823436137318603E-2</v>
      </c>
      <c r="AE123" s="12">
        <v>0.480837377431796</v>
      </c>
      <c r="AF123" s="12">
        <v>0.21173590739713</v>
      </c>
      <c r="AG123" s="12">
        <v>8.6587251248711694E-2</v>
      </c>
      <c r="AH123" s="12">
        <v>8.5794418457147401E-2</v>
      </c>
      <c r="AI123" s="14">
        <v>0.24243835725045601</v>
      </c>
      <c r="AJ123" s="4">
        <v>97652</v>
      </c>
      <c r="AK123" s="5">
        <v>52840</v>
      </c>
      <c r="AL123" s="5">
        <v>37818</v>
      </c>
      <c r="AM123" s="5">
        <v>18512</v>
      </c>
      <c r="AN123" s="6">
        <v>0.54110514889607997</v>
      </c>
      <c r="AO123" s="6">
        <v>0.38727317412853801</v>
      </c>
      <c r="AP123" s="6">
        <v>0.18957113013558299</v>
      </c>
      <c r="AQ123" s="6">
        <v>0.15383197476754201</v>
      </c>
      <c r="AR123" s="6">
        <v>0.19770204399295499</v>
      </c>
      <c r="AS123" s="6">
        <v>9.5164461557367006E-2</v>
      </c>
      <c r="AT123" s="6">
        <v>9.4406668578216502E-2</v>
      </c>
      <c r="AU123" s="7">
        <v>80276</v>
      </c>
      <c r="AV123" s="7">
        <v>104197</v>
      </c>
      <c r="AW123" s="7">
        <v>1036358</v>
      </c>
      <c r="AX123" s="5">
        <v>241196</v>
      </c>
      <c r="AY123" s="5">
        <v>253946</v>
      </c>
      <c r="AZ123" s="6">
        <v>5.2861573160417299E-2</v>
      </c>
      <c r="BA123" s="6">
        <v>0.461381410065071</v>
      </c>
      <c r="BB123" s="6">
        <v>0.24129753395578701</v>
      </c>
      <c r="BC123" s="6">
        <v>7.7198626842899506E-2</v>
      </c>
      <c r="BD123" s="6">
        <v>8.7231960729033706E-2</v>
      </c>
      <c r="BE123" s="8">
        <v>0.23995837410238999</v>
      </c>
      <c r="BF123" s="10">
        <v>179965</v>
      </c>
      <c r="BG123" s="11">
        <v>86727</v>
      </c>
      <c r="BH123" s="11">
        <v>61098</v>
      </c>
      <c r="BI123" s="11">
        <v>28475</v>
      </c>
      <c r="BJ123" s="12">
        <v>0.48191037146111698</v>
      </c>
      <c r="BK123" s="12">
        <v>0.33949934709526902</v>
      </c>
      <c r="BL123" s="12">
        <v>0.158225210457589</v>
      </c>
      <c r="BM123" s="12">
        <v>0.14241102436584899</v>
      </c>
      <c r="BN123" s="12">
        <v>0.18127413663767999</v>
      </c>
      <c r="BO123" s="12">
        <v>7.7692884727585898E-2</v>
      </c>
      <c r="BP123" s="12">
        <v>8.0532325730003101E-2</v>
      </c>
      <c r="BQ123" s="13">
        <v>71578</v>
      </c>
      <c r="BR123" s="13">
        <v>94088</v>
      </c>
      <c r="BS123" s="13">
        <v>818469</v>
      </c>
      <c r="BT123" s="11">
        <v>463146</v>
      </c>
      <c r="BU123" s="11">
        <v>490843</v>
      </c>
      <c r="BV123" s="12">
        <v>5.9801876730016003E-2</v>
      </c>
      <c r="BW123" s="12">
        <v>0.42335391961484597</v>
      </c>
      <c r="BX123" s="12">
        <v>0.28774079879778702</v>
      </c>
      <c r="BY123" s="12">
        <v>7.0927957922555698E-2</v>
      </c>
      <c r="BZ123" s="12">
        <v>9.4916073980990903E-2</v>
      </c>
      <c r="CA123" s="14">
        <v>0.21521075427618899</v>
      </c>
      <c r="CB123" s="86">
        <f t="shared" si="23"/>
        <v>24694811.650217336</v>
      </c>
      <c r="CC123" s="83">
        <v>7519719.5877180398</v>
      </c>
      <c r="CD123" s="83">
        <v>11902162.782499401</v>
      </c>
      <c r="CE123" s="83">
        <v>3834663.7699998901</v>
      </c>
      <c r="CF123" s="83">
        <v>1438265.51</v>
      </c>
      <c r="CG123" s="90">
        <f t="shared" si="24"/>
        <v>0.30450605148275589</v>
      </c>
      <c r="CH123" s="90">
        <f t="shared" si="24"/>
        <v>0.48197017863850167</v>
      </c>
      <c r="CI123" s="90">
        <f t="shared" si="17"/>
        <v>0.15528216308408821</v>
      </c>
      <c r="CK123" s="86">
        <f t="shared" si="15"/>
        <v>23979060</v>
      </c>
      <c r="CL123" s="83">
        <v>7167525</v>
      </c>
      <c r="CM123" s="83">
        <v>11655860</v>
      </c>
      <c r="CN123" s="83">
        <v>3736869</v>
      </c>
      <c r="CO123" s="83">
        <v>1418806</v>
      </c>
      <c r="CP123" s="90">
        <f t="shared" si="16"/>
        <v>0.29890767194377094</v>
      </c>
      <c r="CQ123" s="90">
        <f t="shared" si="16"/>
        <v>0.48608494244561712</v>
      </c>
      <c r="CR123" s="90">
        <f t="shared" si="16"/>
        <v>0.15583884439173179</v>
      </c>
    </row>
    <row r="124" spans="1:96" ht="25.5" thickTop="1" thickBot="1" x14ac:dyDescent="0.3">
      <c r="A124" s="3" t="s">
        <v>296</v>
      </c>
      <c r="B124" s="3" t="s">
        <v>687</v>
      </c>
      <c r="C124" s="3" t="s">
        <v>687</v>
      </c>
      <c r="D124" s="16">
        <v>45456</v>
      </c>
      <c r="E124" s="39" t="s">
        <v>551</v>
      </c>
      <c r="F124" s="16" t="s">
        <v>688</v>
      </c>
      <c r="G124" s="17">
        <f>H124*0.8</f>
        <v>22433.600000000002</v>
      </c>
      <c r="H124" s="17">
        <v>28042</v>
      </c>
      <c r="I124" s="17" t="s">
        <v>585</v>
      </c>
      <c r="J124" s="18"/>
      <c r="K124" s="18"/>
      <c r="L124" s="18"/>
      <c r="M124" s="18" t="s">
        <v>598</v>
      </c>
      <c r="N124" s="42">
        <v>35883</v>
      </c>
      <c r="O124" s="43">
        <v>16242</v>
      </c>
      <c r="P124" s="11">
        <v>11054</v>
      </c>
      <c r="Q124" s="11">
        <v>4226</v>
      </c>
      <c r="R124" s="12">
        <v>0.452637739319455</v>
      </c>
      <c r="S124" s="44">
        <v>0.30805673996042698</v>
      </c>
      <c r="T124" s="44">
        <v>0.117771646740796</v>
      </c>
      <c r="U124" s="44">
        <v>0.14458099935902799</v>
      </c>
      <c r="V124" s="44">
        <v>0.19028509321963</v>
      </c>
      <c r="W124" s="44">
        <v>5.83841930719282E-2</v>
      </c>
      <c r="X124" s="44">
        <v>5.9387453668868301E-2</v>
      </c>
      <c r="Y124" s="139">
        <v>67286</v>
      </c>
      <c r="Z124" s="139">
        <v>91119</v>
      </c>
      <c r="AA124" s="139">
        <v>793271</v>
      </c>
      <c r="AB124" s="138">
        <v>92964</v>
      </c>
      <c r="AC124" s="138">
        <v>96075</v>
      </c>
      <c r="AD124" s="135">
        <v>3.3464566929133903E-2</v>
      </c>
      <c r="AE124" s="135">
        <v>0.26346638174463899</v>
      </c>
      <c r="AF124" s="135">
        <v>0.20453078611075301</v>
      </c>
      <c r="AG124" s="135">
        <v>2.3622047244094498E-2</v>
      </c>
      <c r="AH124" s="135">
        <v>2.8365819026720002E-2</v>
      </c>
      <c r="AI124" s="136">
        <v>0.232348005679618</v>
      </c>
      <c r="AJ124" s="141">
        <v>80869</v>
      </c>
      <c r="AK124" s="142">
        <v>37516</v>
      </c>
      <c r="AL124" s="142">
        <v>26526</v>
      </c>
      <c r="AM124" s="142">
        <v>11227</v>
      </c>
      <c r="AN124" s="143">
        <v>0.46391076926881702</v>
      </c>
      <c r="AO124" s="143">
        <v>0.32801196997613402</v>
      </c>
      <c r="AP124" s="143">
        <v>0.13882946493712101</v>
      </c>
      <c r="AQ124" s="143">
        <v>0.135898799292683</v>
      </c>
      <c r="AR124" s="143">
        <v>0.18918250503901399</v>
      </c>
      <c r="AS124" s="143">
        <v>7.3303738144406397E-2</v>
      </c>
      <c r="AT124" s="143">
        <v>6.5525726792714095E-2</v>
      </c>
      <c r="AU124" s="144">
        <v>68974</v>
      </c>
      <c r="AV124" s="144">
        <v>94568</v>
      </c>
      <c r="AW124" s="144">
        <v>890826</v>
      </c>
      <c r="AX124" s="142">
        <v>208897</v>
      </c>
      <c r="AY124" s="142">
        <v>216765</v>
      </c>
      <c r="AZ124" s="143">
        <v>3.7664494942483598E-2</v>
      </c>
      <c r="BA124" s="143">
        <v>0.27241703850659199</v>
      </c>
      <c r="BB124" s="143">
        <v>0.19638865086621601</v>
      </c>
      <c r="BC124" s="143">
        <v>2.5175086286543101E-2</v>
      </c>
      <c r="BD124" s="143">
        <v>2.6764386276490301E-2</v>
      </c>
      <c r="BE124" s="146">
        <v>0.237136004825345</v>
      </c>
      <c r="BF124" s="137">
        <v>114042</v>
      </c>
      <c r="BG124" s="138">
        <v>54904</v>
      </c>
      <c r="BH124" s="138">
        <v>39625</v>
      </c>
      <c r="BI124" s="138">
        <v>17513</v>
      </c>
      <c r="BJ124" s="135">
        <v>0.48143666368530902</v>
      </c>
      <c r="BK124" s="135">
        <v>0.34745970782694102</v>
      </c>
      <c r="BL124" s="135">
        <v>0.153566229985444</v>
      </c>
      <c r="BM124" s="135">
        <v>0.133976955858368</v>
      </c>
      <c r="BN124" s="135">
        <v>0.19389347784149699</v>
      </c>
      <c r="BO124" s="135">
        <v>8.0321285140562207E-2</v>
      </c>
      <c r="BP124" s="135">
        <v>7.3244944844881699E-2</v>
      </c>
      <c r="BQ124" s="139">
        <v>71737</v>
      </c>
      <c r="BR124" s="139">
        <v>98276</v>
      </c>
      <c r="BS124" s="139">
        <v>943498</v>
      </c>
      <c r="BT124" s="138">
        <v>295489</v>
      </c>
      <c r="BU124" s="138">
        <v>304889</v>
      </c>
      <c r="BV124" s="135">
        <v>3.18116748846827E-2</v>
      </c>
      <c r="BW124" s="135">
        <v>0.29185394604437198</v>
      </c>
      <c r="BX124" s="135">
        <v>0.18380041219808499</v>
      </c>
      <c r="BY124" s="135">
        <v>2.9134756285344E-2</v>
      </c>
      <c r="BZ124" s="135">
        <v>2.83800750620158E-2</v>
      </c>
      <c r="CA124" s="136">
        <v>0.236668708479842</v>
      </c>
      <c r="CB124" s="98">
        <v>17500000</v>
      </c>
      <c r="CC124" s="83" t="s">
        <v>598</v>
      </c>
      <c r="CD124" s="83" t="s">
        <v>598</v>
      </c>
      <c r="CE124" s="83" t="s">
        <v>598</v>
      </c>
      <c r="CF124" s="83" t="s">
        <v>598</v>
      </c>
      <c r="CG124" s="99">
        <v>0.27</v>
      </c>
      <c r="CH124" s="99">
        <v>0.48</v>
      </c>
      <c r="CI124" s="90" t="str">
        <f t="shared" si="17"/>
        <v/>
      </c>
      <c r="CK124" s="98">
        <v>17500000</v>
      </c>
      <c r="CL124" s="83" t="s">
        <v>598</v>
      </c>
      <c r="CM124" s="83" t="s">
        <v>598</v>
      </c>
      <c r="CN124" s="83" t="s">
        <v>598</v>
      </c>
      <c r="CO124" s="83" t="s">
        <v>598</v>
      </c>
      <c r="CP124" s="99">
        <v>0.27</v>
      </c>
      <c r="CQ124" s="99">
        <v>0.48</v>
      </c>
      <c r="CR124" s="90" t="str">
        <f t="shared" si="16"/>
        <v/>
      </c>
    </row>
    <row r="125" spans="1:96" ht="37.5" thickTop="1" thickBot="1" x14ac:dyDescent="0.3">
      <c r="A125" s="3" t="s">
        <v>291</v>
      </c>
      <c r="B125" s="3">
        <v>534</v>
      </c>
      <c r="C125" s="3" t="s">
        <v>89</v>
      </c>
      <c r="D125" s="16">
        <v>43783</v>
      </c>
      <c r="E125" s="16" t="s">
        <v>529</v>
      </c>
      <c r="F125" s="16" t="s">
        <v>371</v>
      </c>
      <c r="G125" s="17">
        <v>19352</v>
      </c>
      <c r="H125" s="17">
        <v>24814</v>
      </c>
      <c r="I125" s="17" t="s">
        <v>584</v>
      </c>
      <c r="J125" s="18"/>
      <c r="K125" s="18" t="s">
        <v>598</v>
      </c>
      <c r="L125" s="18"/>
      <c r="M125" s="18" t="s">
        <v>519</v>
      </c>
      <c r="N125" s="10">
        <v>20765</v>
      </c>
      <c r="O125" s="11">
        <v>10638</v>
      </c>
      <c r="P125" s="11">
        <v>7136</v>
      </c>
      <c r="Q125" s="11">
        <v>2657</v>
      </c>
      <c r="R125" s="12">
        <v>0.51230435829520804</v>
      </c>
      <c r="S125" s="12">
        <v>0.34365518901998598</v>
      </c>
      <c r="T125" s="12">
        <v>0.12795569467854601</v>
      </c>
      <c r="U125" s="12">
        <v>0.168649169275223</v>
      </c>
      <c r="V125" s="12">
        <v>0.21569949434144001</v>
      </c>
      <c r="W125" s="12">
        <v>7.2814832651095604E-2</v>
      </c>
      <c r="X125" s="12">
        <v>5.5140862027449999E-2</v>
      </c>
      <c r="Y125" s="13">
        <v>76325</v>
      </c>
      <c r="Z125" s="13">
        <v>91355</v>
      </c>
      <c r="AA125" s="13">
        <v>753417</v>
      </c>
      <c r="AB125" s="11">
        <v>61431</v>
      </c>
      <c r="AC125" s="11">
        <v>64532</v>
      </c>
      <c r="AD125" s="12">
        <v>5.04793996516417E-2</v>
      </c>
      <c r="AE125" s="12">
        <v>0.30614711498948499</v>
      </c>
      <c r="AF125" s="12">
        <v>0.208217349546646</v>
      </c>
      <c r="AG125" s="12">
        <v>1.9436440884895202E-2</v>
      </c>
      <c r="AH125" s="12">
        <v>0.57140531653399795</v>
      </c>
      <c r="AI125" s="14">
        <v>0.24899480718204201</v>
      </c>
      <c r="AJ125" s="4">
        <v>46289</v>
      </c>
      <c r="AK125" s="5">
        <v>22712</v>
      </c>
      <c r="AL125" s="5">
        <v>15141</v>
      </c>
      <c r="AM125" s="5">
        <v>5794</v>
      </c>
      <c r="AN125" s="6">
        <v>0.49065652746872901</v>
      </c>
      <c r="AO125" s="6">
        <v>0.32709715051092098</v>
      </c>
      <c r="AP125" s="6">
        <v>0.125170126811986</v>
      </c>
      <c r="AQ125" s="6">
        <v>0.16355937695780901</v>
      </c>
      <c r="AR125" s="6">
        <v>0.201927023698935</v>
      </c>
      <c r="AS125" s="6">
        <v>7.27170602086889E-2</v>
      </c>
      <c r="AT125" s="6">
        <v>5.2453066603296697E-2</v>
      </c>
      <c r="AU125" s="7">
        <v>73361</v>
      </c>
      <c r="AV125" s="7">
        <v>88760</v>
      </c>
      <c r="AW125" s="7">
        <v>789313</v>
      </c>
      <c r="AX125" s="5">
        <v>135240</v>
      </c>
      <c r="AY125" s="5">
        <v>143357</v>
      </c>
      <c r="AZ125" s="6">
        <v>6.0019225081336898E-2</v>
      </c>
      <c r="BA125" s="6">
        <v>0.29959918739362001</v>
      </c>
      <c r="BB125" s="6">
        <v>0.231107660455487</v>
      </c>
      <c r="BC125" s="6">
        <v>2.17613132209406E-2</v>
      </c>
      <c r="BD125" s="6">
        <v>0.52162821650399305</v>
      </c>
      <c r="BE125" s="8">
        <v>0.24648033126294</v>
      </c>
      <c r="BF125" s="10">
        <v>91450</v>
      </c>
      <c r="BG125" s="11">
        <v>43445</v>
      </c>
      <c r="BH125" s="11">
        <v>29547</v>
      </c>
      <c r="BI125" s="11">
        <v>11666</v>
      </c>
      <c r="BJ125" s="12">
        <v>0.47506834335702602</v>
      </c>
      <c r="BK125" s="12">
        <v>0.323094587206124</v>
      </c>
      <c r="BL125" s="12">
        <v>0.12756697648988499</v>
      </c>
      <c r="BM125" s="12">
        <v>0.151973756150902</v>
      </c>
      <c r="BN125" s="12">
        <v>0.195527610716238</v>
      </c>
      <c r="BO125" s="12">
        <v>7.4948059048660504E-2</v>
      </c>
      <c r="BP125" s="12">
        <v>5.2618917441224697E-2</v>
      </c>
      <c r="BQ125" s="13">
        <v>70323</v>
      </c>
      <c r="BR125" s="13">
        <v>86517</v>
      </c>
      <c r="BS125" s="13">
        <v>718049</v>
      </c>
      <c r="BT125" s="11">
        <v>268991</v>
      </c>
      <c r="BU125" s="11">
        <v>287414</v>
      </c>
      <c r="BV125" s="12">
        <v>6.84892803104937E-2</v>
      </c>
      <c r="BW125" s="12">
        <v>0.295376274422887</v>
      </c>
      <c r="BX125" s="12">
        <v>0.24397470547341699</v>
      </c>
      <c r="BY125" s="12">
        <v>3.3543873215088997E-2</v>
      </c>
      <c r="BZ125" s="12">
        <v>0.49188634563981698</v>
      </c>
      <c r="CA125" s="14">
        <v>0.229479796721823</v>
      </c>
      <c r="CB125" s="86">
        <f t="shared" ref="CB125:CB137" si="25">IF(SUM(CC125:CF125)=0,"",SUM(CC125:CF125))</f>
        <v>22365567.215832669</v>
      </c>
      <c r="CC125" s="83">
        <v>3455758.8691665898</v>
      </c>
      <c r="CD125" s="83">
        <v>16275003.8299994</v>
      </c>
      <c r="CE125" s="83">
        <v>1490315.6066666699</v>
      </c>
      <c r="CF125" s="83">
        <v>1144488.9100000099</v>
      </c>
      <c r="CG125" s="90">
        <f t="shared" ref="CG125:CI157" si="26">IFERROR(CC125/$CB125,"")</f>
        <v>0.15451246265376381</v>
      </c>
      <c r="CH125" s="90">
        <f t="shared" si="26"/>
        <v>0.7276812464867094</v>
      </c>
      <c r="CI125" s="90">
        <f t="shared" si="17"/>
        <v>6.6634375613405863E-2</v>
      </c>
      <c r="CK125" s="86">
        <f t="shared" si="15"/>
        <v>22586284</v>
      </c>
      <c r="CL125" s="83">
        <v>3326323</v>
      </c>
      <c r="CM125" s="83">
        <v>16604892</v>
      </c>
      <c r="CN125" s="83">
        <v>1477192</v>
      </c>
      <c r="CO125" s="83">
        <v>1177877</v>
      </c>
      <c r="CP125" s="90">
        <f t="shared" si="16"/>
        <v>0.14727181328278702</v>
      </c>
      <c r="CQ125" s="90">
        <f t="shared" si="16"/>
        <v>0.73517591472771704</v>
      </c>
      <c r="CR125" s="90">
        <f t="shared" si="16"/>
        <v>6.5402170627093859E-2</v>
      </c>
    </row>
    <row r="126" spans="1:96" ht="37.5" thickTop="1" thickBot="1" x14ac:dyDescent="0.3">
      <c r="A126" s="3" t="s">
        <v>309</v>
      </c>
      <c r="B126" s="3">
        <v>2301</v>
      </c>
      <c r="C126" s="3" t="s">
        <v>263</v>
      </c>
      <c r="D126" s="16">
        <v>43300</v>
      </c>
      <c r="E126" s="16" t="s">
        <v>576</v>
      </c>
      <c r="F126" s="16" t="s">
        <v>512</v>
      </c>
      <c r="G126" s="17">
        <v>17628</v>
      </c>
      <c r="H126" s="17">
        <v>21666</v>
      </c>
      <c r="I126" s="17" t="s">
        <v>584</v>
      </c>
      <c r="J126" s="18"/>
      <c r="K126" s="18" t="s">
        <v>519</v>
      </c>
      <c r="L126" s="18"/>
      <c r="M126" s="18" t="s">
        <v>598</v>
      </c>
      <c r="N126" s="10">
        <v>82561</v>
      </c>
      <c r="O126" s="11">
        <v>43746</v>
      </c>
      <c r="P126" s="11">
        <v>34798</v>
      </c>
      <c r="Q126" s="11">
        <v>20993</v>
      </c>
      <c r="R126" s="12">
        <v>0.52986276813507605</v>
      </c>
      <c r="S126" s="12">
        <v>0.42148229793728298</v>
      </c>
      <c r="T126" s="12">
        <v>0.254272598442364</v>
      </c>
      <c r="U126" s="12">
        <v>0.108380470197793</v>
      </c>
      <c r="V126" s="12">
        <v>0.16720969949491901</v>
      </c>
      <c r="W126" s="12">
        <v>9.7212969804144803E-2</v>
      </c>
      <c r="X126" s="12">
        <v>0.15705962863821901</v>
      </c>
      <c r="Y126" s="13">
        <v>80675</v>
      </c>
      <c r="Z126" s="13">
        <v>122312</v>
      </c>
      <c r="AA126" s="13">
        <v>1150394</v>
      </c>
      <c r="AB126" s="11">
        <v>171234</v>
      </c>
      <c r="AC126" s="11">
        <v>183683</v>
      </c>
      <c r="AD126" s="12">
        <v>7.2701683076958998E-2</v>
      </c>
      <c r="AE126" s="12">
        <v>0.63045112478074306</v>
      </c>
      <c r="AF126" s="12">
        <v>0.13859397082355099</v>
      </c>
      <c r="AG126" s="12">
        <v>5.2022378733195498E-2</v>
      </c>
      <c r="AH126" s="12">
        <v>6.7866194797762097E-2</v>
      </c>
      <c r="AI126" s="14">
        <v>0.227489867666468</v>
      </c>
      <c r="AJ126" s="4">
        <v>229522</v>
      </c>
      <c r="AK126" s="5">
        <v>110835</v>
      </c>
      <c r="AL126" s="5">
        <v>84265</v>
      </c>
      <c r="AM126" s="5">
        <v>46514</v>
      </c>
      <c r="AN126" s="6">
        <v>0.48289488589329099</v>
      </c>
      <c r="AO126" s="6">
        <v>0.36713256245588699</v>
      </c>
      <c r="AP126" s="6">
        <v>0.202655954549019</v>
      </c>
      <c r="AQ126" s="6">
        <v>0.115762323437405</v>
      </c>
      <c r="AR126" s="6">
        <v>0.164476607906867</v>
      </c>
      <c r="AS126" s="6">
        <v>8.2166415419872602E-2</v>
      </c>
      <c r="AT126" s="6">
        <v>0.12048953912914701</v>
      </c>
      <c r="AU126" s="7">
        <v>71604</v>
      </c>
      <c r="AV126" s="7">
        <v>107586</v>
      </c>
      <c r="AW126" s="7">
        <v>865880</v>
      </c>
      <c r="AX126" s="5">
        <v>473976</v>
      </c>
      <c r="AY126" s="5">
        <v>508717</v>
      </c>
      <c r="AZ126" s="6">
        <v>7.3296960183638002E-2</v>
      </c>
      <c r="BA126" s="6">
        <v>0.574700207638289</v>
      </c>
      <c r="BB126" s="6">
        <v>0.21749202491265399</v>
      </c>
      <c r="BC126" s="6">
        <v>5.3766435431329897E-2</v>
      </c>
      <c r="BD126" s="6">
        <v>8.1193984505544603E-2</v>
      </c>
      <c r="BE126" s="8">
        <v>0.222884703022938</v>
      </c>
      <c r="BF126" s="10">
        <v>410706</v>
      </c>
      <c r="BG126" s="11">
        <v>199328</v>
      </c>
      <c r="BH126" s="11">
        <v>150229</v>
      </c>
      <c r="BI126" s="11">
        <v>80380</v>
      </c>
      <c r="BJ126" s="12">
        <v>0.48533013883410497</v>
      </c>
      <c r="BK126" s="12">
        <v>0.36578233578277403</v>
      </c>
      <c r="BL126" s="12">
        <v>0.195711774359274</v>
      </c>
      <c r="BM126" s="12">
        <v>0.119547803051331</v>
      </c>
      <c r="BN126" s="12">
        <v>0.17007056142349999</v>
      </c>
      <c r="BO126" s="12">
        <v>8.4956148680564697E-2</v>
      </c>
      <c r="BP126" s="12">
        <v>0.110755625678709</v>
      </c>
      <c r="BQ126" s="13">
        <v>72119</v>
      </c>
      <c r="BR126" s="13">
        <v>104573</v>
      </c>
      <c r="BS126" s="13">
        <v>835080</v>
      </c>
      <c r="BT126" s="11">
        <v>922433</v>
      </c>
      <c r="BU126" s="11">
        <v>991871</v>
      </c>
      <c r="BV126" s="12">
        <v>7.5277011988946596E-2</v>
      </c>
      <c r="BW126" s="12">
        <v>0.51400406604543103</v>
      </c>
      <c r="BX126" s="12">
        <v>0.28541910360969303</v>
      </c>
      <c r="BY126" s="12">
        <v>4.8361235992207603E-2</v>
      </c>
      <c r="BZ126" s="12">
        <v>9.4286522706798201E-2</v>
      </c>
      <c r="CA126" s="14">
        <v>0.21673986078121699</v>
      </c>
      <c r="CB126" s="86">
        <f t="shared" si="25"/>
        <v>41456517.669772901</v>
      </c>
      <c r="CC126" s="83">
        <v>19129150.166440401</v>
      </c>
      <c r="CD126" s="83">
        <v>15617754.3733327</v>
      </c>
      <c r="CE126" s="83">
        <v>5287615.4899998</v>
      </c>
      <c r="CF126" s="83">
        <v>1421997.64</v>
      </c>
      <c r="CG126" s="90">
        <f t="shared" si="26"/>
        <v>0.46142684532299721</v>
      </c>
      <c r="CH126" s="90">
        <f t="shared" si="26"/>
        <v>0.37672615191024689</v>
      </c>
      <c r="CI126" s="90">
        <f t="shared" si="17"/>
        <v>0.12754605999758506</v>
      </c>
      <c r="CK126" s="86">
        <f t="shared" si="15"/>
        <v>39329740</v>
      </c>
      <c r="CL126" s="83">
        <v>16878420</v>
      </c>
      <c r="CM126" s="83">
        <v>15847402</v>
      </c>
      <c r="CN126" s="83">
        <v>5210179</v>
      </c>
      <c r="CO126" s="83">
        <v>1393739</v>
      </c>
      <c r="CP126" s="90">
        <f t="shared" si="16"/>
        <v>0.42915157842385943</v>
      </c>
      <c r="CQ126" s="90">
        <f t="shared" si="16"/>
        <v>0.40293686152006092</v>
      </c>
      <c r="CR126" s="90">
        <f t="shared" si="16"/>
        <v>0.13247428027746941</v>
      </c>
    </row>
    <row r="127" spans="1:96" ht="61.5" thickTop="1" thickBot="1" x14ac:dyDescent="0.3">
      <c r="A127" s="3" t="s">
        <v>302</v>
      </c>
      <c r="B127" s="3">
        <v>1604</v>
      </c>
      <c r="C127" s="3" t="s">
        <v>233</v>
      </c>
      <c r="D127" s="16">
        <v>41949</v>
      </c>
      <c r="E127" s="16" t="s">
        <v>567</v>
      </c>
      <c r="F127" s="16" t="s">
        <v>488</v>
      </c>
      <c r="G127" s="17">
        <v>17279</v>
      </c>
      <c r="H127" s="17">
        <v>20517</v>
      </c>
      <c r="I127" s="17" t="s">
        <v>584</v>
      </c>
      <c r="J127" s="18"/>
      <c r="K127" s="18" t="s">
        <v>598</v>
      </c>
      <c r="L127" s="18"/>
      <c r="M127" s="18" t="s">
        <v>598</v>
      </c>
      <c r="N127" s="10">
        <v>27351</v>
      </c>
      <c r="O127" s="11">
        <v>16262</v>
      </c>
      <c r="P127" s="11">
        <v>12711</v>
      </c>
      <c r="Q127" s="11">
        <v>6961</v>
      </c>
      <c r="R127" s="12">
        <v>0.59456692625498198</v>
      </c>
      <c r="S127" s="12">
        <v>0.46473620708566399</v>
      </c>
      <c r="T127" s="12">
        <v>0.25450623377573001</v>
      </c>
      <c r="U127" s="12">
        <v>0.12983071916931699</v>
      </c>
      <c r="V127" s="12">
        <v>0.21022997330993401</v>
      </c>
      <c r="W127" s="12">
        <v>0.13173192936272901</v>
      </c>
      <c r="X127" s="12">
        <v>0.122774304413001</v>
      </c>
      <c r="Y127" s="13">
        <v>91818</v>
      </c>
      <c r="Z127" s="13">
        <v>115600</v>
      </c>
      <c r="AA127" s="13">
        <v>1441926</v>
      </c>
      <c r="AB127" s="11">
        <v>71472</v>
      </c>
      <c r="AC127" s="11">
        <v>74034</v>
      </c>
      <c r="AD127" s="12">
        <v>3.5846205507051698E-2</v>
      </c>
      <c r="AE127" s="12">
        <v>0.50085126458944396</v>
      </c>
      <c r="AF127" s="12">
        <v>6.3815200358182195E-2</v>
      </c>
      <c r="AG127" s="12">
        <v>0.120424781732707</v>
      </c>
      <c r="AH127" s="12">
        <v>0.12698679203044499</v>
      </c>
      <c r="AI127" s="14">
        <v>0.24655809267965101</v>
      </c>
      <c r="AJ127" s="4">
        <v>65749</v>
      </c>
      <c r="AK127" s="5">
        <v>35247</v>
      </c>
      <c r="AL127" s="5">
        <v>26907</v>
      </c>
      <c r="AM127" s="5">
        <v>14929</v>
      </c>
      <c r="AN127" s="6">
        <v>0.53608419899922399</v>
      </c>
      <c r="AO127" s="6">
        <v>0.409238163318073</v>
      </c>
      <c r="AP127" s="6">
        <v>0.227060487611979</v>
      </c>
      <c r="AQ127" s="6">
        <v>0.12684603568115099</v>
      </c>
      <c r="AR127" s="6">
        <v>0.182177675706094</v>
      </c>
      <c r="AS127" s="6">
        <v>0.109187972440645</v>
      </c>
      <c r="AT127" s="6">
        <v>0.117872515171333</v>
      </c>
      <c r="AU127" s="7">
        <v>80779</v>
      </c>
      <c r="AV127" s="7">
        <v>107963</v>
      </c>
      <c r="AW127" s="7">
        <v>1142718</v>
      </c>
      <c r="AX127" s="5">
        <v>177180</v>
      </c>
      <c r="AY127" s="5">
        <v>184608</v>
      </c>
      <c r="AZ127" s="6">
        <v>4.1923467660006798E-2</v>
      </c>
      <c r="BA127" s="6">
        <v>0.43313486437954801</v>
      </c>
      <c r="BB127" s="6">
        <v>8.4603228355344895E-2</v>
      </c>
      <c r="BC127" s="6">
        <v>0.15259058584490301</v>
      </c>
      <c r="BD127" s="6">
        <v>0.119494299582346</v>
      </c>
      <c r="BE127" s="8">
        <v>0.22717010949317101</v>
      </c>
      <c r="BF127" s="10">
        <v>135785</v>
      </c>
      <c r="BG127" s="11">
        <v>66130</v>
      </c>
      <c r="BH127" s="11">
        <v>48188</v>
      </c>
      <c r="BI127" s="11">
        <v>23854</v>
      </c>
      <c r="BJ127" s="12">
        <v>0.48701992119895399</v>
      </c>
      <c r="BK127" s="12">
        <v>0.354884560150238</v>
      </c>
      <c r="BL127" s="12">
        <v>0.175674779983061</v>
      </c>
      <c r="BM127" s="12">
        <v>0.13213536104871701</v>
      </c>
      <c r="BN127" s="12">
        <v>0.17920978016717601</v>
      </c>
      <c r="BO127" s="12">
        <v>8.8109879589056195E-2</v>
      </c>
      <c r="BP127" s="12">
        <v>8.7564900394005205E-2</v>
      </c>
      <c r="BQ127" s="13">
        <v>72502</v>
      </c>
      <c r="BR127" s="13">
        <v>96309</v>
      </c>
      <c r="BS127" s="13">
        <v>898807</v>
      </c>
      <c r="BT127" s="11">
        <v>360294</v>
      </c>
      <c r="BU127" s="11">
        <v>374353</v>
      </c>
      <c r="BV127" s="12">
        <v>3.9020910700705499E-2</v>
      </c>
      <c r="BW127" s="12">
        <v>0.375934499242355</v>
      </c>
      <c r="BX127" s="12">
        <v>0.11050419934831</v>
      </c>
      <c r="BY127" s="12">
        <v>0.15037164093767899</v>
      </c>
      <c r="BZ127" s="12">
        <v>0.122993999344979</v>
      </c>
      <c r="CA127" s="14">
        <v>0.226256890206331</v>
      </c>
      <c r="CB127" s="86">
        <f t="shared" si="25"/>
        <v>30612186.573070385</v>
      </c>
      <c r="CC127" s="83">
        <v>10175425.3656663</v>
      </c>
      <c r="CD127" s="83">
        <v>12404355.263749501</v>
      </c>
      <c r="CE127" s="83">
        <v>7022284.9756545704</v>
      </c>
      <c r="CF127" s="83">
        <v>1010120.96800001</v>
      </c>
      <c r="CG127" s="90">
        <f t="shared" si="26"/>
        <v>0.33239786192266468</v>
      </c>
      <c r="CH127" s="90">
        <f t="shared" si="26"/>
        <v>0.4052097106536533</v>
      </c>
      <c r="CI127" s="90">
        <f t="shared" si="17"/>
        <v>0.22939507959983793</v>
      </c>
      <c r="CK127" s="86">
        <f t="shared" si="15"/>
        <v>30039345</v>
      </c>
      <c r="CL127" s="83">
        <v>9706453</v>
      </c>
      <c r="CM127" s="83">
        <v>12328018</v>
      </c>
      <c r="CN127" s="83">
        <v>7021865</v>
      </c>
      <c r="CO127" s="83">
        <v>983009</v>
      </c>
      <c r="CP127" s="90">
        <f t="shared" si="16"/>
        <v>0.32312465534784462</v>
      </c>
      <c r="CQ127" s="90">
        <f t="shared" si="16"/>
        <v>0.41039569937360487</v>
      </c>
      <c r="CR127" s="90">
        <f t="shared" si="16"/>
        <v>0.23375559620224742</v>
      </c>
    </row>
    <row r="128" spans="1:96" ht="49.5" thickTop="1" thickBot="1" x14ac:dyDescent="0.3">
      <c r="A128" s="3" t="s">
        <v>300</v>
      </c>
      <c r="B128" s="3">
        <v>1407</v>
      </c>
      <c r="C128" s="3" t="s">
        <v>219</v>
      </c>
      <c r="D128" s="16">
        <v>41697</v>
      </c>
      <c r="E128" s="16" t="s">
        <v>561</v>
      </c>
      <c r="F128" s="16" t="s">
        <v>477</v>
      </c>
      <c r="G128" s="17">
        <v>16945</v>
      </c>
      <c r="H128" s="17">
        <v>20000</v>
      </c>
      <c r="I128" s="17" t="s">
        <v>584</v>
      </c>
      <c r="J128" s="18"/>
      <c r="K128" s="18" t="s">
        <v>598</v>
      </c>
      <c r="L128" s="18" t="s">
        <v>587</v>
      </c>
      <c r="M128" s="18" t="s">
        <v>598</v>
      </c>
      <c r="N128" s="10">
        <v>40456</v>
      </c>
      <c r="O128" s="11">
        <v>19130</v>
      </c>
      <c r="P128" s="11">
        <v>14586</v>
      </c>
      <c r="Q128" s="11">
        <v>7723</v>
      </c>
      <c r="R128" s="12">
        <v>0.47285940280798899</v>
      </c>
      <c r="S128" s="12">
        <v>0.36053984575835502</v>
      </c>
      <c r="T128" s="12">
        <v>0.19089875420209601</v>
      </c>
      <c r="U128" s="12">
        <v>0.11231955704963401</v>
      </c>
      <c r="V128" s="12">
        <v>0.169641091556259</v>
      </c>
      <c r="W128" s="12">
        <v>9.0963021554281195E-2</v>
      </c>
      <c r="X128" s="12">
        <v>9.9935732647814898E-2</v>
      </c>
      <c r="Y128" s="13">
        <v>70349</v>
      </c>
      <c r="Z128" s="13">
        <v>99240</v>
      </c>
      <c r="AA128" s="13">
        <v>988279</v>
      </c>
      <c r="AB128" s="11">
        <v>112571</v>
      </c>
      <c r="AC128" s="11">
        <v>118255</v>
      </c>
      <c r="AD128" s="12">
        <v>5.0492578017428999E-2</v>
      </c>
      <c r="AE128" s="12">
        <v>0.28654675420535303</v>
      </c>
      <c r="AF128" s="12">
        <v>0.17014151069103101</v>
      </c>
      <c r="AG128" s="12">
        <v>0.19491698572456501</v>
      </c>
      <c r="AH128" s="12">
        <v>0.100771957253644</v>
      </c>
      <c r="AI128" s="14">
        <v>0.24420143731511701</v>
      </c>
      <c r="AJ128" s="4">
        <v>79548</v>
      </c>
      <c r="AK128" s="5">
        <v>39382</v>
      </c>
      <c r="AL128" s="5">
        <v>29992</v>
      </c>
      <c r="AM128" s="5">
        <v>15349</v>
      </c>
      <c r="AN128" s="6">
        <v>0.49507215769095397</v>
      </c>
      <c r="AO128" s="6">
        <v>0.37703022074722198</v>
      </c>
      <c r="AP128" s="6">
        <v>0.19295268265701199</v>
      </c>
      <c r="AQ128" s="6">
        <v>0.118041936943732</v>
      </c>
      <c r="AR128" s="6">
        <v>0.18407753809020999</v>
      </c>
      <c r="AS128" s="6">
        <v>9.1969628400462605E-2</v>
      </c>
      <c r="AT128" s="6">
        <v>0.10098305425655001</v>
      </c>
      <c r="AU128" s="7">
        <v>74104</v>
      </c>
      <c r="AV128" s="7">
        <v>101166</v>
      </c>
      <c r="AW128" s="7">
        <v>1031073</v>
      </c>
      <c r="AX128" s="5">
        <v>220171</v>
      </c>
      <c r="AY128" s="5">
        <v>231815</v>
      </c>
      <c r="AZ128" s="6">
        <v>5.2886165752982897E-2</v>
      </c>
      <c r="BA128" s="6">
        <v>0.27501727371434198</v>
      </c>
      <c r="BB128" s="6">
        <v>0.16158803838834401</v>
      </c>
      <c r="BC128" s="6">
        <v>0.16357285927756199</v>
      </c>
      <c r="BD128" s="6">
        <v>8.8086078548037697E-2</v>
      </c>
      <c r="BE128" s="8">
        <v>0.24989667122373099</v>
      </c>
      <c r="BF128" s="10">
        <v>133550</v>
      </c>
      <c r="BG128" s="11">
        <v>65141</v>
      </c>
      <c r="BH128" s="11">
        <v>49314</v>
      </c>
      <c r="BI128" s="11">
        <v>25064</v>
      </c>
      <c r="BJ128" s="12">
        <v>0.48776488206664198</v>
      </c>
      <c r="BK128" s="12">
        <v>0.36925496068888097</v>
      </c>
      <c r="BL128" s="12">
        <v>0.187675028079371</v>
      </c>
      <c r="BM128" s="12">
        <v>0.11850992137776099</v>
      </c>
      <c r="BN128" s="12">
        <v>0.18157993260951</v>
      </c>
      <c r="BO128" s="12">
        <v>9.2040434294271806E-2</v>
      </c>
      <c r="BP128" s="12">
        <v>9.5634593785099198E-2</v>
      </c>
      <c r="BQ128" s="13">
        <v>72820</v>
      </c>
      <c r="BR128" s="13">
        <v>99547</v>
      </c>
      <c r="BS128" s="13">
        <v>962836</v>
      </c>
      <c r="BT128" s="11">
        <v>363147</v>
      </c>
      <c r="BU128" s="11">
        <v>385058</v>
      </c>
      <c r="BV128" s="12">
        <v>6.0336447774592697E-2</v>
      </c>
      <c r="BW128" s="12">
        <v>0.28328206853462801</v>
      </c>
      <c r="BX128" s="12">
        <v>0.16542061479235701</v>
      </c>
      <c r="BY128" s="12">
        <v>0.156080044720182</v>
      </c>
      <c r="BZ128" s="12">
        <v>8.8498596986895106E-2</v>
      </c>
      <c r="CA128" s="14">
        <v>0.24163768391312601</v>
      </c>
      <c r="CB128" s="86">
        <f t="shared" si="25"/>
        <v>17235145.249999441</v>
      </c>
      <c r="CC128" s="83">
        <v>3638009.8799999198</v>
      </c>
      <c r="CD128" s="83">
        <v>9993716.6599995606</v>
      </c>
      <c r="CE128" s="83">
        <v>2670592.1499999501</v>
      </c>
      <c r="CF128" s="83">
        <v>932826.56000000902</v>
      </c>
      <c r="CG128" s="90">
        <f t="shared" si="26"/>
        <v>0.21108089472005104</v>
      </c>
      <c r="CH128" s="90">
        <f t="shared" si="26"/>
        <v>0.57984522410682238</v>
      </c>
      <c r="CI128" s="90">
        <f t="shared" si="17"/>
        <v>0.15495037095785641</v>
      </c>
      <c r="CK128" s="86">
        <f t="shared" si="15"/>
        <v>16821178</v>
      </c>
      <c r="CL128" s="83">
        <v>3422422</v>
      </c>
      <c r="CM128" s="83">
        <v>9861765</v>
      </c>
      <c r="CN128" s="83">
        <v>2604907</v>
      </c>
      <c r="CO128" s="83">
        <v>932084</v>
      </c>
      <c r="CP128" s="90">
        <f t="shared" si="16"/>
        <v>0.20345911564576513</v>
      </c>
      <c r="CQ128" s="90">
        <f t="shared" si="16"/>
        <v>0.58627077128605376</v>
      </c>
      <c r="CR128" s="90">
        <f t="shared" si="16"/>
        <v>0.15485877386232996</v>
      </c>
    </row>
    <row r="129" spans="1:96" ht="37.5" thickTop="1" thickBot="1" x14ac:dyDescent="0.3">
      <c r="A129" s="3" t="s">
        <v>312</v>
      </c>
      <c r="B129" s="3">
        <v>2604</v>
      </c>
      <c r="C129" s="3" t="s">
        <v>273</v>
      </c>
      <c r="D129" s="16">
        <v>44512</v>
      </c>
      <c r="E129" s="16" t="s">
        <v>579</v>
      </c>
      <c r="F129" s="16" t="s">
        <v>662</v>
      </c>
      <c r="G129" s="17">
        <v>21423</v>
      </c>
      <c r="H129" s="17">
        <v>28276</v>
      </c>
      <c r="I129" s="17" t="s">
        <v>585</v>
      </c>
      <c r="J129" s="18"/>
      <c r="K129" s="18" t="s">
        <v>598</v>
      </c>
      <c r="L129" s="18"/>
      <c r="M129" s="18" t="s">
        <v>519</v>
      </c>
      <c r="N129" s="10">
        <v>43730</v>
      </c>
      <c r="O129" s="11">
        <v>19968</v>
      </c>
      <c r="P129" s="11">
        <v>13159</v>
      </c>
      <c r="Q129" s="11">
        <v>4811</v>
      </c>
      <c r="R129" s="12">
        <v>0.45662016922021498</v>
      </c>
      <c r="S129" s="12">
        <v>0.30091470386462399</v>
      </c>
      <c r="T129" s="12">
        <v>0.110016007317631</v>
      </c>
      <c r="U129" s="12">
        <v>0.15570546535559099</v>
      </c>
      <c r="V129" s="12">
        <v>0.19089869654699301</v>
      </c>
      <c r="W129" s="12">
        <v>6.9380288131717399E-2</v>
      </c>
      <c r="X129" s="12">
        <v>4.0635719185913598E-2</v>
      </c>
      <c r="Y129" s="13">
        <v>67562</v>
      </c>
      <c r="Z129" s="13">
        <v>82817</v>
      </c>
      <c r="AA129" s="13">
        <v>724711</v>
      </c>
      <c r="AB129" s="11">
        <v>104931</v>
      </c>
      <c r="AC129" s="11">
        <v>107072</v>
      </c>
      <c r="AD129" s="12">
        <v>2.0403884457405298E-2</v>
      </c>
      <c r="AE129" s="12">
        <v>0.28410127737226298</v>
      </c>
      <c r="AF129" s="12">
        <v>3.2021042399291003E-2</v>
      </c>
      <c r="AG129" s="12">
        <v>4.3847861928314802E-2</v>
      </c>
      <c r="AH129" s="12">
        <v>7.0741725514862103E-2</v>
      </c>
      <c r="AI129" s="14">
        <v>0.27516177297462102</v>
      </c>
      <c r="AJ129" s="4">
        <v>99987</v>
      </c>
      <c r="AK129" s="5">
        <v>50005</v>
      </c>
      <c r="AL129" s="5">
        <v>34634</v>
      </c>
      <c r="AM129" s="5">
        <v>14161</v>
      </c>
      <c r="AN129" s="6">
        <v>0.50011501495194399</v>
      </c>
      <c r="AO129" s="6">
        <v>0.34638503005390697</v>
      </c>
      <c r="AP129" s="6">
        <v>0.14162841169352</v>
      </c>
      <c r="AQ129" s="6">
        <v>0.15372998489803699</v>
      </c>
      <c r="AR129" s="6">
        <v>0.204756618360387</v>
      </c>
      <c r="AS129" s="6">
        <v>8.0030403952513804E-2</v>
      </c>
      <c r="AT129" s="6">
        <v>6.1598007741006301E-2</v>
      </c>
      <c r="AU129" s="7">
        <v>75015</v>
      </c>
      <c r="AV129" s="7">
        <v>91436</v>
      </c>
      <c r="AW129" s="7">
        <v>947401</v>
      </c>
      <c r="AX129" s="5">
        <v>252480</v>
      </c>
      <c r="AY129" s="5">
        <v>258280</v>
      </c>
      <c r="AZ129" s="6">
        <v>2.29721166032953E-2</v>
      </c>
      <c r="BA129" s="6">
        <v>0.31621317888094103</v>
      </c>
      <c r="BB129" s="6">
        <v>3.03113117870722E-2</v>
      </c>
      <c r="BC129" s="6">
        <v>5.6372782002534899E-2</v>
      </c>
      <c r="BD129" s="6">
        <v>8.1586660329531005E-2</v>
      </c>
      <c r="BE129" s="8">
        <v>0.26878168567807398</v>
      </c>
      <c r="BF129" s="10">
        <v>182508</v>
      </c>
      <c r="BG129" s="11">
        <v>89332</v>
      </c>
      <c r="BH129" s="11">
        <v>62227</v>
      </c>
      <c r="BI129" s="11">
        <v>26548</v>
      </c>
      <c r="BJ129" s="12">
        <v>0.48946895478554397</v>
      </c>
      <c r="BK129" s="12">
        <v>0.34095491704473202</v>
      </c>
      <c r="BL129" s="12">
        <v>0.14546211672913001</v>
      </c>
      <c r="BM129" s="12">
        <v>0.14851403774081101</v>
      </c>
      <c r="BN129" s="12">
        <v>0.19549280031560301</v>
      </c>
      <c r="BO129" s="12">
        <v>8.2856641900628997E-2</v>
      </c>
      <c r="BP129" s="12">
        <v>6.2605474828500707E-2</v>
      </c>
      <c r="BQ129" s="13">
        <v>72997</v>
      </c>
      <c r="BR129" s="13">
        <v>90985</v>
      </c>
      <c r="BS129" s="13">
        <v>944294</v>
      </c>
      <c r="BT129" s="11">
        <v>468195</v>
      </c>
      <c r="BU129" s="11">
        <v>479209</v>
      </c>
      <c r="BV129" s="12">
        <v>2.35243862066019E-2</v>
      </c>
      <c r="BW129" s="12">
        <v>0.320287932317667</v>
      </c>
      <c r="BX129" s="12">
        <v>3.0858936981386E-2</v>
      </c>
      <c r="BY129" s="12">
        <v>6.9998611689573803E-2</v>
      </c>
      <c r="BZ129" s="12">
        <v>9.67353346362093E-2</v>
      </c>
      <c r="CA129" s="14">
        <v>0.26601522869744398</v>
      </c>
      <c r="CB129" s="86">
        <f t="shared" si="25"/>
        <v>27259554.159998629</v>
      </c>
      <c r="CC129" s="83">
        <v>9781569.7399994303</v>
      </c>
      <c r="CD129" s="83">
        <v>12294129.3799993</v>
      </c>
      <c r="CE129" s="83">
        <v>3760555.9999998999</v>
      </c>
      <c r="CF129" s="83">
        <v>1423299.04</v>
      </c>
      <c r="CG129" s="90">
        <f t="shared" si="26"/>
        <v>0.35883087751864839</v>
      </c>
      <c r="CH129" s="90">
        <f t="shared" si="26"/>
        <v>0.45100258455584069</v>
      </c>
      <c r="CI129" s="90">
        <f t="shared" si="17"/>
        <v>0.13795368691386142</v>
      </c>
      <c r="CK129" s="86">
        <f t="shared" si="15"/>
        <v>27941702</v>
      </c>
      <c r="CL129" s="83">
        <v>9763854</v>
      </c>
      <c r="CM129" s="83">
        <v>12902693</v>
      </c>
      <c r="CN129" s="83">
        <v>3868068</v>
      </c>
      <c r="CO129" s="83">
        <v>1407087</v>
      </c>
      <c r="CP129" s="90">
        <f t="shared" si="16"/>
        <v>0.34943662343832882</v>
      </c>
      <c r="CQ129" s="90">
        <f t="shared" si="16"/>
        <v>0.46177190637850191</v>
      </c>
      <c r="CR129" s="90">
        <f t="shared" si="16"/>
        <v>0.13843351417891436</v>
      </c>
    </row>
    <row r="130" spans="1:96" ht="37.5" thickTop="1" thickBot="1" x14ac:dyDescent="0.3">
      <c r="A130" s="3" t="s">
        <v>297</v>
      </c>
      <c r="B130" s="3">
        <v>1114</v>
      </c>
      <c r="C130" s="3" t="s">
        <v>180</v>
      </c>
      <c r="D130" s="16">
        <v>42285</v>
      </c>
      <c r="E130" s="16" t="s">
        <v>552</v>
      </c>
      <c r="F130" s="16" t="s">
        <v>448</v>
      </c>
      <c r="G130" s="17">
        <v>17964</v>
      </c>
      <c r="H130" s="17">
        <v>21877</v>
      </c>
      <c r="I130" s="17" t="s">
        <v>584</v>
      </c>
      <c r="J130" s="18"/>
      <c r="K130" s="18" t="s">
        <v>598</v>
      </c>
      <c r="L130" s="18" t="s">
        <v>519</v>
      </c>
      <c r="M130" s="18" t="s">
        <v>598</v>
      </c>
      <c r="N130" s="10">
        <v>49967</v>
      </c>
      <c r="O130" s="11">
        <v>29444</v>
      </c>
      <c r="P130" s="11">
        <v>21349</v>
      </c>
      <c r="Q130" s="11">
        <v>9949</v>
      </c>
      <c r="R130" s="12">
        <v>0.58926891748554</v>
      </c>
      <c r="S130" s="12">
        <v>0.42726199291532402</v>
      </c>
      <c r="T130" s="12">
        <v>0.19911141353293199</v>
      </c>
      <c r="U130" s="12">
        <v>0.16200692457021601</v>
      </c>
      <c r="V130" s="12">
        <v>0.228150579382392</v>
      </c>
      <c r="W130" s="12">
        <v>0.103588368323093</v>
      </c>
      <c r="X130" s="12">
        <v>9.5523045209838495E-2</v>
      </c>
      <c r="Y130" s="13">
        <v>86877</v>
      </c>
      <c r="Z130" s="13">
        <v>106486</v>
      </c>
      <c r="AA130" s="13">
        <v>1093304</v>
      </c>
      <c r="AB130" s="11">
        <v>159890</v>
      </c>
      <c r="AC130" s="11">
        <v>165369</v>
      </c>
      <c r="AD130" s="12">
        <v>3.42673087747827E-2</v>
      </c>
      <c r="AE130" s="12">
        <v>0.334352691762896</v>
      </c>
      <c r="AF130" s="12">
        <v>0.22165864031521701</v>
      </c>
      <c r="AG130" s="12">
        <v>0.29510913753205298</v>
      </c>
      <c r="AH130" s="12">
        <v>0.138639064356745</v>
      </c>
      <c r="AI130" s="14">
        <v>0.22202138970542201</v>
      </c>
      <c r="AJ130" s="4">
        <v>94195</v>
      </c>
      <c r="AK130" s="5">
        <v>50660</v>
      </c>
      <c r="AL130" s="5">
        <v>35891</v>
      </c>
      <c r="AM130" s="5">
        <v>16508</v>
      </c>
      <c r="AN130" s="6">
        <v>0.53782047879399097</v>
      </c>
      <c r="AO130" s="6">
        <v>0.38102871702319702</v>
      </c>
      <c r="AP130" s="6">
        <v>0.175253463559637</v>
      </c>
      <c r="AQ130" s="6">
        <v>0.15679176177079501</v>
      </c>
      <c r="AR130" s="6">
        <v>0.20577525346355999</v>
      </c>
      <c r="AS130" s="6">
        <v>9.0015393598386298E-2</v>
      </c>
      <c r="AT130" s="6">
        <v>8.5238069961250607E-2</v>
      </c>
      <c r="AU130" s="7">
        <v>79707</v>
      </c>
      <c r="AV130" s="7">
        <v>99192</v>
      </c>
      <c r="AW130" s="7">
        <v>916092</v>
      </c>
      <c r="AX130" s="5">
        <v>310264</v>
      </c>
      <c r="AY130" s="5">
        <v>320844</v>
      </c>
      <c r="AZ130" s="6">
        <v>3.4099992264651997E-2</v>
      </c>
      <c r="BA130" s="6">
        <v>0.29634131277946602</v>
      </c>
      <c r="BB130" s="6">
        <v>0.24007619317742299</v>
      </c>
      <c r="BC130" s="6">
        <v>0.29716950725833502</v>
      </c>
      <c r="BD130" s="6">
        <v>0.14137959930897601</v>
      </c>
      <c r="BE130" s="8">
        <v>0.21300569837299799</v>
      </c>
      <c r="BF130" s="10">
        <v>128022</v>
      </c>
      <c r="BG130" s="11">
        <v>62819</v>
      </c>
      <c r="BH130" s="11">
        <v>43652</v>
      </c>
      <c r="BI130" s="11">
        <v>20058</v>
      </c>
      <c r="BJ130" s="12">
        <v>0.49068910031088397</v>
      </c>
      <c r="BK130" s="12">
        <v>0.340972645326585</v>
      </c>
      <c r="BL130" s="12">
        <v>0.156676196278765</v>
      </c>
      <c r="BM130" s="12">
        <v>0.1497164549843</v>
      </c>
      <c r="BN130" s="12">
        <v>0.18429644904782</v>
      </c>
      <c r="BO130" s="12">
        <v>8.0290887503710301E-2</v>
      </c>
      <c r="BP130" s="12">
        <v>7.6385308775054298E-2</v>
      </c>
      <c r="BQ130" s="13">
        <v>73109</v>
      </c>
      <c r="BR130" s="13">
        <v>92732</v>
      </c>
      <c r="BS130" s="13">
        <v>817745</v>
      </c>
      <c r="BT130" s="11">
        <v>422255</v>
      </c>
      <c r="BU130" s="11">
        <v>436831</v>
      </c>
      <c r="BV130" s="12">
        <v>3.4519425465654598E-2</v>
      </c>
      <c r="BW130" s="12">
        <v>0.26532242696102099</v>
      </c>
      <c r="BX130" s="12">
        <v>0.26734082485701799</v>
      </c>
      <c r="BY130" s="12">
        <v>0.29061349184734298</v>
      </c>
      <c r="BZ130" s="12">
        <v>0.142347633538975</v>
      </c>
      <c r="CA130" s="14">
        <v>0.21027341298504501</v>
      </c>
      <c r="CB130" s="86">
        <f t="shared" si="25"/>
        <v>16629274.25199946</v>
      </c>
      <c r="CC130" s="83">
        <v>3963643.8919999199</v>
      </c>
      <c r="CD130" s="83">
        <v>9205605.4999995492</v>
      </c>
      <c r="CE130" s="83">
        <v>2356001.4299999801</v>
      </c>
      <c r="CF130" s="83">
        <v>1104023.4300000099</v>
      </c>
      <c r="CG130" s="90">
        <f t="shared" si="26"/>
        <v>0.23835339004787548</v>
      </c>
      <c r="CH130" s="90">
        <f t="shared" si="26"/>
        <v>0.55357830777808548</v>
      </c>
      <c r="CI130" s="90">
        <f t="shared" si="17"/>
        <v>0.14167794663177805</v>
      </c>
      <c r="CK130" s="86">
        <f t="shared" si="15"/>
        <v>16550453</v>
      </c>
      <c r="CL130" s="83">
        <v>3822441</v>
      </c>
      <c r="CM130" s="83">
        <v>9200593</v>
      </c>
      <c r="CN130" s="83">
        <v>2389637</v>
      </c>
      <c r="CO130" s="83">
        <v>1137782</v>
      </c>
      <c r="CP130" s="90">
        <f t="shared" si="16"/>
        <v>0.23095688075728199</v>
      </c>
      <c r="CQ130" s="90">
        <f t="shared" si="16"/>
        <v>0.55591185328884951</v>
      </c>
      <c r="CR130" s="90">
        <f t="shared" si="16"/>
        <v>0.1443849905498055</v>
      </c>
    </row>
    <row r="131" spans="1:96" ht="49.5" thickTop="1" thickBot="1" x14ac:dyDescent="0.3">
      <c r="A131" s="3" t="s">
        <v>291</v>
      </c>
      <c r="B131" s="3">
        <v>527</v>
      </c>
      <c r="C131" s="3" t="s">
        <v>82</v>
      </c>
      <c r="D131" s="16">
        <v>43300</v>
      </c>
      <c r="E131" s="16" t="s">
        <v>532</v>
      </c>
      <c r="F131" s="16" t="s">
        <v>364</v>
      </c>
      <c r="G131" s="17">
        <v>20130</v>
      </c>
      <c r="H131" s="17">
        <v>24084</v>
      </c>
      <c r="I131" s="17" t="s">
        <v>585</v>
      </c>
      <c r="J131" s="18"/>
      <c r="K131" s="18" t="s">
        <v>598</v>
      </c>
      <c r="L131" s="18" t="s">
        <v>519</v>
      </c>
      <c r="M131" s="18" t="s">
        <v>598</v>
      </c>
      <c r="N131" s="10">
        <v>27339</v>
      </c>
      <c r="O131" s="11">
        <v>19357</v>
      </c>
      <c r="P131" s="11">
        <v>16650</v>
      </c>
      <c r="Q131" s="11">
        <v>11601</v>
      </c>
      <c r="R131" s="12">
        <v>0.70803613884926297</v>
      </c>
      <c r="S131" s="12">
        <v>0.60902008120267703</v>
      </c>
      <c r="T131" s="12">
        <v>0.424338856578514</v>
      </c>
      <c r="U131" s="12">
        <v>9.9016057646585498E-2</v>
      </c>
      <c r="V131" s="12">
        <v>0.184681224624163</v>
      </c>
      <c r="W131" s="12">
        <v>0.13800797395661901</v>
      </c>
      <c r="X131" s="12">
        <v>0.28633088262189499</v>
      </c>
      <c r="Y131" s="13">
        <v>124780</v>
      </c>
      <c r="Z131" s="13">
        <v>166063</v>
      </c>
      <c r="AA131" s="13">
        <v>2574410</v>
      </c>
      <c r="AB131" s="11">
        <v>80142</v>
      </c>
      <c r="AC131" s="11">
        <v>92136</v>
      </c>
      <c r="AD131" s="12">
        <v>0.14965935464550401</v>
      </c>
      <c r="AE131" s="12">
        <v>0.65412186379928305</v>
      </c>
      <c r="AF131" s="12">
        <v>0.10417758478700299</v>
      </c>
      <c r="AG131" s="12">
        <v>0.46415113174115902</v>
      </c>
      <c r="AH131" s="12">
        <v>6.3786778468218897E-2</v>
      </c>
      <c r="AI131" s="14">
        <v>0.314591599910159</v>
      </c>
      <c r="AJ131" s="4">
        <v>72971</v>
      </c>
      <c r="AK131" s="5">
        <v>46679</v>
      </c>
      <c r="AL131" s="5">
        <v>38515</v>
      </c>
      <c r="AM131" s="5">
        <v>24196</v>
      </c>
      <c r="AN131" s="6">
        <v>0.63969248057447503</v>
      </c>
      <c r="AO131" s="6">
        <v>0.52781241863205897</v>
      </c>
      <c r="AP131" s="6">
        <v>0.331583779857752</v>
      </c>
      <c r="AQ131" s="6">
        <v>0.111880061942415</v>
      </c>
      <c r="AR131" s="6">
        <v>0.19622863877430799</v>
      </c>
      <c r="AS131" s="6">
        <v>0.126927135437366</v>
      </c>
      <c r="AT131" s="6">
        <v>0.204656644420386</v>
      </c>
      <c r="AU131" s="7">
        <v>104835</v>
      </c>
      <c r="AV131" s="7">
        <v>139165</v>
      </c>
      <c r="AW131" s="7">
        <v>1891355</v>
      </c>
      <c r="AX131" s="5">
        <v>220658</v>
      </c>
      <c r="AY131" s="5">
        <v>250411</v>
      </c>
      <c r="AZ131" s="6">
        <v>0.134837622021409</v>
      </c>
      <c r="BA131" s="6">
        <v>0.56138964093038002</v>
      </c>
      <c r="BB131" s="6">
        <v>0.15358609250514399</v>
      </c>
      <c r="BC131" s="6">
        <v>0.414523833262334</v>
      </c>
      <c r="BD131" s="6">
        <v>0.120571200681598</v>
      </c>
      <c r="BE131" s="8">
        <v>0.27218591666742198</v>
      </c>
      <c r="BF131" s="10">
        <v>142074</v>
      </c>
      <c r="BG131" s="11">
        <v>78689</v>
      </c>
      <c r="BH131" s="11">
        <v>61488</v>
      </c>
      <c r="BI131" s="11">
        <v>35252</v>
      </c>
      <c r="BJ131" s="12">
        <v>0.55385925644382505</v>
      </c>
      <c r="BK131" s="12">
        <v>0.43278854681363199</v>
      </c>
      <c r="BL131" s="12">
        <v>0.24812421695736001</v>
      </c>
      <c r="BM131" s="12">
        <v>0.12107070963019299</v>
      </c>
      <c r="BN131" s="12">
        <v>0.18466432985627201</v>
      </c>
      <c r="BO131" s="12">
        <v>0.104213297295775</v>
      </c>
      <c r="BP131" s="12">
        <v>0.14391091966158501</v>
      </c>
      <c r="BQ131" s="13">
        <v>84505</v>
      </c>
      <c r="BR131" s="13">
        <v>116498</v>
      </c>
      <c r="BS131" s="13">
        <v>1391179</v>
      </c>
      <c r="BT131" s="11">
        <v>436238</v>
      </c>
      <c r="BU131" s="11">
        <v>487888</v>
      </c>
      <c r="BV131" s="12">
        <v>0.118398672284395</v>
      </c>
      <c r="BW131" s="12">
        <v>0.456945828218564</v>
      </c>
      <c r="BX131" s="12">
        <v>0.22871001609213301</v>
      </c>
      <c r="BY131" s="12">
        <v>0.30495738564728397</v>
      </c>
      <c r="BZ131" s="12">
        <v>0.212202971772289</v>
      </c>
      <c r="CA131" s="14">
        <v>0.249214878116991</v>
      </c>
      <c r="CB131" s="86">
        <f t="shared" si="25"/>
        <v>22574666.859443594</v>
      </c>
      <c r="CC131" s="83">
        <v>6232414.1644442901</v>
      </c>
      <c r="CD131" s="83">
        <v>13424510.564999299</v>
      </c>
      <c r="CE131" s="83">
        <v>1908231.83</v>
      </c>
      <c r="CF131" s="83">
        <v>1009510.3000000099</v>
      </c>
      <c r="CG131" s="90">
        <f t="shared" si="26"/>
        <v>0.27608000610813455</v>
      </c>
      <c r="CH131" s="90">
        <f t="shared" si="26"/>
        <v>0.59467148058415153</v>
      </c>
      <c r="CI131" s="90">
        <f t="shared" si="17"/>
        <v>8.4529789160619886E-2</v>
      </c>
      <c r="CK131" s="86">
        <f t="shared" si="15"/>
        <v>22956954</v>
      </c>
      <c r="CL131" s="83">
        <v>6341143</v>
      </c>
      <c r="CM131" s="83">
        <v>13661958</v>
      </c>
      <c r="CN131" s="83">
        <v>1949837</v>
      </c>
      <c r="CO131" s="83">
        <v>1004016</v>
      </c>
      <c r="CP131" s="90">
        <f t="shared" si="16"/>
        <v>0.27621883112193368</v>
      </c>
      <c r="CQ131" s="90">
        <f t="shared" si="16"/>
        <v>0.59511196476675432</v>
      </c>
      <c r="CR131" s="90">
        <f t="shared" si="16"/>
        <v>8.4934482161701422E-2</v>
      </c>
    </row>
    <row r="132" spans="1:96" ht="37.5" thickTop="1" thickBot="1" x14ac:dyDescent="0.3">
      <c r="A132" s="3" t="s">
        <v>287</v>
      </c>
      <c r="B132" s="3">
        <v>101</v>
      </c>
      <c r="C132" s="3" t="s">
        <v>26</v>
      </c>
      <c r="D132" s="16">
        <v>33298</v>
      </c>
      <c r="E132" s="16" t="s">
        <v>520</v>
      </c>
      <c r="F132" s="16" t="s">
        <v>315</v>
      </c>
      <c r="G132" s="17">
        <v>49781</v>
      </c>
      <c r="H132" s="17">
        <v>62600</v>
      </c>
      <c r="I132" s="17" t="s">
        <v>680</v>
      </c>
      <c r="J132" s="18" t="s">
        <v>581</v>
      </c>
      <c r="K132" s="18" t="s">
        <v>519</v>
      </c>
      <c r="L132" s="18" t="s">
        <v>587</v>
      </c>
      <c r="M132" s="18" t="s">
        <v>598</v>
      </c>
      <c r="N132" s="10">
        <v>26627</v>
      </c>
      <c r="O132" s="11">
        <v>13638</v>
      </c>
      <c r="P132" s="11">
        <v>9938</v>
      </c>
      <c r="Q132" s="11">
        <v>4971</v>
      </c>
      <c r="R132" s="12">
        <v>0.51218687798099705</v>
      </c>
      <c r="S132" s="12">
        <v>0.37323017989259</v>
      </c>
      <c r="T132" s="12">
        <v>0.18669020167499201</v>
      </c>
      <c r="U132" s="12">
        <v>0.13895669808840599</v>
      </c>
      <c r="V132" s="12">
        <v>0.18653997821759899</v>
      </c>
      <c r="W132" s="12">
        <v>9.8922146693206106E-2</v>
      </c>
      <c r="X132" s="12">
        <v>8.7768054981785401E-2</v>
      </c>
      <c r="Y132" s="13">
        <v>76660</v>
      </c>
      <c r="Z132" s="13">
        <v>99869</v>
      </c>
      <c r="AA132" s="13">
        <v>1110316</v>
      </c>
      <c r="AB132" s="11">
        <v>66043</v>
      </c>
      <c r="AC132" s="11">
        <v>66148</v>
      </c>
      <c r="AD132" s="12">
        <v>1.5898732643883501E-3</v>
      </c>
      <c r="AE132" s="12">
        <v>0.368537266175061</v>
      </c>
      <c r="AF132" s="12">
        <v>5.4419090592492801E-2</v>
      </c>
      <c r="AG132" s="12">
        <v>5.6205805308662503E-2</v>
      </c>
      <c r="AH132" s="12">
        <v>0.18156352679314999</v>
      </c>
      <c r="AI132" s="14">
        <v>0.27420014233151102</v>
      </c>
      <c r="AJ132" s="4">
        <v>61324</v>
      </c>
      <c r="AK132" s="5">
        <v>32067</v>
      </c>
      <c r="AL132" s="5">
        <v>23987</v>
      </c>
      <c r="AM132" s="5">
        <v>12835</v>
      </c>
      <c r="AN132" s="6">
        <v>0.52291109516665601</v>
      </c>
      <c r="AO132" s="6">
        <v>0.39115191442176001</v>
      </c>
      <c r="AP132" s="6">
        <v>0.20929815406692301</v>
      </c>
      <c r="AQ132" s="6">
        <v>0.13175918074489601</v>
      </c>
      <c r="AR132" s="6">
        <v>0.181853760354837</v>
      </c>
      <c r="AS132" s="6">
        <v>0.101200182636488</v>
      </c>
      <c r="AT132" s="6">
        <v>0.10809797143043499</v>
      </c>
      <c r="AU132" s="7">
        <v>78405</v>
      </c>
      <c r="AV132" s="7">
        <v>105227</v>
      </c>
      <c r="AW132" s="7">
        <v>1328936</v>
      </c>
      <c r="AX132" s="5">
        <v>156208</v>
      </c>
      <c r="AY132" s="5">
        <v>156731</v>
      </c>
      <c r="AZ132" s="6">
        <v>3.3480999692717399E-3</v>
      </c>
      <c r="BA132" s="6">
        <v>0.38918496283847498</v>
      </c>
      <c r="BB132" s="6">
        <v>4.9530113694561097E-2</v>
      </c>
      <c r="BC132" s="6">
        <v>5.5067602171463698E-2</v>
      </c>
      <c r="BD132" s="6">
        <v>0.21906688517873599</v>
      </c>
      <c r="BE132" s="8">
        <v>0.26963407764007002</v>
      </c>
      <c r="BF132" s="10">
        <v>107332</v>
      </c>
      <c r="BG132" s="11">
        <v>52842</v>
      </c>
      <c r="BH132" s="11">
        <v>39554</v>
      </c>
      <c r="BI132" s="11">
        <v>21351</v>
      </c>
      <c r="BJ132" s="12">
        <v>0.49232288599858398</v>
      </c>
      <c r="BK132" s="12">
        <v>0.36852010583982397</v>
      </c>
      <c r="BL132" s="12">
        <v>0.19892483136436501</v>
      </c>
      <c r="BM132" s="12">
        <v>0.12380278015876001</v>
      </c>
      <c r="BN132" s="12">
        <v>0.169595274475459</v>
      </c>
      <c r="BO132" s="12">
        <v>8.9199865836842696E-2</v>
      </c>
      <c r="BP132" s="12">
        <v>0.10972496552752201</v>
      </c>
      <c r="BQ132" s="13">
        <v>73331</v>
      </c>
      <c r="BR132" s="13">
        <v>103388</v>
      </c>
      <c r="BS132" s="13">
        <v>1256092</v>
      </c>
      <c r="BT132" s="11">
        <v>276506</v>
      </c>
      <c r="BU132" s="11">
        <v>278609</v>
      </c>
      <c r="BV132" s="12">
        <v>7.6056215778319497E-3</v>
      </c>
      <c r="BW132" s="12">
        <v>0.37736845884754699</v>
      </c>
      <c r="BX132" s="12">
        <v>6.2013120872603099E-2</v>
      </c>
      <c r="BY132" s="12">
        <v>4.4414949404352901E-2</v>
      </c>
      <c r="BZ132" s="12">
        <v>0.29268442637772801</v>
      </c>
      <c r="CA132" s="14">
        <v>0.26109740837450202</v>
      </c>
      <c r="CB132" s="86">
        <f t="shared" si="25"/>
        <v>104543176.99600142</v>
      </c>
      <c r="CC132" s="83">
        <v>45939707.433349602</v>
      </c>
      <c r="CD132" s="83">
        <v>38030770.627394199</v>
      </c>
      <c r="CE132" s="83">
        <v>17427716.164702099</v>
      </c>
      <c r="CF132" s="83">
        <v>3144982.7705555102</v>
      </c>
      <c r="CG132" s="90">
        <f t="shared" si="26"/>
        <v>0.43943286165013629</v>
      </c>
      <c r="CH132" s="90">
        <f t="shared" si="26"/>
        <v>0.36378051366134401</v>
      </c>
      <c r="CI132" s="90">
        <f t="shared" si="17"/>
        <v>0.16670352542824174</v>
      </c>
      <c r="CK132" s="86">
        <f t="shared" ref="CK132:CK194" si="27">IF(SUM(CL132:CO132)=0,"",SUM(CL132:CO132))</f>
        <v>106715578</v>
      </c>
      <c r="CL132" s="83">
        <v>46181919</v>
      </c>
      <c r="CM132" s="83">
        <v>40009285</v>
      </c>
      <c r="CN132" s="83">
        <v>17391469</v>
      </c>
      <c r="CO132" s="83">
        <v>3132905</v>
      </c>
      <c r="CP132" s="90">
        <f t="shared" ref="CP132:CR195" si="28">IFERROR(CL132/$CK132,"")</f>
        <v>0.43275705258326952</v>
      </c>
      <c r="CQ132" s="90">
        <f t="shared" si="28"/>
        <v>0.37491513188449394</v>
      </c>
      <c r="CR132" s="90">
        <f t="shared" si="28"/>
        <v>0.16297029286577072</v>
      </c>
    </row>
    <row r="133" spans="1:96" ht="49.5" thickTop="1" thickBot="1" x14ac:dyDescent="0.3">
      <c r="A133" s="3" t="s">
        <v>288</v>
      </c>
      <c r="B133" s="3">
        <v>206</v>
      </c>
      <c r="C133" s="3" t="s">
        <v>33</v>
      </c>
      <c r="D133" s="16">
        <v>36434</v>
      </c>
      <c r="E133" s="16" t="s">
        <v>522</v>
      </c>
      <c r="F133" s="16" t="s">
        <v>321</v>
      </c>
      <c r="G133" s="17">
        <v>10019</v>
      </c>
      <c r="H133" s="17">
        <v>12000</v>
      </c>
      <c r="I133" s="17" t="s">
        <v>584</v>
      </c>
      <c r="J133" s="18"/>
      <c r="K133" s="18" t="s">
        <v>598</v>
      </c>
      <c r="L133" s="18"/>
      <c r="M133" s="18" t="s">
        <v>598</v>
      </c>
      <c r="N133" s="10">
        <v>23183</v>
      </c>
      <c r="O133" s="11">
        <v>12206</v>
      </c>
      <c r="P133" s="11">
        <v>9084</v>
      </c>
      <c r="Q133" s="11">
        <v>3901</v>
      </c>
      <c r="R133" s="12">
        <v>0.52650649182590703</v>
      </c>
      <c r="S133" s="12">
        <v>0.39183884743130698</v>
      </c>
      <c r="T133" s="12">
        <v>0.16826985290946</v>
      </c>
      <c r="U133" s="12">
        <v>0.134667644394599</v>
      </c>
      <c r="V133" s="12">
        <v>0.223568994521848</v>
      </c>
      <c r="W133" s="12">
        <v>7.2639434068067096E-2</v>
      </c>
      <c r="X133" s="12">
        <v>9.5630418841392395E-2</v>
      </c>
      <c r="Y133" s="13">
        <v>78869</v>
      </c>
      <c r="Z133" s="13">
        <v>105163</v>
      </c>
      <c r="AA133" s="13">
        <v>1358162</v>
      </c>
      <c r="AB133" s="11">
        <v>56716</v>
      </c>
      <c r="AC133" s="11">
        <v>59222</v>
      </c>
      <c r="AD133" s="12">
        <v>4.41850624162494E-2</v>
      </c>
      <c r="AE133" s="12">
        <v>0.48139900762435001</v>
      </c>
      <c r="AF133" s="12">
        <v>9.2672261795613206E-2</v>
      </c>
      <c r="AG133" s="12">
        <v>3.9107130263065101E-2</v>
      </c>
      <c r="AH133" s="12">
        <v>0.19176246561816801</v>
      </c>
      <c r="AI133" s="14">
        <v>0.27494886804429097</v>
      </c>
      <c r="AJ133" s="4">
        <v>61052</v>
      </c>
      <c r="AK133" s="5">
        <v>30493</v>
      </c>
      <c r="AL133" s="5">
        <v>23035</v>
      </c>
      <c r="AM133" s="5">
        <v>11127</v>
      </c>
      <c r="AN133" s="6">
        <v>0.49945947716700501</v>
      </c>
      <c r="AO133" s="6">
        <v>0.37730131691017499</v>
      </c>
      <c r="AP133" s="6">
        <v>0.182254471597982</v>
      </c>
      <c r="AQ133" s="6">
        <v>0.12215816025683</v>
      </c>
      <c r="AR133" s="6">
        <v>0.19504684531219299</v>
      </c>
      <c r="AS133" s="6">
        <v>8.1520670903492104E-2</v>
      </c>
      <c r="AT133" s="6">
        <v>0.10073380069449001</v>
      </c>
      <c r="AU133" s="7">
        <v>74897</v>
      </c>
      <c r="AV133" s="7">
        <v>104373</v>
      </c>
      <c r="AW133" s="7">
        <v>1312550</v>
      </c>
      <c r="AX133" s="5">
        <v>152870</v>
      </c>
      <c r="AY133" s="5">
        <v>159001</v>
      </c>
      <c r="AZ133" s="6">
        <v>4.0105972394845299E-2</v>
      </c>
      <c r="BA133" s="6">
        <v>0.46264298559483902</v>
      </c>
      <c r="BB133" s="6">
        <v>9.8299208477791597E-2</v>
      </c>
      <c r="BC133" s="6">
        <v>3.5579250343429097E-2</v>
      </c>
      <c r="BD133" s="6">
        <v>0.25074246091450297</v>
      </c>
      <c r="BE133" s="8">
        <v>0.26353764636619298</v>
      </c>
      <c r="BF133" s="10">
        <v>129525</v>
      </c>
      <c r="BG133" s="11">
        <v>63784</v>
      </c>
      <c r="BH133" s="11">
        <v>48471</v>
      </c>
      <c r="BI133" s="11">
        <v>25246</v>
      </c>
      <c r="BJ133" s="12">
        <v>0.49244547384674803</v>
      </c>
      <c r="BK133" s="12">
        <v>0.374221192819919</v>
      </c>
      <c r="BL133" s="12">
        <v>0.19491217911600101</v>
      </c>
      <c r="BM133" s="12">
        <v>0.118224281026829</v>
      </c>
      <c r="BN133" s="12">
        <v>0.179309013703918</v>
      </c>
      <c r="BO133" s="12">
        <v>8.1721675352248599E-2</v>
      </c>
      <c r="BP133" s="12">
        <v>0.113190503763752</v>
      </c>
      <c r="BQ133" s="13">
        <v>73518</v>
      </c>
      <c r="BR133" s="13">
        <v>107003</v>
      </c>
      <c r="BS133" s="13">
        <v>1211616</v>
      </c>
      <c r="BT133" s="11">
        <v>320684</v>
      </c>
      <c r="BU133" s="11">
        <v>333735</v>
      </c>
      <c r="BV133" s="12">
        <v>4.0697384340971199E-2</v>
      </c>
      <c r="BW133" s="12">
        <v>0.482379434126329</v>
      </c>
      <c r="BX133" s="12">
        <v>9.9468635790996698E-2</v>
      </c>
      <c r="BY133" s="12">
        <v>3.5923214129797598E-2</v>
      </c>
      <c r="BZ133" s="12">
        <v>0.24921106135635099</v>
      </c>
      <c r="CA133" s="14">
        <v>0.24780469246984599</v>
      </c>
      <c r="CB133" s="86">
        <f t="shared" si="25"/>
        <v>10531088.388833072</v>
      </c>
      <c r="CC133" s="83">
        <v>7064987.9108331101</v>
      </c>
      <c r="CD133" s="83">
        <v>208834.7</v>
      </c>
      <c r="CE133" s="83">
        <v>2736531.3079999601</v>
      </c>
      <c r="CF133" s="83">
        <v>520734.47000000201</v>
      </c>
      <c r="CG133" s="90">
        <f t="shared" si="26"/>
        <v>0.67086968126909496</v>
      </c>
      <c r="CH133" s="90">
        <f t="shared" si="26"/>
        <v>1.983030550018397E-2</v>
      </c>
      <c r="CI133" s="90">
        <f t="shared" si="17"/>
        <v>0.25985265786029449</v>
      </c>
      <c r="CK133" s="86">
        <f t="shared" si="27"/>
        <v>10614299</v>
      </c>
      <c r="CL133" s="83">
        <v>7121595</v>
      </c>
      <c r="CM133" s="83">
        <v>218169</v>
      </c>
      <c r="CN133" s="83">
        <v>2743343</v>
      </c>
      <c r="CO133" s="83">
        <v>531192</v>
      </c>
      <c r="CP133" s="90">
        <f t="shared" si="28"/>
        <v>0.67094350743275655</v>
      </c>
      <c r="CQ133" s="90">
        <f t="shared" si="28"/>
        <v>2.0554254218766589E-2</v>
      </c>
      <c r="CR133" s="90">
        <f t="shared" si="28"/>
        <v>0.25845729425937597</v>
      </c>
    </row>
    <row r="134" spans="1:96" ht="37.5" thickTop="1" thickBot="1" x14ac:dyDescent="0.3">
      <c r="A134" s="3" t="s">
        <v>305</v>
      </c>
      <c r="B134" s="3">
        <v>1902</v>
      </c>
      <c r="C134" s="3" t="s">
        <v>252</v>
      </c>
      <c r="D134" s="16">
        <v>43202</v>
      </c>
      <c r="E134" s="16" t="s">
        <v>571</v>
      </c>
      <c r="F134" s="16" t="s">
        <v>503</v>
      </c>
      <c r="G134" s="17">
        <v>18567</v>
      </c>
      <c r="H134" s="17">
        <v>22308</v>
      </c>
      <c r="I134" s="17" t="s">
        <v>584</v>
      </c>
      <c r="J134" s="18"/>
      <c r="K134" s="18" t="s">
        <v>598</v>
      </c>
      <c r="L134" s="18"/>
      <c r="M134" s="18" t="s">
        <v>598</v>
      </c>
      <c r="N134" s="10">
        <v>40693</v>
      </c>
      <c r="O134" s="11">
        <v>22744</v>
      </c>
      <c r="P134" s="11">
        <v>16992</v>
      </c>
      <c r="Q134" s="11">
        <v>8423</v>
      </c>
      <c r="R134" s="12">
        <v>0.55891676701152504</v>
      </c>
      <c r="S134" s="12">
        <v>0.41756567468606398</v>
      </c>
      <c r="T134" s="12">
        <v>0.20698891701275399</v>
      </c>
      <c r="U134" s="12">
        <v>0.141351092325461</v>
      </c>
      <c r="V134" s="12">
        <v>0.21057675767330999</v>
      </c>
      <c r="W134" s="12">
        <v>9.0703560808984299E-2</v>
      </c>
      <c r="X134" s="12">
        <v>0.11628535620376999</v>
      </c>
      <c r="Y134" s="13">
        <v>83711</v>
      </c>
      <c r="Z134" s="13">
        <v>111231</v>
      </c>
      <c r="AA134" s="13">
        <v>1029278</v>
      </c>
      <c r="AB134" s="11">
        <v>86429</v>
      </c>
      <c r="AC134" s="11">
        <v>92304</v>
      </c>
      <c r="AD134" s="12">
        <v>6.7974869546101394E-2</v>
      </c>
      <c r="AE134" s="12">
        <v>0.67787029133718801</v>
      </c>
      <c r="AF134" s="12">
        <v>6.6146779437457295E-2</v>
      </c>
      <c r="AG134" s="12">
        <v>0.122169642134006</v>
      </c>
      <c r="AH134" s="12">
        <v>6.1946800263800297E-2</v>
      </c>
      <c r="AI134" s="14">
        <v>0.23662196716379899</v>
      </c>
      <c r="AJ134" s="4">
        <v>73174</v>
      </c>
      <c r="AK134" s="5">
        <v>40925</v>
      </c>
      <c r="AL134" s="5">
        <v>31173</v>
      </c>
      <c r="AM134" s="5">
        <v>16181</v>
      </c>
      <c r="AN134" s="6">
        <v>0.55928335201027701</v>
      </c>
      <c r="AO134" s="6">
        <v>0.42601197146527497</v>
      </c>
      <c r="AP134" s="6">
        <v>0.22113045617295801</v>
      </c>
      <c r="AQ134" s="6">
        <v>0.13327138054500201</v>
      </c>
      <c r="AR134" s="6">
        <v>0.20488151529231699</v>
      </c>
      <c r="AS134" s="6">
        <v>9.2929182496515203E-2</v>
      </c>
      <c r="AT134" s="6">
        <v>0.12820127367644199</v>
      </c>
      <c r="AU134" s="7">
        <v>84430</v>
      </c>
      <c r="AV134" s="7">
        <v>114053</v>
      </c>
      <c r="AW134" s="7">
        <v>1197483</v>
      </c>
      <c r="AX134" s="5">
        <v>166761</v>
      </c>
      <c r="AY134" s="5">
        <v>177547</v>
      </c>
      <c r="AZ134" s="6">
        <v>6.4679391464431094E-2</v>
      </c>
      <c r="BA134" s="6">
        <v>0.67847617706343699</v>
      </c>
      <c r="BB134" s="6">
        <v>7.8141771757185396E-2</v>
      </c>
      <c r="BC134" s="6">
        <v>0.10766306270650799</v>
      </c>
      <c r="BD134" s="6">
        <v>5.9960062604565802E-2</v>
      </c>
      <c r="BE134" s="8">
        <v>0.22904635976037599</v>
      </c>
      <c r="BF134" s="10">
        <v>107345</v>
      </c>
      <c r="BG134" s="11">
        <v>53004</v>
      </c>
      <c r="BH134" s="11">
        <v>39827</v>
      </c>
      <c r="BI134" s="11">
        <v>20345</v>
      </c>
      <c r="BJ134" s="12">
        <v>0.493772416041735</v>
      </c>
      <c r="BK134" s="12">
        <v>0.37101867809399602</v>
      </c>
      <c r="BL134" s="12">
        <v>0.189529088453118</v>
      </c>
      <c r="BM134" s="12">
        <v>0.122753737947739</v>
      </c>
      <c r="BN134" s="12">
        <v>0.181489589640878</v>
      </c>
      <c r="BO134" s="12">
        <v>7.9258465694722599E-2</v>
      </c>
      <c r="BP134" s="12">
        <v>0.110270622758396</v>
      </c>
      <c r="BQ134" s="13">
        <v>73673</v>
      </c>
      <c r="BR134" s="13">
        <v>102417</v>
      </c>
      <c r="BS134" s="13">
        <v>976804</v>
      </c>
      <c r="BT134" s="11">
        <v>247294</v>
      </c>
      <c r="BU134" s="11">
        <v>265187</v>
      </c>
      <c r="BV134" s="12">
        <v>7.2355172385904998E-2</v>
      </c>
      <c r="BW134" s="12">
        <v>0.65438345473465098</v>
      </c>
      <c r="BX134" s="12">
        <v>8.3746471810881004E-2</v>
      </c>
      <c r="BY134" s="12">
        <v>0.103366842705444</v>
      </c>
      <c r="BZ134" s="12">
        <v>6.19626840926185E-2</v>
      </c>
      <c r="CA134" s="14">
        <v>0.200773168778862</v>
      </c>
      <c r="CB134" s="86">
        <f t="shared" si="25"/>
        <v>19002825.456665948</v>
      </c>
      <c r="CC134" s="83">
        <v>7382158.1466663899</v>
      </c>
      <c r="CD134" s="83">
        <v>7403945.2699996298</v>
      </c>
      <c r="CE134" s="83">
        <v>3025587.7799999202</v>
      </c>
      <c r="CF134" s="83">
        <v>1191134.26000001</v>
      </c>
      <c r="CG134" s="90">
        <f t="shared" si="26"/>
        <v>0.38847686958450822</v>
      </c>
      <c r="CH134" s="90">
        <f t="shared" si="26"/>
        <v>0.38962338978924949</v>
      </c>
      <c r="CI134" s="90">
        <f t="shared" si="17"/>
        <v>0.15921778510777104</v>
      </c>
      <c r="CK134" s="86">
        <f t="shared" si="27"/>
        <v>18921613</v>
      </c>
      <c r="CL134" s="83">
        <v>7144557</v>
      </c>
      <c r="CM134" s="83">
        <v>7592932</v>
      </c>
      <c r="CN134" s="83">
        <v>3018524</v>
      </c>
      <c r="CO134" s="83">
        <v>1165600</v>
      </c>
      <c r="CP134" s="90">
        <f t="shared" si="28"/>
        <v>0.37758710105739929</v>
      </c>
      <c r="CQ134" s="90">
        <f t="shared" si="28"/>
        <v>0.40128354807806288</v>
      </c>
      <c r="CR134" s="90">
        <f t="shared" si="28"/>
        <v>0.15952783729378675</v>
      </c>
    </row>
    <row r="135" spans="1:96" ht="37.5" thickTop="1" thickBot="1" x14ac:dyDescent="0.3">
      <c r="A135" s="3" t="s">
        <v>292</v>
      </c>
      <c r="B135" s="3">
        <v>614</v>
      </c>
      <c r="C135" s="3" t="s">
        <v>105</v>
      </c>
      <c r="D135" s="16">
        <v>43398</v>
      </c>
      <c r="E135" s="16" t="s">
        <v>536</v>
      </c>
      <c r="F135" s="16" t="s">
        <v>384</v>
      </c>
      <c r="G135" s="17">
        <v>11900</v>
      </c>
      <c r="H135" s="17">
        <v>20266</v>
      </c>
      <c r="I135" s="17" t="s">
        <v>584</v>
      </c>
      <c r="J135" s="18"/>
      <c r="K135" s="18" t="s">
        <v>598</v>
      </c>
      <c r="L135" s="18"/>
      <c r="M135" s="18" t="s">
        <v>598</v>
      </c>
      <c r="N135" s="10">
        <v>15562</v>
      </c>
      <c r="O135" s="11">
        <v>8763</v>
      </c>
      <c r="P135" s="11">
        <v>6134</v>
      </c>
      <c r="Q135" s="11">
        <v>3134</v>
      </c>
      <c r="R135" s="12">
        <v>0.563102428993703</v>
      </c>
      <c r="S135" s="12">
        <v>0.39416527438632598</v>
      </c>
      <c r="T135" s="12">
        <v>0.20138799640149099</v>
      </c>
      <c r="U135" s="12">
        <v>0.16893715460737699</v>
      </c>
      <c r="V135" s="12">
        <v>0.19277727798483499</v>
      </c>
      <c r="W135" s="12">
        <v>8.4115152294049603E-2</v>
      </c>
      <c r="X135" s="12">
        <v>0.117272844107441</v>
      </c>
      <c r="Y135" s="13">
        <v>82545</v>
      </c>
      <c r="Z135" s="13">
        <v>108353</v>
      </c>
      <c r="AA135" s="13">
        <v>969617</v>
      </c>
      <c r="AB135" s="11">
        <v>43366</v>
      </c>
      <c r="AC135" s="11">
        <v>50181</v>
      </c>
      <c r="AD135" s="12">
        <v>0.15715076327076499</v>
      </c>
      <c r="AE135" s="12">
        <v>0.52956307258632795</v>
      </c>
      <c r="AF135" s="12">
        <v>0.106120001844763</v>
      </c>
      <c r="AG135" s="12">
        <v>7.6834386385647699E-2</v>
      </c>
      <c r="AH135" s="12">
        <v>0.29723746714015598</v>
      </c>
      <c r="AI135" s="14">
        <v>0.19496840843056801</v>
      </c>
      <c r="AJ135" s="4">
        <v>52204</v>
      </c>
      <c r="AK135" s="5">
        <v>26908</v>
      </c>
      <c r="AL135" s="5">
        <v>18907</v>
      </c>
      <c r="AM135" s="5">
        <v>9495</v>
      </c>
      <c r="AN135" s="6">
        <v>0.51543942992874103</v>
      </c>
      <c r="AO135" s="6">
        <v>0.36217531223660998</v>
      </c>
      <c r="AP135" s="6">
        <v>0.18188261435905301</v>
      </c>
      <c r="AQ135" s="6">
        <v>0.153264117692131</v>
      </c>
      <c r="AR135" s="6">
        <v>0.180292697877557</v>
      </c>
      <c r="AS135" s="6">
        <v>7.9993870201517103E-2</v>
      </c>
      <c r="AT135" s="6">
        <v>0.101888744157536</v>
      </c>
      <c r="AU135" s="7">
        <v>76881</v>
      </c>
      <c r="AV135" s="7">
        <v>100881</v>
      </c>
      <c r="AW135" s="7">
        <v>881695</v>
      </c>
      <c r="AX135" s="5">
        <v>141232</v>
      </c>
      <c r="AY135" s="5">
        <v>158341</v>
      </c>
      <c r="AZ135" s="6">
        <v>0.121141101166874</v>
      </c>
      <c r="BA135" s="6">
        <v>0.51720991590172005</v>
      </c>
      <c r="BB135" s="6">
        <v>0.101874929194517</v>
      </c>
      <c r="BC135" s="6">
        <v>8.5299365582870698E-2</v>
      </c>
      <c r="BD135" s="6">
        <v>0.30025773195876299</v>
      </c>
      <c r="BE135" s="8">
        <v>0.190622521808089</v>
      </c>
      <c r="BF135" s="10">
        <v>92201</v>
      </c>
      <c r="BG135" s="11">
        <v>45553</v>
      </c>
      <c r="BH135" s="11">
        <v>31458</v>
      </c>
      <c r="BI135" s="11">
        <v>15546</v>
      </c>
      <c r="BJ135" s="12">
        <v>0.49406188653051503</v>
      </c>
      <c r="BK135" s="12">
        <v>0.341189358032993</v>
      </c>
      <c r="BL135" s="12">
        <v>0.168609884925326</v>
      </c>
      <c r="BM135" s="12">
        <v>0.152872528497522</v>
      </c>
      <c r="BN135" s="12">
        <v>0.172579473107667</v>
      </c>
      <c r="BO135" s="12">
        <v>7.4272513313304603E-2</v>
      </c>
      <c r="BP135" s="12">
        <v>9.4337371612021603E-2</v>
      </c>
      <c r="BQ135" s="13">
        <v>73924</v>
      </c>
      <c r="BR135" s="13">
        <v>97988</v>
      </c>
      <c r="BS135" s="13">
        <v>869151</v>
      </c>
      <c r="BT135" s="11">
        <v>247640</v>
      </c>
      <c r="BU135" s="11">
        <v>275602</v>
      </c>
      <c r="BV135" s="12">
        <v>0.11291390728476799</v>
      </c>
      <c r="BW135" s="12">
        <v>0.47419614800747201</v>
      </c>
      <c r="BX135" s="12">
        <v>0.113483282183815</v>
      </c>
      <c r="BY135" s="12">
        <v>7.5928767565821398E-2</v>
      </c>
      <c r="BZ135" s="12">
        <v>0.32073978355677601</v>
      </c>
      <c r="CA135" s="14">
        <v>0.197702309804555</v>
      </c>
      <c r="CB135" s="86">
        <f t="shared" si="25"/>
        <v>9171093.8699998297</v>
      </c>
      <c r="CC135" s="83">
        <v>5873318.75999982</v>
      </c>
      <c r="CD135" s="83">
        <v>138695.12</v>
      </c>
      <c r="CE135" s="83">
        <v>1957068.73</v>
      </c>
      <c r="CF135" s="83">
        <v>1202011.26000001</v>
      </c>
      <c r="CG135" s="90">
        <f t="shared" si="26"/>
        <v>0.64041638252252775</v>
      </c>
      <c r="CH135" s="90">
        <f t="shared" si="26"/>
        <v>1.5123072772561488E-2</v>
      </c>
      <c r="CI135" s="90">
        <f t="shared" si="17"/>
        <v>0.21339534386425774</v>
      </c>
      <c r="CK135" s="86">
        <f t="shared" si="27"/>
        <v>9569961</v>
      </c>
      <c r="CL135" s="83">
        <v>6118416</v>
      </c>
      <c r="CM135" s="83">
        <v>176450</v>
      </c>
      <c r="CN135" s="83">
        <v>2004522</v>
      </c>
      <c r="CO135" s="83">
        <v>1270573</v>
      </c>
      <c r="CP135" s="90">
        <f t="shared" si="28"/>
        <v>0.63933552080306288</v>
      </c>
      <c r="CQ135" s="90">
        <f t="shared" si="28"/>
        <v>1.8437901680059092E-2</v>
      </c>
      <c r="CR135" s="90">
        <f t="shared" si="28"/>
        <v>0.20945978776716018</v>
      </c>
    </row>
    <row r="136" spans="1:96" ht="49.5" thickTop="1" thickBot="1" x14ac:dyDescent="0.3">
      <c r="A136" s="3" t="s">
        <v>305</v>
      </c>
      <c r="B136" s="3">
        <v>1901</v>
      </c>
      <c r="C136" s="3" t="s">
        <v>251</v>
      </c>
      <c r="D136" s="16">
        <v>42684</v>
      </c>
      <c r="E136" s="16" t="s">
        <v>570</v>
      </c>
      <c r="F136" s="16" t="s">
        <v>502</v>
      </c>
      <c r="G136" s="17">
        <v>21557</v>
      </c>
      <c r="H136" s="17">
        <v>27982</v>
      </c>
      <c r="I136" s="17" t="s">
        <v>585</v>
      </c>
      <c r="J136" s="18"/>
      <c r="K136" s="18" t="s">
        <v>598</v>
      </c>
      <c r="L136" s="18"/>
      <c r="M136" s="18" t="s">
        <v>598</v>
      </c>
      <c r="N136" s="10">
        <v>17438</v>
      </c>
      <c r="O136" s="11">
        <v>10732</v>
      </c>
      <c r="P136" s="11">
        <v>8587</v>
      </c>
      <c r="Q136" s="11">
        <v>5153</v>
      </c>
      <c r="R136" s="12">
        <v>0.61543755017777302</v>
      </c>
      <c r="S136" s="12">
        <v>0.49243032457850699</v>
      </c>
      <c r="T136" s="12">
        <v>0.29550407156783998</v>
      </c>
      <c r="U136" s="12">
        <v>0.123007225599266</v>
      </c>
      <c r="V136" s="12">
        <v>0.19692625301066599</v>
      </c>
      <c r="W136" s="12">
        <v>0.105975455900906</v>
      </c>
      <c r="X136" s="12">
        <v>0.18952861566693399</v>
      </c>
      <c r="Y136" s="13">
        <v>98051</v>
      </c>
      <c r="Z136" s="13">
        <v>136289</v>
      </c>
      <c r="AA136" s="13">
        <v>2219003</v>
      </c>
      <c r="AB136" s="11">
        <v>41558</v>
      </c>
      <c r="AC136" s="11">
        <v>43178</v>
      </c>
      <c r="AD136" s="12">
        <v>3.8981664180181903E-2</v>
      </c>
      <c r="AE136" s="12">
        <v>0.59777511884357903</v>
      </c>
      <c r="AF136" s="12">
        <v>3.3952548245825102E-2</v>
      </c>
      <c r="AG136" s="12">
        <v>9.6275085422782597E-2</v>
      </c>
      <c r="AH136" s="12">
        <v>1.76861254150825E-2</v>
      </c>
      <c r="AI136" s="14">
        <v>0.29782472688772299</v>
      </c>
      <c r="AJ136" s="4">
        <v>52365</v>
      </c>
      <c r="AK136" s="5">
        <v>29452</v>
      </c>
      <c r="AL136" s="5">
        <v>22035</v>
      </c>
      <c r="AM136" s="5">
        <v>11357</v>
      </c>
      <c r="AN136" s="6">
        <v>0.56243674209872996</v>
      </c>
      <c r="AO136" s="6">
        <v>0.420796333428817</v>
      </c>
      <c r="AP136" s="6">
        <v>0.216881504821923</v>
      </c>
      <c r="AQ136" s="6">
        <v>0.14164040866991301</v>
      </c>
      <c r="AR136" s="6">
        <v>0.203914828606894</v>
      </c>
      <c r="AS136" s="6">
        <v>9.9723097488780693E-2</v>
      </c>
      <c r="AT136" s="6">
        <v>0.11715840733314201</v>
      </c>
      <c r="AU136" s="7">
        <v>84283</v>
      </c>
      <c r="AV136" s="7">
        <v>112253</v>
      </c>
      <c r="AW136" s="7">
        <v>1524897</v>
      </c>
      <c r="AX136" s="5">
        <v>122406</v>
      </c>
      <c r="AY136" s="5">
        <v>125130</v>
      </c>
      <c r="AZ136" s="6">
        <v>2.22538110876918E-2</v>
      </c>
      <c r="BA136" s="6">
        <v>0.51836950069256604</v>
      </c>
      <c r="BB136" s="6">
        <v>5.4695031289315903E-2</v>
      </c>
      <c r="BC136" s="6">
        <v>7.2872244824600099E-2</v>
      </c>
      <c r="BD136" s="6">
        <v>2.3217816120124801E-2</v>
      </c>
      <c r="BE136" s="8">
        <v>0.28463474012711798</v>
      </c>
      <c r="BF136" s="10">
        <v>134379</v>
      </c>
      <c r="BG136" s="11">
        <v>66526</v>
      </c>
      <c r="BH136" s="11">
        <v>47459</v>
      </c>
      <c r="BI136" s="11">
        <v>22560</v>
      </c>
      <c r="BJ136" s="12">
        <v>0.49506247255895602</v>
      </c>
      <c r="BK136" s="12">
        <v>0.35317274276486699</v>
      </c>
      <c r="BL136" s="12">
        <v>0.16788337463442901</v>
      </c>
      <c r="BM136" s="12">
        <v>0.14188972979409001</v>
      </c>
      <c r="BN136" s="12">
        <v>0.185289368130437</v>
      </c>
      <c r="BO136" s="12">
        <v>8.4790034157122801E-2</v>
      </c>
      <c r="BP136" s="12">
        <v>8.3093340477306696E-2</v>
      </c>
      <c r="BQ136" s="13">
        <v>74008</v>
      </c>
      <c r="BR136" s="13">
        <v>97010</v>
      </c>
      <c r="BS136" s="13">
        <v>1064193</v>
      </c>
      <c r="BT136" s="11">
        <v>314451</v>
      </c>
      <c r="BU136" s="11">
        <v>318602</v>
      </c>
      <c r="BV136" s="12">
        <v>1.3200784859962299E-2</v>
      </c>
      <c r="BW136" s="12">
        <v>0.44943442169341502</v>
      </c>
      <c r="BX136" s="12">
        <v>7.9344635571201902E-2</v>
      </c>
      <c r="BY136" s="12">
        <v>5.2787238711277801E-2</v>
      </c>
      <c r="BZ136" s="12">
        <v>5.8575103911261202E-2</v>
      </c>
      <c r="CA136" s="14">
        <v>0.261039080810683</v>
      </c>
      <c r="CB136" s="86">
        <f t="shared" si="25"/>
        <v>22488653.879999258</v>
      </c>
      <c r="CC136" s="83">
        <v>8388694.9699997492</v>
      </c>
      <c r="CD136" s="83">
        <v>9026558.6099996306</v>
      </c>
      <c r="CE136" s="83">
        <v>3788231.2399998698</v>
      </c>
      <c r="CF136" s="83">
        <v>1285169.0600000101</v>
      </c>
      <c r="CG136" s="90">
        <f t="shared" si="26"/>
        <v>0.37301899058797849</v>
      </c>
      <c r="CH136" s="90">
        <f t="shared" si="26"/>
        <v>0.40138278876832129</v>
      </c>
      <c r="CI136" s="90">
        <f t="shared" si="17"/>
        <v>0.16845077789956164</v>
      </c>
      <c r="CK136" s="86">
        <f t="shared" si="27"/>
        <v>21983017</v>
      </c>
      <c r="CL136" s="83">
        <v>7885907</v>
      </c>
      <c r="CM136" s="83">
        <v>9176329</v>
      </c>
      <c r="CN136" s="83">
        <v>3696580</v>
      </c>
      <c r="CO136" s="83">
        <v>1224201</v>
      </c>
      <c r="CP136" s="90">
        <f t="shared" si="28"/>
        <v>0.35872723930477785</v>
      </c>
      <c r="CQ136" s="90">
        <f t="shared" si="28"/>
        <v>0.4174280991549067</v>
      </c>
      <c r="CR136" s="90">
        <f t="shared" si="28"/>
        <v>0.1681561725581161</v>
      </c>
    </row>
    <row r="137" spans="1:96" ht="37.5" thickTop="1" thickBot="1" x14ac:dyDescent="0.3">
      <c r="A137" s="3" t="s">
        <v>296</v>
      </c>
      <c r="B137" s="3">
        <v>1008</v>
      </c>
      <c r="C137" s="3" t="s">
        <v>161</v>
      </c>
      <c r="D137" s="16">
        <v>40745</v>
      </c>
      <c r="E137" s="16" t="s">
        <v>551</v>
      </c>
      <c r="F137" s="16" t="s">
        <v>432</v>
      </c>
      <c r="G137" s="17">
        <v>22669</v>
      </c>
      <c r="H137" s="17">
        <v>28821</v>
      </c>
      <c r="I137" s="17" t="s">
        <v>585</v>
      </c>
      <c r="J137" s="18"/>
      <c r="K137" s="18" t="s">
        <v>598</v>
      </c>
      <c r="L137" s="18"/>
      <c r="M137" s="18" t="s">
        <v>598</v>
      </c>
      <c r="N137" s="10">
        <v>29497</v>
      </c>
      <c r="O137" s="11">
        <v>14433</v>
      </c>
      <c r="P137" s="11">
        <v>9927</v>
      </c>
      <c r="Q137" s="11">
        <v>4227</v>
      </c>
      <c r="R137" s="12">
        <v>0.48930399701664601</v>
      </c>
      <c r="S137" s="12">
        <v>0.33654269925755198</v>
      </c>
      <c r="T137" s="12">
        <v>0.143302708750042</v>
      </c>
      <c r="U137" s="12">
        <v>0.152761297759094</v>
      </c>
      <c r="V137" s="12">
        <v>0.19323999050750901</v>
      </c>
      <c r="W137" s="12">
        <v>7.3973624436383403E-2</v>
      </c>
      <c r="X137" s="12">
        <v>6.9329084313659001E-2</v>
      </c>
      <c r="Y137" s="13">
        <v>73022</v>
      </c>
      <c r="Z137" s="13">
        <v>92257</v>
      </c>
      <c r="AA137" s="13">
        <v>879633</v>
      </c>
      <c r="AB137" s="11">
        <v>84719</v>
      </c>
      <c r="AC137" s="11">
        <v>93161</v>
      </c>
      <c r="AD137" s="12">
        <v>9.9647068544246306E-2</v>
      </c>
      <c r="AE137" s="12">
        <v>0.290406393348624</v>
      </c>
      <c r="AF137" s="12">
        <v>0.40129132780131999</v>
      </c>
      <c r="AG137" s="12">
        <v>4.97763193616544E-2</v>
      </c>
      <c r="AH137" s="12">
        <v>9.2482205880617105E-2</v>
      </c>
      <c r="AI137" s="14">
        <v>0.21056669696290101</v>
      </c>
      <c r="AJ137" s="4">
        <v>62900</v>
      </c>
      <c r="AK137" s="5">
        <v>32406</v>
      </c>
      <c r="AL137" s="5">
        <v>22002</v>
      </c>
      <c r="AM137" s="5">
        <v>8927</v>
      </c>
      <c r="AN137" s="6">
        <v>0.51519872813990497</v>
      </c>
      <c r="AO137" s="6">
        <v>0.34979332273449898</v>
      </c>
      <c r="AP137" s="6">
        <v>0.14192368839427699</v>
      </c>
      <c r="AQ137" s="6">
        <v>0.16540540540540499</v>
      </c>
      <c r="AR137" s="6">
        <v>0.20786963434022299</v>
      </c>
      <c r="AS137" s="6">
        <v>7.7869634340222593E-2</v>
      </c>
      <c r="AT137" s="6">
        <v>6.4054054054054094E-2</v>
      </c>
      <c r="AU137" s="7">
        <v>76687</v>
      </c>
      <c r="AV137" s="7">
        <v>93609</v>
      </c>
      <c r="AW137" s="7">
        <v>788083</v>
      </c>
      <c r="AX137" s="5">
        <v>196857</v>
      </c>
      <c r="AY137" s="5">
        <v>216604</v>
      </c>
      <c r="AZ137" s="6">
        <v>0.10031139354963201</v>
      </c>
      <c r="BA137" s="6">
        <v>0.25911501887513699</v>
      </c>
      <c r="BB137" s="6">
        <v>0.42965706070904303</v>
      </c>
      <c r="BC137" s="6">
        <v>5.1936177021899101E-2</v>
      </c>
      <c r="BD137" s="6">
        <v>0.10035203218579999</v>
      </c>
      <c r="BE137" s="8">
        <v>0.192362984298247</v>
      </c>
      <c r="BF137" s="10">
        <v>88995</v>
      </c>
      <c r="BG137" s="11">
        <v>44181</v>
      </c>
      <c r="BH137" s="11">
        <v>29056</v>
      </c>
      <c r="BI137" s="11">
        <v>11301</v>
      </c>
      <c r="BJ137" s="12">
        <v>0.49644362042811402</v>
      </c>
      <c r="BK137" s="12">
        <v>0.32649025226136302</v>
      </c>
      <c r="BL137" s="12">
        <v>0.12698466205966599</v>
      </c>
      <c r="BM137" s="12">
        <v>0.169953368166751</v>
      </c>
      <c r="BN137" s="12">
        <v>0.199505590201697</v>
      </c>
      <c r="BO137" s="12">
        <v>7.0936569470194999E-2</v>
      </c>
      <c r="BP137" s="12">
        <v>5.6048092589471299E-2</v>
      </c>
      <c r="BQ137" s="13">
        <v>74394</v>
      </c>
      <c r="BR137" s="13">
        <v>90105</v>
      </c>
      <c r="BS137" s="13">
        <v>690234</v>
      </c>
      <c r="BT137" s="11">
        <v>287671</v>
      </c>
      <c r="BU137" s="11">
        <v>318423</v>
      </c>
      <c r="BV137" s="12">
        <v>0.106899896061821</v>
      </c>
      <c r="BW137" s="12">
        <v>0.23253462913315501</v>
      </c>
      <c r="BX137" s="12">
        <v>0.47713881482665998</v>
      </c>
      <c r="BY137" s="12">
        <v>4.6365466105377298E-2</v>
      </c>
      <c r="BZ137" s="12">
        <v>9.8650889384053295E-2</v>
      </c>
      <c r="CA137" s="14">
        <v>0.184405101661273</v>
      </c>
      <c r="CB137" s="86">
        <f t="shared" si="25"/>
        <v>21406175.509999279</v>
      </c>
      <c r="CC137" s="83">
        <v>5487981.41999985</v>
      </c>
      <c r="CD137" s="83">
        <v>11080648.2699995</v>
      </c>
      <c r="CE137" s="83">
        <v>3284133.7699999302</v>
      </c>
      <c r="CF137" s="83">
        <v>1553412.05</v>
      </c>
      <c r="CG137" s="90">
        <f t="shared" si="26"/>
        <v>0.25637374679266256</v>
      </c>
      <c r="CH137" s="90">
        <f t="shared" si="26"/>
        <v>0.51763792485133531</v>
      </c>
      <c r="CI137" s="90">
        <f t="shared" si="17"/>
        <v>0.15341992167007326</v>
      </c>
      <c r="CK137" s="86">
        <f t="shared" si="27"/>
        <v>20719080</v>
      </c>
      <c r="CL137" s="83">
        <v>5188199</v>
      </c>
      <c r="CM137" s="83">
        <v>10765157</v>
      </c>
      <c r="CN137" s="83">
        <v>3250778</v>
      </c>
      <c r="CO137" s="83">
        <v>1514946</v>
      </c>
      <c r="CP137" s="90">
        <f t="shared" si="28"/>
        <v>0.2504068230828782</v>
      </c>
      <c r="CQ137" s="90">
        <f t="shared" si="28"/>
        <v>0.51957697928672508</v>
      </c>
      <c r="CR137" s="90">
        <f t="shared" si="28"/>
        <v>0.15689779662031325</v>
      </c>
    </row>
    <row r="138" spans="1:96" ht="37.5" thickTop="1" thickBot="1" x14ac:dyDescent="0.3">
      <c r="A138" s="3" t="s">
        <v>304</v>
      </c>
      <c r="B138" s="3">
        <v>1805</v>
      </c>
      <c r="C138" s="3" t="s">
        <v>726</v>
      </c>
      <c r="D138" s="16">
        <v>45162</v>
      </c>
      <c r="E138" s="16" t="s">
        <v>592</v>
      </c>
      <c r="F138" s="16" t="s">
        <v>673</v>
      </c>
      <c r="G138" s="17">
        <f>H138*0.8</f>
        <v>16800</v>
      </c>
      <c r="H138" s="17">
        <v>21000</v>
      </c>
      <c r="I138" s="17" t="s">
        <v>584</v>
      </c>
      <c r="J138" s="18"/>
      <c r="K138" s="18" t="s">
        <v>598</v>
      </c>
      <c r="L138" s="18"/>
      <c r="M138" s="18" t="s">
        <v>598</v>
      </c>
      <c r="N138" s="10">
        <v>19319</v>
      </c>
      <c r="O138" s="11">
        <v>10566</v>
      </c>
      <c r="P138" s="11">
        <v>7924</v>
      </c>
      <c r="Q138" s="11">
        <v>3407</v>
      </c>
      <c r="R138" s="12">
        <v>0.54692271856721397</v>
      </c>
      <c r="S138" s="12">
        <v>0.41016615766861603</v>
      </c>
      <c r="T138" s="12">
        <v>0.176354883793157</v>
      </c>
      <c r="U138" s="12">
        <v>0.136756560898597</v>
      </c>
      <c r="V138" s="12">
        <v>0.233811273875459</v>
      </c>
      <c r="W138" s="12">
        <v>0.10916714115637501</v>
      </c>
      <c r="X138" s="12">
        <v>6.7187742636782399E-2</v>
      </c>
      <c r="Y138" s="13">
        <v>82033</v>
      </c>
      <c r="Z138" s="13">
        <v>97798</v>
      </c>
      <c r="AA138" s="13">
        <v>752521</v>
      </c>
      <c r="AB138" s="11">
        <v>51971</v>
      </c>
      <c r="AC138" s="11">
        <v>55258</v>
      </c>
      <c r="AD138" s="12">
        <v>6.3246810721363803E-2</v>
      </c>
      <c r="AE138" s="12">
        <v>0.43949212679236399</v>
      </c>
      <c r="AF138" s="12">
        <v>5.9090646706817303E-2</v>
      </c>
      <c r="AG138" s="12">
        <v>2.2531796578861299E-2</v>
      </c>
      <c r="AH138" s="12">
        <v>6.33045352215659E-2</v>
      </c>
      <c r="AI138" s="14">
        <v>0.21215677974254901</v>
      </c>
      <c r="AJ138" s="4">
        <v>33546</v>
      </c>
      <c r="AK138" s="5">
        <v>18651</v>
      </c>
      <c r="AL138" s="5">
        <v>13746</v>
      </c>
      <c r="AM138" s="5">
        <v>5525</v>
      </c>
      <c r="AN138" s="6">
        <v>0.55598282954748701</v>
      </c>
      <c r="AO138" s="6">
        <v>0.40976569486675002</v>
      </c>
      <c r="AP138" s="6">
        <v>0.164699218982889</v>
      </c>
      <c r="AQ138" s="6">
        <v>0.14621713468073699</v>
      </c>
      <c r="AR138" s="6">
        <v>0.24506647588386099</v>
      </c>
      <c r="AS138" s="6">
        <v>0.10278423657067901</v>
      </c>
      <c r="AT138" s="6">
        <v>6.19149824122101E-2</v>
      </c>
      <c r="AU138" s="7">
        <v>82892</v>
      </c>
      <c r="AV138" s="7">
        <v>97354</v>
      </c>
      <c r="AW138" s="7">
        <v>747797</v>
      </c>
      <c r="AX138" s="5">
        <v>90201</v>
      </c>
      <c r="AY138" s="5">
        <v>96022</v>
      </c>
      <c r="AZ138" s="6">
        <v>6.4533652620259202E-2</v>
      </c>
      <c r="BA138" s="6">
        <v>0.40567165687149498</v>
      </c>
      <c r="BB138" s="6">
        <v>6.5886187514550804E-2</v>
      </c>
      <c r="BC138" s="6">
        <v>2.3225906586401501E-2</v>
      </c>
      <c r="BD138" s="6">
        <v>6.3713262602410198E-2</v>
      </c>
      <c r="BE138" s="8">
        <v>0.21780246338732401</v>
      </c>
      <c r="BF138" s="10">
        <v>62701</v>
      </c>
      <c r="BG138" s="11">
        <v>31175</v>
      </c>
      <c r="BH138" s="11">
        <v>22302</v>
      </c>
      <c r="BI138" s="11">
        <v>8438</v>
      </c>
      <c r="BJ138" s="12">
        <v>0.497201001578922</v>
      </c>
      <c r="BK138" s="12">
        <v>0.35568810704773401</v>
      </c>
      <c r="BL138" s="12">
        <v>0.134575206137063</v>
      </c>
      <c r="BM138" s="12">
        <v>0.14151289453118801</v>
      </c>
      <c r="BN138" s="12">
        <v>0.22111290091067101</v>
      </c>
      <c r="BO138" s="12">
        <v>8.5644567072295494E-2</v>
      </c>
      <c r="BP138" s="12">
        <v>4.8930639064767703E-2</v>
      </c>
      <c r="BQ138" s="13">
        <v>74461</v>
      </c>
      <c r="BR138" s="13">
        <v>89365</v>
      </c>
      <c r="BS138" s="13">
        <v>683903</v>
      </c>
      <c r="BT138" s="11">
        <v>161018</v>
      </c>
      <c r="BU138" s="11">
        <v>170667</v>
      </c>
      <c r="BV138" s="12">
        <v>5.99249773317269E-2</v>
      </c>
      <c r="BW138" s="12">
        <v>0.375510948905109</v>
      </c>
      <c r="BX138" s="12">
        <v>7.4488566495671302E-2</v>
      </c>
      <c r="BY138" s="12">
        <v>2.2767640884869999E-2</v>
      </c>
      <c r="BZ138" s="12">
        <v>7.0228173247711398E-2</v>
      </c>
      <c r="CA138" s="14">
        <v>0.23522835956228499</v>
      </c>
      <c r="CB138" s="98">
        <v>13500000</v>
      </c>
      <c r="CC138" s="83" t="s">
        <v>598</v>
      </c>
      <c r="CD138" s="83" t="s">
        <v>598</v>
      </c>
      <c r="CE138" s="83" t="s">
        <v>598</v>
      </c>
      <c r="CF138" s="83" t="s">
        <v>598</v>
      </c>
      <c r="CG138" s="90" t="str">
        <f t="shared" si="26"/>
        <v/>
      </c>
      <c r="CH138" s="90" t="str">
        <f t="shared" si="26"/>
        <v/>
      </c>
      <c r="CI138" s="90" t="str">
        <f t="shared" si="17"/>
        <v/>
      </c>
      <c r="CK138" s="98">
        <v>13500000</v>
      </c>
      <c r="CL138" s="83"/>
      <c r="CM138" s="83"/>
      <c r="CN138" s="83"/>
      <c r="CO138" s="83"/>
      <c r="CP138" s="90"/>
      <c r="CQ138" s="90"/>
      <c r="CR138" s="90"/>
    </row>
    <row r="139" spans="1:96" ht="49.5" thickTop="1" thickBot="1" x14ac:dyDescent="0.3">
      <c r="A139" s="3" t="s">
        <v>300</v>
      </c>
      <c r="B139" s="3">
        <v>1406</v>
      </c>
      <c r="C139" s="3" t="s">
        <v>218</v>
      </c>
      <c r="D139" s="16">
        <v>41473</v>
      </c>
      <c r="E139" s="16" t="s">
        <v>561</v>
      </c>
      <c r="F139" s="16" t="s">
        <v>476</v>
      </c>
      <c r="G139" s="17">
        <v>17489</v>
      </c>
      <c r="H139" s="17">
        <v>21500</v>
      </c>
      <c r="I139" s="17" t="s">
        <v>584</v>
      </c>
      <c r="J139" s="18"/>
      <c r="K139" s="18" t="s">
        <v>598</v>
      </c>
      <c r="L139" s="18"/>
      <c r="M139" s="18" t="s">
        <v>598</v>
      </c>
      <c r="N139" s="10">
        <v>22944</v>
      </c>
      <c r="O139" s="11">
        <v>10229</v>
      </c>
      <c r="P139" s="11">
        <v>6777</v>
      </c>
      <c r="Q139" s="11">
        <v>2611</v>
      </c>
      <c r="R139" s="12">
        <v>0.44582461645746202</v>
      </c>
      <c r="S139" s="12">
        <v>0.29537133891213402</v>
      </c>
      <c r="T139" s="12">
        <v>0.113798814504881</v>
      </c>
      <c r="U139" s="12">
        <v>0.150453277545328</v>
      </c>
      <c r="V139" s="12">
        <v>0.181572524407252</v>
      </c>
      <c r="W139" s="12">
        <v>6.4766387726638799E-2</v>
      </c>
      <c r="X139" s="12">
        <v>4.9032426778242703E-2</v>
      </c>
      <c r="Y139" s="13">
        <v>64198</v>
      </c>
      <c r="Z139" s="13">
        <v>81171</v>
      </c>
      <c r="AA139" s="13">
        <v>592687</v>
      </c>
      <c r="AB139" s="11">
        <v>51903</v>
      </c>
      <c r="AC139" s="11">
        <v>56316</v>
      </c>
      <c r="AD139" s="12">
        <v>8.5023987052771505E-2</v>
      </c>
      <c r="AE139" s="12">
        <v>0.48495195743667102</v>
      </c>
      <c r="AF139" s="12">
        <v>8.2808315511627498E-2</v>
      </c>
      <c r="AG139" s="12">
        <v>7.5910833670500694E-2</v>
      </c>
      <c r="AH139" s="12">
        <v>2.5470589368629899E-2</v>
      </c>
      <c r="AI139" s="14">
        <v>0.234148315126293</v>
      </c>
      <c r="AJ139" s="4">
        <v>43832</v>
      </c>
      <c r="AK139" s="5">
        <v>21448</v>
      </c>
      <c r="AL139" s="5">
        <v>14475</v>
      </c>
      <c r="AM139" s="5">
        <v>5741</v>
      </c>
      <c r="AN139" s="6">
        <v>0.48932286913670398</v>
      </c>
      <c r="AO139" s="6">
        <v>0.33023818215002698</v>
      </c>
      <c r="AP139" s="6">
        <v>0.130977368132871</v>
      </c>
      <c r="AQ139" s="6">
        <v>0.15908468698667599</v>
      </c>
      <c r="AR139" s="6">
        <v>0.19926081401715601</v>
      </c>
      <c r="AS139" s="6">
        <v>6.8694104763643002E-2</v>
      </c>
      <c r="AT139" s="6">
        <v>6.2283263369228001E-2</v>
      </c>
      <c r="AU139" s="7">
        <v>72592</v>
      </c>
      <c r="AV139" s="7">
        <v>88171</v>
      </c>
      <c r="AW139" s="7">
        <v>836879</v>
      </c>
      <c r="AX139" s="5">
        <v>102011</v>
      </c>
      <c r="AY139" s="5">
        <v>109566</v>
      </c>
      <c r="AZ139" s="6">
        <v>7.4060640519159698E-2</v>
      </c>
      <c r="BA139" s="6">
        <v>0.461477405728277</v>
      </c>
      <c r="BB139" s="6">
        <v>8.2932232798423697E-2</v>
      </c>
      <c r="BC139" s="6">
        <v>7.2315730656497795E-2</v>
      </c>
      <c r="BD139" s="6">
        <v>2.42522865181206E-2</v>
      </c>
      <c r="BE139" s="8">
        <v>0.25552146337159698</v>
      </c>
      <c r="BF139" s="10">
        <v>64567</v>
      </c>
      <c r="BG139" s="11">
        <v>32157</v>
      </c>
      <c r="BH139" s="11">
        <v>21787</v>
      </c>
      <c r="BI139" s="11">
        <v>8641</v>
      </c>
      <c r="BJ139" s="12">
        <v>0.49804079483327401</v>
      </c>
      <c r="BK139" s="12">
        <v>0.33743243452537702</v>
      </c>
      <c r="BL139" s="12">
        <v>0.13382997506466199</v>
      </c>
      <c r="BM139" s="12">
        <v>0.16060836030789699</v>
      </c>
      <c r="BN139" s="12">
        <v>0.20360245946071501</v>
      </c>
      <c r="BO139" s="12">
        <v>7.2854554184025894E-2</v>
      </c>
      <c r="BP139" s="12">
        <v>6.0975420880635602E-2</v>
      </c>
      <c r="BQ139" s="13">
        <v>74574</v>
      </c>
      <c r="BR139" s="13">
        <v>89488</v>
      </c>
      <c r="BS139" s="13">
        <v>858721</v>
      </c>
      <c r="BT139" s="11">
        <v>154226</v>
      </c>
      <c r="BU139" s="11">
        <v>165381</v>
      </c>
      <c r="BV139" s="12">
        <v>7.2328919896774896E-2</v>
      </c>
      <c r="BW139" s="12">
        <v>0.43033670367731303</v>
      </c>
      <c r="BX139" s="12">
        <v>8.9018712798101501E-2</v>
      </c>
      <c r="BY139" s="12">
        <v>7.20306563095717E-2</v>
      </c>
      <c r="BZ139" s="12">
        <v>3.2011463696134203E-2</v>
      </c>
      <c r="CA139" s="14">
        <v>0.25111200446098603</v>
      </c>
      <c r="CB139" s="86">
        <f t="shared" ref="CB139:CB146" si="29">IF(SUM(CC139:CF139)=0,"",SUM(CC139:CF139))</f>
        <v>18723504.776999358</v>
      </c>
      <c r="CC139" s="83">
        <v>4925730.5499998797</v>
      </c>
      <c r="CD139" s="83">
        <v>8975841.7269995902</v>
      </c>
      <c r="CE139" s="83">
        <v>3664461.1699998798</v>
      </c>
      <c r="CF139" s="83">
        <v>1157471.3300000101</v>
      </c>
      <c r="CG139" s="90">
        <f t="shared" si="26"/>
        <v>0.26307737833628392</v>
      </c>
      <c r="CH139" s="90">
        <f t="shared" si="26"/>
        <v>0.47938897305304956</v>
      </c>
      <c r="CI139" s="90">
        <f t="shared" si="17"/>
        <v>0.19571448901497537</v>
      </c>
      <c r="CK139" s="86">
        <f t="shared" si="27"/>
        <v>18150733</v>
      </c>
      <c r="CL139" s="83">
        <v>4732090</v>
      </c>
      <c r="CM139" s="83">
        <v>8809487</v>
      </c>
      <c r="CN139" s="83">
        <v>3524538</v>
      </c>
      <c r="CO139" s="83">
        <v>1084618</v>
      </c>
      <c r="CP139" s="90">
        <f t="shared" si="28"/>
        <v>0.26071068314431156</v>
      </c>
      <c r="CQ139" s="90">
        <f t="shared" si="28"/>
        <v>0.48535158332173139</v>
      </c>
      <c r="CR139" s="90">
        <f t="shared" si="28"/>
        <v>0.19418157933346272</v>
      </c>
    </row>
    <row r="140" spans="1:96" ht="37.5" thickTop="1" thickBot="1" x14ac:dyDescent="0.3">
      <c r="A140" s="3" t="s">
        <v>291</v>
      </c>
      <c r="B140" s="3">
        <v>509</v>
      </c>
      <c r="C140" s="3" t="s">
        <v>64</v>
      </c>
      <c r="D140" s="16">
        <v>42145</v>
      </c>
      <c r="E140" s="16" t="s">
        <v>531</v>
      </c>
      <c r="F140" s="16" t="s">
        <v>346</v>
      </c>
      <c r="G140" s="17">
        <v>21227</v>
      </c>
      <c r="H140" s="17">
        <v>28639</v>
      </c>
      <c r="I140" s="17" t="s">
        <v>585</v>
      </c>
      <c r="J140" s="18"/>
      <c r="K140" s="18" t="s">
        <v>598</v>
      </c>
      <c r="L140" s="18"/>
      <c r="M140" s="18" t="s">
        <v>598</v>
      </c>
      <c r="N140" s="10">
        <v>47318</v>
      </c>
      <c r="O140" s="11">
        <v>26830</v>
      </c>
      <c r="P140" s="11">
        <v>20041</v>
      </c>
      <c r="Q140" s="11">
        <v>9755</v>
      </c>
      <c r="R140" s="12">
        <v>0.56701466672302303</v>
      </c>
      <c r="S140" s="12">
        <v>0.42353861109937002</v>
      </c>
      <c r="T140" s="12">
        <v>0.206158332981107</v>
      </c>
      <c r="U140" s="12">
        <v>0.14347605562365301</v>
      </c>
      <c r="V140" s="12">
        <v>0.21738027811826399</v>
      </c>
      <c r="W140" s="12">
        <v>0.108605604632487</v>
      </c>
      <c r="X140" s="12">
        <v>9.7552728348619999E-2</v>
      </c>
      <c r="Y140" s="13">
        <v>84902</v>
      </c>
      <c r="Z140" s="13">
        <v>107780</v>
      </c>
      <c r="AA140" s="13">
        <v>693503</v>
      </c>
      <c r="AB140" s="11">
        <v>102717</v>
      </c>
      <c r="AC140" s="11">
        <v>108811</v>
      </c>
      <c r="AD140" s="12">
        <v>5.9328056699475301E-2</v>
      </c>
      <c r="AE140" s="12">
        <v>0.56517152509781399</v>
      </c>
      <c r="AF140" s="12">
        <v>0.30271522727493999</v>
      </c>
      <c r="AG140" s="12">
        <v>5.0059873243961599E-2</v>
      </c>
      <c r="AH140" s="12">
        <v>3.7744482412843103E-2</v>
      </c>
      <c r="AI140" s="14">
        <v>0.22111237672439801</v>
      </c>
      <c r="AJ140" s="4">
        <v>123967</v>
      </c>
      <c r="AK140" s="5">
        <v>69031</v>
      </c>
      <c r="AL140" s="5">
        <v>52432</v>
      </c>
      <c r="AM140" s="5">
        <v>27748</v>
      </c>
      <c r="AN140" s="6">
        <v>0.556849806803423</v>
      </c>
      <c r="AO140" s="6">
        <v>0.42295126928940802</v>
      </c>
      <c r="AP140" s="6">
        <v>0.223833762210911</v>
      </c>
      <c r="AQ140" s="6">
        <v>0.13389853751401601</v>
      </c>
      <c r="AR140" s="6">
        <v>0.19911750707849701</v>
      </c>
      <c r="AS140" s="6">
        <v>0.10239015221792901</v>
      </c>
      <c r="AT140" s="6">
        <v>0.121443609992982</v>
      </c>
      <c r="AU140" s="7">
        <v>83942</v>
      </c>
      <c r="AV140" s="7">
        <v>113009</v>
      </c>
      <c r="AW140" s="7">
        <v>838499</v>
      </c>
      <c r="AX140" s="5">
        <v>284122</v>
      </c>
      <c r="AY140" s="5">
        <v>308047</v>
      </c>
      <c r="AZ140" s="6">
        <v>8.4206784409514193E-2</v>
      </c>
      <c r="BA140" s="6">
        <v>0.56308548901668298</v>
      </c>
      <c r="BB140" s="6">
        <v>0.340572007799466</v>
      </c>
      <c r="BC140" s="6">
        <v>5.21008580820915E-2</v>
      </c>
      <c r="BD140" s="6">
        <v>4.0088412724111497E-2</v>
      </c>
      <c r="BE140" s="8">
        <v>0.206376134195874</v>
      </c>
      <c r="BF140" s="10">
        <v>202754</v>
      </c>
      <c r="BG140" s="11">
        <v>111340</v>
      </c>
      <c r="BH140" s="11">
        <v>86808</v>
      </c>
      <c r="BI140" s="11">
        <v>48764</v>
      </c>
      <c r="BJ140" s="12">
        <v>0.54913836471783495</v>
      </c>
      <c r="BK140" s="12">
        <v>0.42814445091095599</v>
      </c>
      <c r="BL140" s="12">
        <v>0.24050820205766599</v>
      </c>
      <c r="BM140" s="12">
        <v>0.120993913806879</v>
      </c>
      <c r="BN140" s="12">
        <v>0.18763624885329</v>
      </c>
      <c r="BO140" s="12">
        <v>0.105886936879174</v>
      </c>
      <c r="BP140" s="12">
        <v>0.13462126517849199</v>
      </c>
      <c r="BQ140" s="13">
        <v>83583</v>
      </c>
      <c r="BR140" s="13">
        <v>115740</v>
      </c>
      <c r="BS140" s="13">
        <v>886027</v>
      </c>
      <c r="BT140" s="11">
        <v>488546</v>
      </c>
      <c r="BU140" s="11">
        <v>540036</v>
      </c>
      <c r="BV140" s="12">
        <v>0.105394374327085</v>
      </c>
      <c r="BW140" s="12">
        <v>0.56320605530707402</v>
      </c>
      <c r="BX140" s="12">
        <v>0.34895997510981602</v>
      </c>
      <c r="BY140" s="12">
        <v>6.4808636238962103E-2</v>
      </c>
      <c r="BZ140" s="12">
        <v>4.8699610681491597E-2</v>
      </c>
      <c r="CA140" s="14">
        <v>0.19298899182472101</v>
      </c>
      <c r="CB140" s="86">
        <f t="shared" si="29"/>
        <v>23291027.225737303</v>
      </c>
      <c r="CC140" s="83">
        <v>7770072.7088093199</v>
      </c>
      <c r="CD140" s="83">
        <v>11910439.143928001</v>
      </c>
      <c r="CE140" s="83">
        <v>2556762.3749999702</v>
      </c>
      <c r="CF140" s="83">
        <v>1053752.9980000099</v>
      </c>
      <c r="CG140" s="90">
        <f t="shared" si="26"/>
        <v>0.33360798703730637</v>
      </c>
      <c r="CH140" s="90">
        <f t="shared" si="26"/>
        <v>0.51137457478760739</v>
      </c>
      <c r="CI140" s="90">
        <f t="shared" si="17"/>
        <v>0.10977456469479667</v>
      </c>
      <c r="CK140" s="86">
        <f t="shared" si="27"/>
        <v>23453678</v>
      </c>
      <c r="CL140" s="83">
        <v>7485102</v>
      </c>
      <c r="CM140" s="83">
        <v>12309592</v>
      </c>
      <c r="CN140" s="83">
        <v>2630049</v>
      </c>
      <c r="CO140" s="83">
        <v>1028935</v>
      </c>
      <c r="CP140" s="90">
        <f t="shared" si="28"/>
        <v>0.31914405919617383</v>
      </c>
      <c r="CQ140" s="90">
        <f t="shared" si="28"/>
        <v>0.52484697709246286</v>
      </c>
      <c r="CR140" s="90">
        <f t="shared" si="28"/>
        <v>0.11213801946116937</v>
      </c>
    </row>
    <row r="141" spans="1:96" ht="49.5" thickTop="1" thickBot="1" x14ac:dyDescent="0.3">
      <c r="A141" s="3" t="s">
        <v>291</v>
      </c>
      <c r="B141" s="3">
        <v>516</v>
      </c>
      <c r="C141" s="3" t="s">
        <v>71</v>
      </c>
      <c r="D141" s="16">
        <v>42789</v>
      </c>
      <c r="E141" s="16" t="s">
        <v>532</v>
      </c>
      <c r="F141" s="16" t="s">
        <v>353</v>
      </c>
      <c r="G141" s="17">
        <v>25917</v>
      </c>
      <c r="H141" s="17">
        <v>32748</v>
      </c>
      <c r="I141" s="17" t="s">
        <v>585</v>
      </c>
      <c r="J141" s="18" t="s">
        <v>581</v>
      </c>
      <c r="K141" s="18" t="s">
        <v>519</v>
      </c>
      <c r="L141" s="18"/>
      <c r="M141" s="18" t="s">
        <v>598</v>
      </c>
      <c r="N141" s="10">
        <v>91007</v>
      </c>
      <c r="O141" s="11">
        <v>48784</v>
      </c>
      <c r="P141" s="11">
        <v>38558</v>
      </c>
      <c r="Q141" s="11">
        <v>25954</v>
      </c>
      <c r="R141" s="12">
        <v>0.53604667772808701</v>
      </c>
      <c r="S141" s="12">
        <v>0.42368169481468498</v>
      </c>
      <c r="T141" s="12">
        <v>0.285186853758502</v>
      </c>
      <c r="U141" s="12">
        <v>0.112364982913402</v>
      </c>
      <c r="V141" s="12">
        <v>0.13849484105618201</v>
      </c>
      <c r="W141" s="12">
        <v>7.7565461997428795E-2</v>
      </c>
      <c r="X141" s="12">
        <v>0.207621391761073</v>
      </c>
      <c r="Y141" s="13">
        <v>81663</v>
      </c>
      <c r="Z141" s="13">
        <v>138392</v>
      </c>
      <c r="AA141" s="13">
        <v>1299885</v>
      </c>
      <c r="AB141" s="11">
        <v>189315</v>
      </c>
      <c r="AC141" s="11">
        <v>208450</v>
      </c>
      <c r="AD141" s="12">
        <v>0.10107492803000299</v>
      </c>
      <c r="AE141" s="12">
        <v>0.63763270445713305</v>
      </c>
      <c r="AF141" s="12">
        <v>0.34575707154742102</v>
      </c>
      <c r="AG141" s="12">
        <v>9.9532525156485196E-2</v>
      </c>
      <c r="AH141" s="12">
        <v>7.1415365924517304E-2</v>
      </c>
      <c r="AI141" s="14">
        <v>0.21113488101840799</v>
      </c>
      <c r="AJ141" s="4">
        <v>239770</v>
      </c>
      <c r="AK141" s="5">
        <v>121596</v>
      </c>
      <c r="AL141" s="5">
        <v>96761</v>
      </c>
      <c r="AM141" s="5">
        <v>65671</v>
      </c>
      <c r="AN141" s="6">
        <v>0.50713600533844905</v>
      </c>
      <c r="AO141" s="6">
        <v>0.40355757601034298</v>
      </c>
      <c r="AP141" s="6">
        <v>0.273891646160904</v>
      </c>
      <c r="AQ141" s="6">
        <v>0.103578429328106</v>
      </c>
      <c r="AR141" s="6">
        <v>0.129665929849439</v>
      </c>
      <c r="AS141" s="6">
        <v>7.7073862451515998E-2</v>
      </c>
      <c r="AT141" s="6">
        <v>0.19681778370938799</v>
      </c>
      <c r="AU141" s="7">
        <v>76352</v>
      </c>
      <c r="AV141" s="7">
        <v>132252</v>
      </c>
      <c r="AW141" s="7">
        <v>1163541</v>
      </c>
      <c r="AX141" s="5">
        <v>530942</v>
      </c>
      <c r="AY141" s="5">
        <v>584428</v>
      </c>
      <c r="AZ141" s="6">
        <v>0.10073793371027299</v>
      </c>
      <c r="BA141" s="6">
        <v>0.60960539882894604</v>
      </c>
      <c r="BB141" s="6">
        <v>0.380610311484117</v>
      </c>
      <c r="BC141" s="6">
        <v>9.9579615099201005E-2</v>
      </c>
      <c r="BD141" s="6">
        <v>8.1089836554651906E-2</v>
      </c>
      <c r="BE141" s="8">
        <v>0.21187059980186199</v>
      </c>
      <c r="BF141" s="10">
        <v>422702</v>
      </c>
      <c r="BG141" s="11">
        <v>190879</v>
      </c>
      <c r="BH141" s="11">
        <v>147499</v>
      </c>
      <c r="BI141" s="11">
        <v>95032</v>
      </c>
      <c r="BJ141" s="12">
        <v>0.45156871744160199</v>
      </c>
      <c r="BK141" s="12">
        <v>0.34894322714347198</v>
      </c>
      <c r="BL141" s="12">
        <v>0.224820322591329</v>
      </c>
      <c r="BM141" s="12">
        <v>0.10262549029813001</v>
      </c>
      <c r="BN141" s="12">
        <v>0.124122904552143</v>
      </c>
      <c r="BO141" s="12">
        <v>7.1587075528386404E-2</v>
      </c>
      <c r="BP141" s="12">
        <v>0.153233247062943</v>
      </c>
      <c r="BQ141" s="13">
        <v>65300</v>
      </c>
      <c r="BR141" s="13">
        <v>113831</v>
      </c>
      <c r="BS141" s="13">
        <v>948514</v>
      </c>
      <c r="BT141" s="11">
        <v>990173</v>
      </c>
      <c r="BU141" s="11">
        <v>1072833</v>
      </c>
      <c r="BV141" s="12">
        <v>8.34803615125842E-2</v>
      </c>
      <c r="BW141" s="12">
        <v>0.52315039002106201</v>
      </c>
      <c r="BX141" s="12">
        <v>0.40706825978894601</v>
      </c>
      <c r="BY141" s="12">
        <v>9.05841706449277E-2</v>
      </c>
      <c r="BZ141" s="12">
        <v>0.14820642453389499</v>
      </c>
      <c r="CA141" s="14">
        <v>0.20696484351724401</v>
      </c>
      <c r="CB141" s="86">
        <f t="shared" si="29"/>
        <v>23490999.493499048</v>
      </c>
      <c r="CC141" s="83">
        <v>10314183.600999599</v>
      </c>
      <c r="CD141" s="83">
        <v>10895286.394166101</v>
      </c>
      <c r="CE141" s="83">
        <v>1259784.42833334</v>
      </c>
      <c r="CF141" s="83">
        <v>1021745.07000001</v>
      </c>
      <c r="CG141" s="90">
        <f t="shared" si="26"/>
        <v>0.43906959360558367</v>
      </c>
      <c r="CH141" s="90">
        <f t="shared" si="26"/>
        <v>0.46380684641286918</v>
      </c>
      <c r="CI141" s="90">
        <f t="shared" si="17"/>
        <v>5.3628387701509912E-2</v>
      </c>
      <c r="CK141" s="86">
        <f t="shared" si="27"/>
        <v>23911876</v>
      </c>
      <c r="CL141" s="83">
        <v>10339067</v>
      </c>
      <c r="CM141" s="83">
        <v>11282794</v>
      </c>
      <c r="CN141" s="83">
        <v>1288361</v>
      </c>
      <c r="CO141" s="83">
        <v>1001654</v>
      </c>
      <c r="CP141" s="90">
        <f t="shared" si="28"/>
        <v>0.43238209331630861</v>
      </c>
      <c r="CQ141" s="90">
        <f t="shared" si="28"/>
        <v>0.47184896743358823</v>
      </c>
      <c r="CR141" s="90">
        <f t="shared" si="28"/>
        <v>5.3879545042806343E-2</v>
      </c>
    </row>
    <row r="142" spans="1:96" ht="49.5" thickTop="1" thickBot="1" x14ac:dyDescent="0.3">
      <c r="A142" s="3" t="s">
        <v>300</v>
      </c>
      <c r="B142" s="3">
        <v>1402</v>
      </c>
      <c r="C142" s="3" t="s">
        <v>214</v>
      </c>
      <c r="D142" s="16">
        <v>41172</v>
      </c>
      <c r="E142" s="16" t="s">
        <v>561</v>
      </c>
      <c r="F142" s="16" t="s">
        <v>472</v>
      </c>
      <c r="G142" s="17">
        <v>22614</v>
      </c>
      <c r="H142" s="17">
        <v>27774</v>
      </c>
      <c r="I142" s="17" t="s">
        <v>585</v>
      </c>
      <c r="J142" s="18"/>
      <c r="K142" s="18" t="s">
        <v>598</v>
      </c>
      <c r="L142" s="18" t="s">
        <v>519</v>
      </c>
      <c r="M142" s="18" t="s">
        <v>598</v>
      </c>
      <c r="N142" s="10">
        <v>31520</v>
      </c>
      <c r="O142" s="11">
        <v>13528</v>
      </c>
      <c r="P142" s="11">
        <v>10180</v>
      </c>
      <c r="Q142" s="11">
        <v>5290</v>
      </c>
      <c r="R142" s="12">
        <v>0.429187817258883</v>
      </c>
      <c r="S142" s="12">
        <v>0.32296954314720799</v>
      </c>
      <c r="T142" s="12">
        <v>0.167829949238579</v>
      </c>
      <c r="U142" s="12">
        <v>0.106218274111675</v>
      </c>
      <c r="V142" s="12">
        <v>0.155139593908629</v>
      </c>
      <c r="W142" s="12">
        <v>7.9885786802030498E-2</v>
      </c>
      <c r="X142" s="12">
        <v>8.7944162436548207E-2</v>
      </c>
      <c r="Y142" s="13">
        <v>63877</v>
      </c>
      <c r="Z142" s="13">
        <v>91835</v>
      </c>
      <c r="AA142" s="13">
        <v>583646</v>
      </c>
      <c r="AB142" s="11">
        <v>83229</v>
      </c>
      <c r="AC142" s="11">
        <v>88089</v>
      </c>
      <c r="AD142" s="12">
        <v>5.8393108171430598E-2</v>
      </c>
      <c r="AE142" s="12">
        <v>0.30355662922537102</v>
      </c>
      <c r="AF142" s="12">
        <v>0.149647358492833</v>
      </c>
      <c r="AG142" s="12">
        <v>0.26412668661163802</v>
      </c>
      <c r="AH142" s="12">
        <v>0.20613007485371701</v>
      </c>
      <c r="AI142" s="14">
        <v>0.227877302382583</v>
      </c>
      <c r="AJ142" s="4">
        <v>108755</v>
      </c>
      <c r="AK142" s="5">
        <v>51722</v>
      </c>
      <c r="AL142" s="5">
        <v>39657</v>
      </c>
      <c r="AM142" s="5">
        <v>21146</v>
      </c>
      <c r="AN142" s="6">
        <v>0.47558273182842198</v>
      </c>
      <c r="AO142" s="6">
        <v>0.36464530366419901</v>
      </c>
      <c r="AP142" s="6">
        <v>0.19443703737759199</v>
      </c>
      <c r="AQ142" s="6">
        <v>0.110937428164222</v>
      </c>
      <c r="AR142" s="6">
        <v>0.17020826628660801</v>
      </c>
      <c r="AS142" s="6">
        <v>9.7954117052089604E-2</v>
      </c>
      <c r="AT142" s="6">
        <v>9.6482920325502305E-2</v>
      </c>
      <c r="AU142" s="7">
        <v>70671</v>
      </c>
      <c r="AV142" s="7">
        <v>98595</v>
      </c>
      <c r="AW142" s="7">
        <v>827365</v>
      </c>
      <c r="AX142" s="5">
        <v>293927</v>
      </c>
      <c r="AY142" s="5">
        <v>309623</v>
      </c>
      <c r="AZ142" s="6">
        <v>5.3401014537623297E-2</v>
      </c>
      <c r="BA142" s="6">
        <v>0.31068057085554202</v>
      </c>
      <c r="BB142" s="6">
        <v>0.16794646289724999</v>
      </c>
      <c r="BC142" s="6">
        <v>0.24420349270397099</v>
      </c>
      <c r="BD142" s="6">
        <v>0.14909484327741199</v>
      </c>
      <c r="BE142" s="8">
        <v>0.23534415007808099</v>
      </c>
      <c r="BF142" s="10">
        <v>191982</v>
      </c>
      <c r="BG142" s="11">
        <v>96163</v>
      </c>
      <c r="BH142" s="11">
        <v>76226</v>
      </c>
      <c r="BI142" s="11">
        <v>44063</v>
      </c>
      <c r="BJ142" s="12">
        <v>0.50089591732558303</v>
      </c>
      <c r="BK142" s="12">
        <v>0.39704763988290598</v>
      </c>
      <c r="BL142" s="12">
        <v>0.22951630882061899</v>
      </c>
      <c r="BM142" s="12">
        <v>0.103848277442677</v>
      </c>
      <c r="BN142" s="12">
        <v>0.16753133106228699</v>
      </c>
      <c r="BO142" s="12">
        <v>0.104488962506902</v>
      </c>
      <c r="BP142" s="12">
        <v>0.12502734631371701</v>
      </c>
      <c r="BQ142" s="13">
        <v>75166</v>
      </c>
      <c r="BR142" s="13">
        <v>108362</v>
      </c>
      <c r="BS142" s="13">
        <v>1080696</v>
      </c>
      <c r="BT142" s="11">
        <v>529081</v>
      </c>
      <c r="BU142" s="11">
        <v>558920</v>
      </c>
      <c r="BV142" s="12">
        <v>5.6397791642489502E-2</v>
      </c>
      <c r="BW142" s="12">
        <v>0.34537712394060499</v>
      </c>
      <c r="BX142" s="12">
        <v>0.155702056962922</v>
      </c>
      <c r="BY142" s="12">
        <v>0.25944231601588402</v>
      </c>
      <c r="BZ142" s="12">
        <v>0.13144112149179399</v>
      </c>
      <c r="CA142" s="14">
        <v>0.23952287078916101</v>
      </c>
      <c r="CB142" s="86">
        <f t="shared" si="29"/>
        <v>26362640.919999108</v>
      </c>
      <c r="CC142" s="83">
        <v>6045510.5199998096</v>
      </c>
      <c r="CD142" s="83">
        <v>15218154.1099994</v>
      </c>
      <c r="CE142" s="83">
        <v>3659087.8342856099</v>
      </c>
      <c r="CF142" s="83">
        <v>1439888.45571429</v>
      </c>
      <c r="CG142" s="90">
        <f t="shared" si="26"/>
        <v>0.2293211267545503</v>
      </c>
      <c r="CH142" s="90">
        <f t="shared" si="26"/>
        <v>0.57726212469307925</v>
      </c>
      <c r="CI142" s="90">
        <f t="shared" si="17"/>
        <v>0.13879822758992894</v>
      </c>
      <c r="CK142" s="86">
        <f t="shared" si="27"/>
        <v>25950973</v>
      </c>
      <c r="CL142" s="83">
        <v>5836726</v>
      </c>
      <c r="CM142" s="83">
        <v>15070546</v>
      </c>
      <c r="CN142" s="83">
        <v>3607552</v>
      </c>
      <c r="CO142" s="83">
        <v>1436149</v>
      </c>
      <c r="CP142" s="90">
        <f t="shared" si="28"/>
        <v>0.22491357067806284</v>
      </c>
      <c r="CQ142" s="90">
        <f t="shared" si="28"/>
        <v>0.58073144309463853</v>
      </c>
      <c r="CR142" s="90">
        <f t="shared" si="28"/>
        <v>0.13901413253368189</v>
      </c>
    </row>
    <row r="143" spans="1:96" ht="37.5" thickTop="1" thickBot="1" x14ac:dyDescent="0.3">
      <c r="A143" s="3" t="s">
        <v>291</v>
      </c>
      <c r="B143" s="3">
        <v>523</v>
      </c>
      <c r="C143" s="3" t="s">
        <v>78</v>
      </c>
      <c r="D143" s="16">
        <v>43055</v>
      </c>
      <c r="E143" s="16" t="s">
        <v>529</v>
      </c>
      <c r="F143" s="16" t="s">
        <v>360</v>
      </c>
      <c r="G143" s="17">
        <v>21658</v>
      </c>
      <c r="H143" s="17">
        <v>25000</v>
      </c>
      <c r="I143" s="17" t="s">
        <v>585</v>
      </c>
      <c r="J143" s="18"/>
      <c r="K143" s="18" t="s">
        <v>598</v>
      </c>
      <c r="L143" s="18"/>
      <c r="M143" s="18" t="s">
        <v>598</v>
      </c>
      <c r="N143" s="10">
        <v>33865</v>
      </c>
      <c r="O143" s="11">
        <v>22233</v>
      </c>
      <c r="P143" s="11">
        <v>16217</v>
      </c>
      <c r="Q143" s="11">
        <v>7690</v>
      </c>
      <c r="R143" s="12">
        <v>0.65651852945518996</v>
      </c>
      <c r="S143" s="12">
        <v>0.478871991731877</v>
      </c>
      <c r="T143" s="12">
        <v>0.22707810423741301</v>
      </c>
      <c r="U143" s="12">
        <v>0.17764653772331301</v>
      </c>
      <c r="V143" s="12">
        <v>0.25179388749446302</v>
      </c>
      <c r="W143" s="12">
        <v>0.14108962055219301</v>
      </c>
      <c r="X143" s="12">
        <v>8.5988483685220704E-2</v>
      </c>
      <c r="Y143" s="13">
        <v>96140</v>
      </c>
      <c r="Z143" s="13">
        <v>111817</v>
      </c>
      <c r="AA143" s="13">
        <v>795530</v>
      </c>
      <c r="AB143" s="11">
        <v>105470</v>
      </c>
      <c r="AC143" s="11">
        <v>118374</v>
      </c>
      <c r="AD143" s="12">
        <v>0.12234758699156199</v>
      </c>
      <c r="AE143" s="12">
        <v>0.43127911252758</v>
      </c>
      <c r="AF143" s="12">
        <v>0.24439177017161301</v>
      </c>
      <c r="AG143" s="12">
        <v>8.3929079359059494E-2</v>
      </c>
      <c r="AH143" s="12">
        <v>0.11450649473784</v>
      </c>
      <c r="AI143" s="14">
        <v>0.17406845548497199</v>
      </c>
      <c r="AJ143" s="4">
        <v>87784</v>
      </c>
      <c r="AK143" s="5">
        <v>54983</v>
      </c>
      <c r="AL143" s="5">
        <v>39174</v>
      </c>
      <c r="AM143" s="5">
        <v>18374</v>
      </c>
      <c r="AN143" s="6">
        <v>0.62634420851180195</v>
      </c>
      <c r="AO143" s="6">
        <v>0.44625444272304698</v>
      </c>
      <c r="AP143" s="6">
        <v>0.209309213524105</v>
      </c>
      <c r="AQ143" s="6">
        <v>0.18008976578875399</v>
      </c>
      <c r="AR143" s="6">
        <v>0.23694522919894301</v>
      </c>
      <c r="AS143" s="6">
        <v>0.123507700719949</v>
      </c>
      <c r="AT143" s="6">
        <v>8.5801512804155697E-2</v>
      </c>
      <c r="AU143" s="7">
        <v>90801</v>
      </c>
      <c r="AV143" s="7">
        <v>108688</v>
      </c>
      <c r="AW143" s="7">
        <v>857716</v>
      </c>
      <c r="AX143" s="5">
        <v>262735</v>
      </c>
      <c r="AY143" s="5">
        <v>290903</v>
      </c>
      <c r="AZ143" s="6">
        <v>0.107210687574933</v>
      </c>
      <c r="BA143" s="6">
        <v>0.40009400931656403</v>
      </c>
      <c r="BB143" s="6">
        <v>0.24133823053647199</v>
      </c>
      <c r="BC143" s="6">
        <v>7.7496336612937006E-2</v>
      </c>
      <c r="BD143" s="6">
        <v>0.105239119264658</v>
      </c>
      <c r="BE143" s="8">
        <v>0.191649380554551</v>
      </c>
      <c r="BF143" s="10">
        <v>136519</v>
      </c>
      <c r="BG143" s="11">
        <v>82953</v>
      </c>
      <c r="BH143" s="11">
        <v>59391</v>
      </c>
      <c r="BI143" s="11">
        <v>28796</v>
      </c>
      <c r="BJ143" s="12">
        <v>0.60762970722024001</v>
      </c>
      <c r="BK143" s="12">
        <v>0.43503834631076999</v>
      </c>
      <c r="BL143" s="12">
        <v>0.21093034669166899</v>
      </c>
      <c r="BM143" s="12">
        <v>0.17259136090947</v>
      </c>
      <c r="BN143" s="12">
        <v>0.22410799961910099</v>
      </c>
      <c r="BO143" s="12">
        <v>0.111691412916883</v>
      </c>
      <c r="BP143" s="12">
        <v>9.9238933774785903E-2</v>
      </c>
      <c r="BQ143" s="13">
        <v>88707</v>
      </c>
      <c r="BR143" s="13">
        <v>109950</v>
      </c>
      <c r="BS143" s="13">
        <v>980245</v>
      </c>
      <c r="BT143" s="11">
        <v>404552</v>
      </c>
      <c r="BU143" s="11">
        <v>453300</v>
      </c>
      <c r="BV143" s="12">
        <v>0.120498724515019</v>
      </c>
      <c r="BW143" s="12">
        <v>0.37954944706273802</v>
      </c>
      <c r="BX143" s="12">
        <v>0.2501779746485</v>
      </c>
      <c r="BY143" s="12">
        <v>6.8381814945915498E-2</v>
      </c>
      <c r="BZ143" s="12">
        <v>9.2166149221855301E-2</v>
      </c>
      <c r="CA143" s="14">
        <v>0.20381063497399601</v>
      </c>
      <c r="CB143" s="86">
        <f t="shared" si="29"/>
        <v>23910750.459070019</v>
      </c>
      <c r="CC143" s="83">
        <v>4869547.5333332103</v>
      </c>
      <c r="CD143" s="83">
        <v>15012187.4899993</v>
      </c>
      <c r="CE143" s="83">
        <v>2778646.4507375001</v>
      </c>
      <c r="CF143" s="83">
        <v>1250368.9850000101</v>
      </c>
      <c r="CG143" s="90">
        <f t="shared" si="26"/>
        <v>0.20365515259208664</v>
      </c>
      <c r="CH143" s="90">
        <f t="shared" si="26"/>
        <v>0.62784258970444629</v>
      </c>
      <c r="CI143" s="90">
        <f t="shared" si="26"/>
        <v>0.11620908576223635</v>
      </c>
      <c r="CK143" s="86">
        <f t="shared" si="27"/>
        <v>24571607</v>
      </c>
      <c r="CL143" s="83">
        <v>4953007</v>
      </c>
      <c r="CM143" s="83">
        <v>15497811</v>
      </c>
      <c r="CN143" s="83">
        <v>2852418</v>
      </c>
      <c r="CO143" s="83">
        <v>1268371</v>
      </c>
      <c r="CP143" s="90">
        <f t="shared" si="28"/>
        <v>0.20157440252076309</v>
      </c>
      <c r="CQ143" s="90">
        <f t="shared" si="28"/>
        <v>0.63072028622303788</v>
      </c>
      <c r="CR143" s="90">
        <f t="shared" si="28"/>
        <v>0.11608593609689427</v>
      </c>
    </row>
    <row r="144" spans="1:96" ht="49.5" thickTop="1" thickBot="1" x14ac:dyDescent="0.3">
      <c r="A144" s="3" t="s">
        <v>295</v>
      </c>
      <c r="B144" s="3">
        <v>903</v>
      </c>
      <c r="C144" s="3" t="s">
        <v>119</v>
      </c>
      <c r="D144" s="16">
        <v>39037</v>
      </c>
      <c r="E144" s="16" t="s">
        <v>545</v>
      </c>
      <c r="F144" s="16" t="s">
        <v>396</v>
      </c>
      <c r="G144" s="17">
        <v>20186</v>
      </c>
      <c r="H144" s="17">
        <v>25000</v>
      </c>
      <c r="I144" s="17" t="s">
        <v>585</v>
      </c>
      <c r="J144" s="18"/>
      <c r="K144" s="18" t="s">
        <v>519</v>
      </c>
      <c r="L144" s="18"/>
      <c r="M144" s="18" t="s">
        <v>598</v>
      </c>
      <c r="N144" s="10">
        <v>33610</v>
      </c>
      <c r="O144" s="11">
        <v>18350</v>
      </c>
      <c r="P144" s="11">
        <v>14116</v>
      </c>
      <c r="Q144" s="11">
        <v>7913</v>
      </c>
      <c r="R144" s="12">
        <v>0.54596846176733105</v>
      </c>
      <c r="S144" s="12">
        <v>0.41999404939006202</v>
      </c>
      <c r="T144" s="12">
        <v>0.23543588217792299</v>
      </c>
      <c r="U144" s="12">
        <v>0.125974412377269</v>
      </c>
      <c r="V144" s="12">
        <v>0.184558167212139</v>
      </c>
      <c r="W144" s="12">
        <v>7.6286819398988404E-2</v>
      </c>
      <c r="X144" s="12">
        <v>0.15914906277893501</v>
      </c>
      <c r="Y144" s="13">
        <v>82595</v>
      </c>
      <c r="Z144" s="13">
        <v>120840</v>
      </c>
      <c r="AA144" s="13">
        <v>1809211</v>
      </c>
      <c r="AB144" s="11">
        <v>72691</v>
      </c>
      <c r="AC144" s="11">
        <v>76832</v>
      </c>
      <c r="AD144" s="12">
        <v>5.69671623722331E-2</v>
      </c>
      <c r="AE144" s="12">
        <v>0.47111645830063997</v>
      </c>
      <c r="AF144" s="12">
        <v>0.14183323932811501</v>
      </c>
      <c r="AG144" s="12">
        <v>3.7982693868566897E-2</v>
      </c>
      <c r="AH144" s="12">
        <v>9.08915821766106E-2</v>
      </c>
      <c r="AI144" s="14">
        <v>0.29537356756682398</v>
      </c>
      <c r="AJ144" s="4">
        <v>68444</v>
      </c>
      <c r="AK144" s="5">
        <v>36456</v>
      </c>
      <c r="AL144" s="5">
        <v>27929</v>
      </c>
      <c r="AM144" s="5">
        <v>15728</v>
      </c>
      <c r="AN144" s="6">
        <v>0.53263982233650897</v>
      </c>
      <c r="AO144" s="6">
        <v>0.40805622114429302</v>
      </c>
      <c r="AP144" s="6">
        <v>0.22979369995909099</v>
      </c>
      <c r="AQ144" s="6">
        <v>0.124583601192216</v>
      </c>
      <c r="AR144" s="6">
        <v>0.178262521185202</v>
      </c>
      <c r="AS144" s="6">
        <v>7.5901466892642197E-2</v>
      </c>
      <c r="AT144" s="6">
        <v>0.153892233066448</v>
      </c>
      <c r="AU144" s="7">
        <v>80301</v>
      </c>
      <c r="AV144" s="7">
        <v>118889</v>
      </c>
      <c r="AW144" s="7">
        <v>1762097</v>
      </c>
      <c r="AX144" s="5">
        <v>154077</v>
      </c>
      <c r="AY144" s="5">
        <v>162216</v>
      </c>
      <c r="AZ144" s="6">
        <v>5.2824237232033298E-2</v>
      </c>
      <c r="BA144" s="6">
        <v>0.45903331134006697</v>
      </c>
      <c r="BB144" s="6">
        <v>0.124372878495817</v>
      </c>
      <c r="BC144" s="6">
        <v>3.5105823711520899E-2</v>
      </c>
      <c r="BD144" s="6">
        <v>0.201769245247506</v>
      </c>
      <c r="BE144" s="8">
        <v>0.28553255839612701</v>
      </c>
      <c r="BF144" s="10">
        <v>99259</v>
      </c>
      <c r="BG144" s="11">
        <v>49846</v>
      </c>
      <c r="BH144" s="11">
        <v>37637</v>
      </c>
      <c r="BI144" s="11">
        <v>20798</v>
      </c>
      <c r="BJ144" s="12">
        <v>0.50218116241348398</v>
      </c>
      <c r="BK144" s="12">
        <v>0.37917972173807901</v>
      </c>
      <c r="BL144" s="12">
        <v>0.20953263683897699</v>
      </c>
      <c r="BM144" s="12">
        <v>0.123001440675405</v>
      </c>
      <c r="BN144" s="12">
        <v>0.16964708489910199</v>
      </c>
      <c r="BO144" s="12">
        <v>6.9978540988726495E-2</v>
      </c>
      <c r="BP144" s="12">
        <v>0.13955409585025</v>
      </c>
      <c r="BQ144" s="13">
        <v>75337</v>
      </c>
      <c r="BR144" s="13">
        <v>112327</v>
      </c>
      <c r="BS144" s="13">
        <v>1606251</v>
      </c>
      <c r="BT144" s="11">
        <v>230069</v>
      </c>
      <c r="BU144" s="11">
        <v>242037</v>
      </c>
      <c r="BV144" s="12">
        <v>5.2019176855638997E-2</v>
      </c>
      <c r="BW144" s="12">
        <v>0.42794187023208202</v>
      </c>
      <c r="BX144" s="12">
        <v>0.15214131412750101</v>
      </c>
      <c r="BY144" s="12">
        <v>3.10254749662058E-2</v>
      </c>
      <c r="BZ144" s="12">
        <v>0.23236941960890001</v>
      </c>
      <c r="CA144" s="14">
        <v>0.279242314262243</v>
      </c>
      <c r="CB144" s="86">
        <f t="shared" si="29"/>
        <v>38985600.507023014</v>
      </c>
      <c r="CC144" s="83">
        <v>19155105.3070237</v>
      </c>
      <c r="CD144" s="83">
        <v>14615132.389999401</v>
      </c>
      <c r="CE144" s="83">
        <v>3365871.3999999198</v>
      </c>
      <c r="CF144" s="83">
        <v>1849491.41</v>
      </c>
      <c r="CG144" s="90">
        <f t="shared" si="26"/>
        <v>0.49133795703808708</v>
      </c>
      <c r="CH144" s="90">
        <f t="shared" si="26"/>
        <v>0.37488539870936644</v>
      </c>
      <c r="CI144" s="90">
        <f t="shared" si="26"/>
        <v>8.633627175740384E-2</v>
      </c>
      <c r="CK144" s="86">
        <f t="shared" si="27"/>
        <v>38673220</v>
      </c>
      <c r="CL144" s="83">
        <v>18856932</v>
      </c>
      <c r="CM144" s="83">
        <v>14698010</v>
      </c>
      <c r="CN144" s="83">
        <v>3319580</v>
      </c>
      <c r="CO144" s="83">
        <v>1798698</v>
      </c>
      <c r="CP144" s="90">
        <f t="shared" si="28"/>
        <v>0.48759663663899722</v>
      </c>
      <c r="CQ144" s="90">
        <f t="shared" si="28"/>
        <v>0.38005653524583677</v>
      </c>
      <c r="CR144" s="90">
        <f t="shared" si="28"/>
        <v>8.5836659062782983E-2</v>
      </c>
    </row>
    <row r="145" spans="1:96" ht="49.5" thickTop="1" thickBot="1" x14ac:dyDescent="0.3">
      <c r="A145" s="3" t="s">
        <v>300</v>
      </c>
      <c r="B145" s="3">
        <v>1404</v>
      </c>
      <c r="C145" s="3" t="s">
        <v>216</v>
      </c>
      <c r="D145" s="16">
        <v>41410</v>
      </c>
      <c r="E145" s="16" t="s">
        <v>563</v>
      </c>
      <c r="F145" s="16" t="s">
        <v>474</v>
      </c>
      <c r="G145" s="17">
        <v>16331</v>
      </c>
      <c r="H145" s="17">
        <v>19161</v>
      </c>
      <c r="I145" s="17" t="s">
        <v>584</v>
      </c>
      <c r="J145" s="18"/>
      <c r="K145" s="18" t="s">
        <v>598</v>
      </c>
      <c r="L145" s="18"/>
      <c r="M145" s="18" t="s">
        <v>519</v>
      </c>
      <c r="N145" s="10">
        <v>50126</v>
      </c>
      <c r="O145" s="11">
        <v>21425</v>
      </c>
      <c r="P145" s="11">
        <v>13319</v>
      </c>
      <c r="Q145" s="11">
        <v>3739</v>
      </c>
      <c r="R145" s="12">
        <v>0.427422894306348</v>
      </c>
      <c r="S145" s="12">
        <v>0.26571040976738602</v>
      </c>
      <c r="T145" s="12">
        <v>7.4592028089215195E-2</v>
      </c>
      <c r="U145" s="12">
        <v>0.161712484538962</v>
      </c>
      <c r="V145" s="12">
        <v>0.191118381678171</v>
      </c>
      <c r="W145" s="12">
        <v>4.77795954195427E-2</v>
      </c>
      <c r="X145" s="12">
        <v>2.6812432669672401E-2</v>
      </c>
      <c r="Y145" s="13">
        <v>63836</v>
      </c>
      <c r="Z145" s="13">
        <v>76444</v>
      </c>
      <c r="AA145" s="13">
        <v>430080</v>
      </c>
      <c r="AB145" s="11">
        <v>129989</v>
      </c>
      <c r="AC145" s="11">
        <v>138268</v>
      </c>
      <c r="AD145" s="12">
        <v>6.3690004538845602E-2</v>
      </c>
      <c r="AE145" s="12">
        <v>0.23337519981731</v>
      </c>
      <c r="AF145" s="12">
        <v>0.153089876835732</v>
      </c>
      <c r="AG145" s="12">
        <v>5.1050473501604E-2</v>
      </c>
      <c r="AH145" s="12">
        <v>3.5464539307172097E-2</v>
      </c>
      <c r="AI145" s="14">
        <v>0.217972289962997</v>
      </c>
      <c r="AJ145" s="4">
        <v>110991</v>
      </c>
      <c r="AK145" s="5">
        <v>51922</v>
      </c>
      <c r="AL145" s="5">
        <v>33956</v>
      </c>
      <c r="AM145" s="5">
        <v>11899</v>
      </c>
      <c r="AN145" s="6">
        <v>0.46780369579515502</v>
      </c>
      <c r="AO145" s="6">
        <v>0.30593471542737699</v>
      </c>
      <c r="AP145" s="6">
        <v>0.10720689064879101</v>
      </c>
      <c r="AQ145" s="6">
        <v>0.161868980367778</v>
      </c>
      <c r="AR145" s="6">
        <v>0.198727824778586</v>
      </c>
      <c r="AS145" s="6">
        <v>6.5825156994711295E-2</v>
      </c>
      <c r="AT145" s="6">
        <v>4.13817336540801E-2</v>
      </c>
      <c r="AU145" s="7">
        <v>69327</v>
      </c>
      <c r="AV145" s="7">
        <v>83672</v>
      </c>
      <c r="AW145" s="7">
        <v>584132</v>
      </c>
      <c r="AX145" s="5">
        <v>287715</v>
      </c>
      <c r="AY145" s="5">
        <v>308307</v>
      </c>
      <c r="AZ145" s="6">
        <v>7.1570825295865698E-2</v>
      </c>
      <c r="BA145" s="6">
        <v>0.27700628637242303</v>
      </c>
      <c r="BB145" s="6">
        <v>0.13870323062753101</v>
      </c>
      <c r="BC145" s="6">
        <v>5.2232243713396902E-2</v>
      </c>
      <c r="BD145" s="6">
        <v>3.17015101749996E-2</v>
      </c>
      <c r="BE145" s="8">
        <v>0.232146394869923</v>
      </c>
      <c r="BF145" s="10">
        <v>153138</v>
      </c>
      <c r="BG145" s="11">
        <v>77056</v>
      </c>
      <c r="BH145" s="11">
        <v>52420</v>
      </c>
      <c r="BI145" s="11">
        <v>20066</v>
      </c>
      <c r="BJ145" s="12">
        <v>0.50318013817602403</v>
      </c>
      <c r="BK145" s="12">
        <v>0.34230563282790699</v>
      </c>
      <c r="BL145" s="12">
        <v>0.131032140944769</v>
      </c>
      <c r="BM145" s="12">
        <v>0.16087450534811701</v>
      </c>
      <c r="BN145" s="12">
        <v>0.21127349188313799</v>
      </c>
      <c r="BO145" s="12">
        <v>7.6453917381707995E-2</v>
      </c>
      <c r="BP145" s="12">
        <v>5.4578223563060801E-2</v>
      </c>
      <c r="BQ145" s="13">
        <v>75355</v>
      </c>
      <c r="BR145" s="13">
        <v>90013</v>
      </c>
      <c r="BS145" s="13">
        <v>740581</v>
      </c>
      <c r="BT145" s="11">
        <v>399125</v>
      </c>
      <c r="BU145" s="11">
        <v>427475</v>
      </c>
      <c r="BV145" s="12">
        <v>7.1030378953961804E-2</v>
      </c>
      <c r="BW145" s="12">
        <v>0.32521124063912299</v>
      </c>
      <c r="BX145" s="12">
        <v>0.130209834011901</v>
      </c>
      <c r="BY145" s="12">
        <v>5.84754149702474E-2</v>
      </c>
      <c r="BZ145" s="12">
        <v>4.3460068900720301E-2</v>
      </c>
      <c r="CA145" s="14">
        <v>0.23937112433448199</v>
      </c>
      <c r="CB145" s="86">
        <f t="shared" si="29"/>
        <v>22048166.084999144</v>
      </c>
      <c r="CC145" s="83">
        <v>6059530.5999998199</v>
      </c>
      <c r="CD145" s="83">
        <v>10978675.6899994</v>
      </c>
      <c r="CE145" s="83">
        <v>3423397.3149999101</v>
      </c>
      <c r="CF145" s="83">
        <v>1586562.48000001</v>
      </c>
      <c r="CG145" s="90">
        <f t="shared" si="26"/>
        <v>0.27483150193260414</v>
      </c>
      <c r="CH145" s="90">
        <f t="shared" si="26"/>
        <v>0.49794053835021379</v>
      </c>
      <c r="CI145" s="90">
        <f t="shared" si="26"/>
        <v>0.15526902790019703</v>
      </c>
      <c r="CK145" s="86">
        <f t="shared" si="27"/>
        <v>21869432</v>
      </c>
      <c r="CL145" s="83">
        <v>5854662</v>
      </c>
      <c r="CM145" s="83">
        <v>11030548</v>
      </c>
      <c r="CN145" s="83">
        <v>3412434</v>
      </c>
      <c r="CO145" s="83">
        <v>1571788</v>
      </c>
      <c r="CP145" s="90">
        <f t="shared" si="28"/>
        <v>0.26770983352471156</v>
      </c>
      <c r="CQ145" s="90">
        <f t="shared" si="28"/>
        <v>0.50438200681206535</v>
      </c>
      <c r="CR145" s="90">
        <f t="shared" si="28"/>
        <v>0.15603669999293993</v>
      </c>
    </row>
    <row r="146" spans="1:96" ht="37.5" thickTop="1" thickBot="1" x14ac:dyDescent="0.3">
      <c r="A146" s="3" t="s">
        <v>297</v>
      </c>
      <c r="B146" s="3">
        <v>1129</v>
      </c>
      <c r="C146" s="3" t="s">
        <v>195</v>
      </c>
      <c r="D146" s="16">
        <v>44539</v>
      </c>
      <c r="E146" s="16" t="s">
        <v>557</v>
      </c>
      <c r="F146" s="16" t="s">
        <v>642</v>
      </c>
      <c r="G146" s="17">
        <v>23597</v>
      </c>
      <c r="H146" s="17">
        <v>28150</v>
      </c>
      <c r="I146" s="17" t="s">
        <v>585</v>
      </c>
      <c r="J146" s="18"/>
      <c r="K146" s="18" t="s">
        <v>519</v>
      </c>
      <c r="L146" s="18"/>
      <c r="M146" s="18" t="s">
        <v>598</v>
      </c>
      <c r="N146" s="10">
        <v>95417</v>
      </c>
      <c r="O146" s="11">
        <v>49836</v>
      </c>
      <c r="P146" s="11">
        <v>37304</v>
      </c>
      <c r="Q146" s="11">
        <v>18220</v>
      </c>
      <c r="R146" s="12">
        <v>0.52229686533846198</v>
      </c>
      <c r="S146" s="12">
        <v>0.39095758617437099</v>
      </c>
      <c r="T146" s="12">
        <v>0.19095129798673199</v>
      </c>
      <c r="U146" s="12">
        <v>0.13133927916408999</v>
      </c>
      <c r="V146" s="12">
        <v>0.20000628818763999</v>
      </c>
      <c r="W146" s="12">
        <v>0.100631962857772</v>
      </c>
      <c r="X146" s="12">
        <v>9.0319335128960204E-2</v>
      </c>
      <c r="Y146" s="13">
        <v>78321</v>
      </c>
      <c r="Z146" s="13">
        <v>101633</v>
      </c>
      <c r="AA146" s="13">
        <v>510781</v>
      </c>
      <c r="AB146" s="11">
        <v>206954</v>
      </c>
      <c r="AC146" s="11">
        <v>214279</v>
      </c>
      <c r="AD146" s="12">
        <v>3.5394338838582499E-2</v>
      </c>
      <c r="AE146" s="12">
        <v>0.53018803508587597</v>
      </c>
      <c r="AF146" s="12">
        <v>0.28810750215023601</v>
      </c>
      <c r="AG146" s="12">
        <v>0.10620717647399899</v>
      </c>
      <c r="AH146" s="12">
        <v>6.9773959430598095E-2</v>
      </c>
      <c r="AI146" s="14">
        <v>0.20797375262135501</v>
      </c>
      <c r="AJ146" s="4">
        <v>221630</v>
      </c>
      <c r="AK146" s="5">
        <v>108078</v>
      </c>
      <c r="AL146" s="5">
        <v>80800</v>
      </c>
      <c r="AM146" s="5">
        <v>40138</v>
      </c>
      <c r="AN146" s="6">
        <v>0.48765058881920298</v>
      </c>
      <c r="AO146" s="6">
        <v>0.36457158326941302</v>
      </c>
      <c r="AP146" s="6">
        <v>0.18110364120380801</v>
      </c>
      <c r="AQ146" s="6">
        <v>0.12307900554979</v>
      </c>
      <c r="AR146" s="6">
        <v>0.18346794206560499</v>
      </c>
      <c r="AS146" s="6">
        <v>9.0614988945539904E-2</v>
      </c>
      <c r="AT146" s="6">
        <v>9.0488652258268298E-2</v>
      </c>
      <c r="AU146" s="7">
        <v>72351</v>
      </c>
      <c r="AV146" s="7">
        <v>97680</v>
      </c>
      <c r="AW146" s="7">
        <v>544837</v>
      </c>
      <c r="AX146" s="5">
        <v>533552</v>
      </c>
      <c r="AY146" s="5">
        <v>554362</v>
      </c>
      <c r="AZ146" s="6">
        <v>3.9002758868863799E-2</v>
      </c>
      <c r="BA146" s="6">
        <v>0.45535907383328</v>
      </c>
      <c r="BB146" s="6">
        <v>0.34220282184304401</v>
      </c>
      <c r="BC146" s="6">
        <v>0.107862026569107</v>
      </c>
      <c r="BD146" s="6">
        <v>7.8391609440129503E-2</v>
      </c>
      <c r="BE146" s="8">
        <v>0.19755712657810301</v>
      </c>
      <c r="BF146" s="10">
        <v>330697</v>
      </c>
      <c r="BG146" s="11">
        <v>166164</v>
      </c>
      <c r="BH146" s="11">
        <v>125369</v>
      </c>
      <c r="BI146" s="11">
        <v>64330</v>
      </c>
      <c r="BJ146" s="12">
        <v>0.50246600362265204</v>
      </c>
      <c r="BK146" s="12">
        <v>0.37910534416701702</v>
      </c>
      <c r="BL146" s="12">
        <v>0.19452852611302801</v>
      </c>
      <c r="BM146" s="12">
        <v>0.123360659455635</v>
      </c>
      <c r="BN146" s="12">
        <v>0.18457681805398901</v>
      </c>
      <c r="BO146" s="12">
        <v>9.3224311076302496E-2</v>
      </c>
      <c r="BP146" s="12">
        <v>0.101304215036725</v>
      </c>
      <c r="BQ146" s="13">
        <v>75380</v>
      </c>
      <c r="BR146" s="13">
        <v>102086</v>
      </c>
      <c r="BS146" s="13">
        <v>741814</v>
      </c>
      <c r="BT146" s="11">
        <v>834438</v>
      </c>
      <c r="BU146" s="11">
        <v>858514</v>
      </c>
      <c r="BV146" s="12">
        <v>2.88529525261314E-2</v>
      </c>
      <c r="BW146" s="12">
        <v>0.45119363898915699</v>
      </c>
      <c r="BX146" s="12">
        <v>0.33802511390900197</v>
      </c>
      <c r="BY146" s="12">
        <v>0.10214299924020701</v>
      </c>
      <c r="BZ146" s="12">
        <v>8.0484110263434799E-2</v>
      </c>
      <c r="CA146" s="14">
        <v>0.202279857820473</v>
      </c>
      <c r="CB146" s="86">
        <f t="shared" si="29"/>
        <v>25861101.24749887</v>
      </c>
      <c r="CC146" s="83">
        <v>9686657.7899996396</v>
      </c>
      <c r="CD146" s="83">
        <v>11409312.179999299</v>
      </c>
      <c r="CE146" s="83">
        <v>3291262.8574999301</v>
      </c>
      <c r="CF146" s="83">
        <v>1473868.42</v>
      </c>
      <c r="CG146" s="90">
        <f t="shared" si="26"/>
        <v>0.37456478350613454</v>
      </c>
      <c r="CH146" s="90">
        <f t="shared" si="26"/>
        <v>0.44117657909493468</v>
      </c>
      <c r="CI146" s="90">
        <f t="shared" si="26"/>
        <v>0.12726692595189623</v>
      </c>
      <c r="CK146" s="86">
        <f t="shared" si="27"/>
        <v>29060314</v>
      </c>
      <c r="CL146" s="83">
        <v>10445830</v>
      </c>
      <c r="CM146" s="83">
        <v>13356155</v>
      </c>
      <c r="CN146" s="83">
        <v>3663531</v>
      </c>
      <c r="CO146" s="83">
        <v>1594798</v>
      </c>
      <c r="CP146" s="90">
        <f t="shared" si="28"/>
        <v>0.35945344568541138</v>
      </c>
      <c r="CQ146" s="90">
        <f t="shared" si="28"/>
        <v>0.45960119357278795</v>
      </c>
      <c r="CR146" s="90">
        <f t="shared" si="28"/>
        <v>0.12606646301206517</v>
      </c>
    </row>
    <row r="147" spans="1:96" ht="37.5" thickTop="1" thickBot="1" x14ac:dyDescent="0.3">
      <c r="A147" s="3" t="s">
        <v>297</v>
      </c>
      <c r="B147" s="3">
        <v>1139</v>
      </c>
      <c r="C147" s="3" t="s">
        <v>722</v>
      </c>
      <c r="D147" s="16">
        <v>45183</v>
      </c>
      <c r="E147" s="16" t="s">
        <v>553</v>
      </c>
      <c r="F147" s="16" t="s">
        <v>674</v>
      </c>
      <c r="G147" s="17">
        <v>20028</v>
      </c>
      <c r="H147" s="17">
        <v>23672</v>
      </c>
      <c r="I147" s="17" t="s">
        <v>585</v>
      </c>
      <c r="J147" s="18"/>
      <c r="K147" s="18" t="s">
        <v>598</v>
      </c>
      <c r="L147" s="18" t="s">
        <v>519</v>
      </c>
      <c r="M147" s="18" t="s">
        <v>598</v>
      </c>
      <c r="N147" s="10">
        <v>111058</v>
      </c>
      <c r="O147" s="11">
        <v>65044</v>
      </c>
      <c r="P147" s="11">
        <v>49770</v>
      </c>
      <c r="Q147" s="11">
        <v>29420</v>
      </c>
      <c r="R147" s="12">
        <v>0.58567595310558496</v>
      </c>
      <c r="S147" s="12">
        <v>0.44814421293378198</v>
      </c>
      <c r="T147" s="12">
        <v>0.264906625366925</v>
      </c>
      <c r="U147" s="12">
        <v>0.137531740171802</v>
      </c>
      <c r="V147" s="12">
        <v>0.18323758756685701</v>
      </c>
      <c r="W147" s="12">
        <v>0.104521961497596</v>
      </c>
      <c r="X147" s="12">
        <v>0.16038466386933001</v>
      </c>
      <c r="Y147" s="13">
        <v>88897</v>
      </c>
      <c r="Z147" s="13">
        <v>125712</v>
      </c>
      <c r="AA147" s="13">
        <v>943906</v>
      </c>
      <c r="AB147" s="11">
        <v>256914</v>
      </c>
      <c r="AC147" s="11">
        <v>262712</v>
      </c>
      <c r="AD147" s="12">
        <v>2.2567863176004399E-2</v>
      </c>
      <c r="AE147" s="12">
        <v>0.57020158962981005</v>
      </c>
      <c r="AF147" s="12">
        <v>0.26912896922705698</v>
      </c>
      <c r="AG147" s="12">
        <v>0.15253353262181099</v>
      </c>
      <c r="AH147" s="12">
        <v>0.188257549218805</v>
      </c>
      <c r="AI147" s="14">
        <v>0.234502596199506</v>
      </c>
      <c r="AJ147" s="4">
        <v>299012</v>
      </c>
      <c r="AK147" s="5">
        <v>160068</v>
      </c>
      <c r="AL147" s="5">
        <v>123954</v>
      </c>
      <c r="AM147" s="5">
        <v>73481</v>
      </c>
      <c r="AN147" s="6">
        <v>0.53532299707035202</v>
      </c>
      <c r="AO147" s="6">
        <v>0.414545235642717</v>
      </c>
      <c r="AP147" s="6">
        <v>0.24574599012748699</v>
      </c>
      <c r="AQ147" s="6">
        <v>0.12077776142763499</v>
      </c>
      <c r="AR147" s="6">
        <v>0.16879924551523001</v>
      </c>
      <c r="AS147" s="6">
        <v>9.5257046539938203E-2</v>
      </c>
      <c r="AT147" s="6">
        <v>0.150488943587548</v>
      </c>
      <c r="AU147" s="7">
        <v>80990</v>
      </c>
      <c r="AV147" s="7">
        <v>119371</v>
      </c>
      <c r="AW147" s="7">
        <v>840862</v>
      </c>
      <c r="AX147" s="5">
        <v>735374</v>
      </c>
      <c r="AY147" s="5">
        <v>753376</v>
      </c>
      <c r="AZ147" s="6">
        <v>2.4480060486228802E-2</v>
      </c>
      <c r="BA147" s="6">
        <v>0.49105481554465003</v>
      </c>
      <c r="BB147" s="6">
        <v>0.33539124309535001</v>
      </c>
      <c r="BC147" s="6">
        <v>9.9261056278845905E-2</v>
      </c>
      <c r="BD147" s="6">
        <v>0.218133901932894</v>
      </c>
      <c r="BE147" s="8">
        <v>0.233827956930759</v>
      </c>
      <c r="BF147" s="10">
        <v>571491</v>
      </c>
      <c r="BG147" s="11">
        <v>287565</v>
      </c>
      <c r="BH147" s="11">
        <v>221534</v>
      </c>
      <c r="BI147" s="11">
        <v>129986</v>
      </c>
      <c r="BJ147" s="12">
        <v>0.50318377717234397</v>
      </c>
      <c r="BK147" s="12">
        <v>0.387642150095102</v>
      </c>
      <c r="BL147" s="12">
        <v>0.22745065101637599</v>
      </c>
      <c r="BM147" s="12">
        <v>0.115541627077242</v>
      </c>
      <c r="BN147" s="12">
        <v>0.16019149907872601</v>
      </c>
      <c r="BO147" s="12">
        <v>8.6445805795716799E-2</v>
      </c>
      <c r="BP147" s="12">
        <v>0.14100484522066001</v>
      </c>
      <c r="BQ147" s="13">
        <v>75529</v>
      </c>
      <c r="BR147" s="13">
        <v>114040</v>
      </c>
      <c r="BS147" s="13">
        <v>746387</v>
      </c>
      <c r="BT147" s="11">
        <v>1469907</v>
      </c>
      <c r="BU147" s="11">
        <v>1496664</v>
      </c>
      <c r="BV147" s="12">
        <v>1.8203192446869101E-2</v>
      </c>
      <c r="BW147" s="12">
        <v>0.453378439960133</v>
      </c>
      <c r="BX147" s="12">
        <v>0.36678238827354398</v>
      </c>
      <c r="BY147" s="12">
        <v>0.10611011444941799</v>
      </c>
      <c r="BZ147" s="12">
        <v>0.19965752935389799</v>
      </c>
      <c r="CA147" s="14">
        <v>0.21991527355132001</v>
      </c>
      <c r="CB147" s="98">
        <v>23200000</v>
      </c>
      <c r="CC147" s="83" t="s">
        <v>598</v>
      </c>
      <c r="CD147" s="83" t="s">
        <v>598</v>
      </c>
      <c r="CE147" s="83" t="s">
        <v>598</v>
      </c>
      <c r="CF147" s="83" t="s">
        <v>598</v>
      </c>
      <c r="CG147" s="90" t="str">
        <f t="shared" si="26"/>
        <v/>
      </c>
      <c r="CH147" s="90" t="str">
        <f t="shared" si="26"/>
        <v/>
      </c>
      <c r="CI147" s="90" t="str">
        <f t="shared" si="26"/>
        <v/>
      </c>
      <c r="CK147" s="98">
        <v>23200000</v>
      </c>
      <c r="CL147" s="83"/>
      <c r="CM147" s="83"/>
      <c r="CN147" s="83"/>
      <c r="CO147" s="83"/>
      <c r="CP147" s="90"/>
      <c r="CQ147" s="90"/>
      <c r="CR147" s="90"/>
    </row>
    <row r="148" spans="1:96" ht="49.5" thickTop="1" thickBot="1" x14ac:dyDescent="0.3">
      <c r="A148" s="3" t="s">
        <v>288</v>
      </c>
      <c r="B148" s="3">
        <v>207</v>
      </c>
      <c r="C148" s="3" t="s">
        <v>34</v>
      </c>
      <c r="D148" s="16">
        <v>36800</v>
      </c>
      <c r="E148" s="16" t="s">
        <v>522</v>
      </c>
      <c r="F148" s="16" t="s">
        <v>322</v>
      </c>
      <c r="G148" s="17">
        <v>9740</v>
      </c>
      <c r="H148" s="17">
        <v>11040</v>
      </c>
      <c r="I148" s="17" t="s">
        <v>583</v>
      </c>
      <c r="J148" s="18"/>
      <c r="K148" s="18" t="s">
        <v>598</v>
      </c>
      <c r="L148" s="18"/>
      <c r="M148" s="18" t="s">
        <v>598</v>
      </c>
      <c r="N148" s="10">
        <v>41273</v>
      </c>
      <c r="O148" s="11">
        <v>17327</v>
      </c>
      <c r="P148" s="11">
        <v>12254</v>
      </c>
      <c r="Q148" s="11">
        <v>5513</v>
      </c>
      <c r="R148" s="12">
        <v>0.419814406512732</v>
      </c>
      <c r="S148" s="12">
        <v>0.296901121798755</v>
      </c>
      <c r="T148" s="12">
        <v>0.13357400722021701</v>
      </c>
      <c r="U148" s="12">
        <v>0.122913284713978</v>
      </c>
      <c r="V148" s="12">
        <v>0.16332711457853799</v>
      </c>
      <c r="W148" s="12">
        <v>7.4988491265476201E-2</v>
      </c>
      <c r="X148" s="12">
        <v>5.8585515954740403E-2</v>
      </c>
      <c r="Y148" s="13">
        <v>63158</v>
      </c>
      <c r="Z148" s="13">
        <v>86461</v>
      </c>
      <c r="AA148" s="13">
        <v>735051</v>
      </c>
      <c r="AB148" s="11">
        <v>97898</v>
      </c>
      <c r="AC148" s="11">
        <v>100263</v>
      </c>
      <c r="AD148" s="12">
        <v>2.4157796890641299E-2</v>
      </c>
      <c r="AE148" s="12">
        <v>0.45292893078124102</v>
      </c>
      <c r="AF148" s="12">
        <v>0.11064577417311899</v>
      </c>
      <c r="AG148" s="12">
        <v>0.12679523585772901</v>
      </c>
      <c r="AH148" s="12">
        <v>0.181740178553188</v>
      </c>
      <c r="AI148" s="14">
        <v>0.22035179472512201</v>
      </c>
      <c r="AJ148" s="4">
        <v>85904</v>
      </c>
      <c r="AK148" s="5">
        <v>43354</v>
      </c>
      <c r="AL148" s="5">
        <v>33336</v>
      </c>
      <c r="AM148" s="5">
        <v>19172</v>
      </c>
      <c r="AN148" s="6">
        <v>0.50467964239150698</v>
      </c>
      <c r="AO148" s="6">
        <v>0.38806109145092199</v>
      </c>
      <c r="AP148" s="6">
        <v>0.22317936300987101</v>
      </c>
      <c r="AQ148" s="6">
        <v>0.116618550940585</v>
      </c>
      <c r="AR148" s="6">
        <v>0.16488172844105001</v>
      </c>
      <c r="AS148" s="6">
        <v>9.5106165021419303E-2</v>
      </c>
      <c r="AT148" s="6">
        <v>0.12807319798845199</v>
      </c>
      <c r="AU148" s="7">
        <v>75769</v>
      </c>
      <c r="AV148" s="7">
        <v>111880</v>
      </c>
      <c r="AW148" s="7">
        <v>1265320</v>
      </c>
      <c r="AX148" s="5">
        <v>208181</v>
      </c>
      <c r="AY148" s="5">
        <v>216425</v>
      </c>
      <c r="AZ148" s="6">
        <v>3.96001556337994E-2</v>
      </c>
      <c r="BA148" s="6">
        <v>0.54247060519325396</v>
      </c>
      <c r="BB148" s="6">
        <v>7.7466243317113506E-2</v>
      </c>
      <c r="BC148" s="6">
        <v>0.11673015308793799</v>
      </c>
      <c r="BD148" s="6">
        <v>0.15993774648022599</v>
      </c>
      <c r="BE148" s="8">
        <v>0.23318650597316801</v>
      </c>
      <c r="BF148" s="10">
        <v>145776</v>
      </c>
      <c r="BG148" s="11">
        <v>73371</v>
      </c>
      <c r="BH148" s="11">
        <v>56782</v>
      </c>
      <c r="BI148" s="11">
        <v>33282</v>
      </c>
      <c r="BJ148" s="12">
        <v>0.50331330260125096</v>
      </c>
      <c r="BK148" s="12">
        <v>0.38951542091976699</v>
      </c>
      <c r="BL148" s="12">
        <v>0.228309186697399</v>
      </c>
      <c r="BM148" s="12">
        <v>0.113797881681484</v>
      </c>
      <c r="BN148" s="12">
        <v>0.16120623422236899</v>
      </c>
      <c r="BO148" s="12">
        <v>9.2614696520689294E-2</v>
      </c>
      <c r="BP148" s="12">
        <v>0.13569449017670901</v>
      </c>
      <c r="BQ148" s="13">
        <v>75559</v>
      </c>
      <c r="BR148" s="13">
        <v>112478</v>
      </c>
      <c r="BS148" s="13">
        <v>1229364</v>
      </c>
      <c r="BT148" s="11">
        <v>345183</v>
      </c>
      <c r="BU148" s="11">
        <v>359944</v>
      </c>
      <c r="BV148" s="12">
        <v>4.2762824356935299E-2</v>
      </c>
      <c r="BW148" s="12">
        <v>0.55347785499429503</v>
      </c>
      <c r="BX148" s="12">
        <v>6.26768989202829E-2</v>
      </c>
      <c r="BY148" s="12">
        <v>9.6253291732211602E-2</v>
      </c>
      <c r="BZ148" s="12">
        <v>0.197544490893236</v>
      </c>
      <c r="CA148" s="14">
        <v>0.23684248644921699</v>
      </c>
      <c r="CB148" s="86">
        <f t="shared" ref="CB148:CB157" si="30">IF(SUM(CC148:CF148)=0,"",SUM(CC148:CF148))</f>
        <v>9739654.4186902512</v>
      </c>
      <c r="CC148" s="83">
        <v>6780529.6053569298</v>
      </c>
      <c r="CD148" s="83">
        <v>183548.18</v>
      </c>
      <c r="CE148" s="83">
        <v>2389008.1933333199</v>
      </c>
      <c r="CF148" s="83">
        <v>386568.44000000198</v>
      </c>
      <c r="CG148" s="90">
        <f t="shared" si="26"/>
        <v>0.69617763771424934</v>
      </c>
      <c r="CH148" s="90">
        <f t="shared" si="26"/>
        <v>1.8845450989284977E-2</v>
      </c>
      <c r="CI148" s="90">
        <f t="shared" si="26"/>
        <v>0.2452867515246587</v>
      </c>
      <c r="CK148" s="86">
        <f t="shared" si="27"/>
        <v>9766494</v>
      </c>
      <c r="CL148" s="83">
        <v>6775328</v>
      </c>
      <c r="CM148" s="83">
        <v>190464</v>
      </c>
      <c r="CN148" s="83">
        <v>2396404</v>
      </c>
      <c r="CO148" s="83">
        <v>404298</v>
      </c>
      <c r="CP148" s="90">
        <f t="shared" si="28"/>
        <v>0.69373185505463886</v>
      </c>
      <c r="CQ148" s="90">
        <f t="shared" si="28"/>
        <v>1.9501778222563798E-2</v>
      </c>
      <c r="CR148" s="90">
        <f t="shared" si="28"/>
        <v>0.24536993520909345</v>
      </c>
    </row>
    <row r="149" spans="1:96" ht="49.5" thickTop="1" thickBot="1" x14ac:dyDescent="0.3">
      <c r="A149" s="3" t="s">
        <v>300</v>
      </c>
      <c r="B149" s="3">
        <v>1412</v>
      </c>
      <c r="C149" s="3" t="s">
        <v>224</v>
      </c>
      <c r="D149" s="16">
        <v>42439</v>
      </c>
      <c r="E149" s="16" t="s">
        <v>561</v>
      </c>
      <c r="F149" s="16" t="s">
        <v>482</v>
      </c>
      <c r="G149" s="17">
        <v>16041</v>
      </c>
      <c r="H149" s="17">
        <v>20000</v>
      </c>
      <c r="I149" s="17" t="s">
        <v>584</v>
      </c>
      <c r="J149" s="18"/>
      <c r="K149" s="18" t="s">
        <v>598</v>
      </c>
      <c r="L149" s="18"/>
      <c r="M149" s="18" t="s">
        <v>598</v>
      </c>
      <c r="N149" s="10">
        <v>13183</v>
      </c>
      <c r="O149" s="11">
        <v>7205</v>
      </c>
      <c r="P149" s="11">
        <v>5078</v>
      </c>
      <c r="Q149" s="11">
        <v>1869</v>
      </c>
      <c r="R149" s="12">
        <v>0.54653720700902697</v>
      </c>
      <c r="S149" s="12">
        <v>0.385193051657438</v>
      </c>
      <c r="T149" s="12">
        <v>0.14177349616930901</v>
      </c>
      <c r="U149" s="12">
        <v>0.161344155351589</v>
      </c>
      <c r="V149" s="12">
        <v>0.24341955548812899</v>
      </c>
      <c r="W149" s="12">
        <v>8.5792308275809803E-2</v>
      </c>
      <c r="X149" s="12">
        <v>5.59811878934992E-2</v>
      </c>
      <c r="Y149" s="13">
        <v>80694</v>
      </c>
      <c r="Z149" s="13">
        <v>96345</v>
      </c>
      <c r="AA149" s="13">
        <v>928405</v>
      </c>
      <c r="AB149" s="11">
        <v>35275</v>
      </c>
      <c r="AC149" s="11">
        <v>36464</v>
      </c>
      <c r="AD149" s="12">
        <v>3.3706591070163001E-2</v>
      </c>
      <c r="AE149" s="12">
        <v>0.352749839503531</v>
      </c>
      <c r="AF149" s="12">
        <v>9.9192062367115502E-2</v>
      </c>
      <c r="AG149" s="12">
        <v>9.5591778880226796E-2</v>
      </c>
      <c r="AH149" s="12">
        <v>4.5017717930545702E-2</v>
      </c>
      <c r="AI149" s="14">
        <v>0.23316796598157299</v>
      </c>
      <c r="AJ149" s="4">
        <v>25582</v>
      </c>
      <c r="AK149" s="5">
        <v>14062</v>
      </c>
      <c r="AL149" s="5">
        <v>9593</v>
      </c>
      <c r="AM149" s="5">
        <v>3506</v>
      </c>
      <c r="AN149" s="6">
        <v>0.54968337112031895</v>
      </c>
      <c r="AO149" s="6">
        <v>0.37499022750371402</v>
      </c>
      <c r="AP149" s="6">
        <v>0.13704948792119501</v>
      </c>
      <c r="AQ149" s="6">
        <v>0.17469314361660501</v>
      </c>
      <c r="AR149" s="6">
        <v>0.23794073958251899</v>
      </c>
      <c r="AS149" s="6">
        <v>8.3574388241732495E-2</v>
      </c>
      <c r="AT149" s="6">
        <v>5.3475099679462103E-2</v>
      </c>
      <c r="AU149" s="7">
        <v>80542</v>
      </c>
      <c r="AV149" s="7">
        <v>95306</v>
      </c>
      <c r="AW149" s="7">
        <v>933080</v>
      </c>
      <c r="AX149" s="5">
        <v>67788</v>
      </c>
      <c r="AY149" s="5">
        <v>70251</v>
      </c>
      <c r="AZ149" s="6">
        <v>3.6333864400778897E-2</v>
      </c>
      <c r="BA149" s="6">
        <v>0.32575463979675301</v>
      </c>
      <c r="BB149" s="6">
        <v>9.1166578155425698E-2</v>
      </c>
      <c r="BC149" s="6">
        <v>9.3320351684663905E-2</v>
      </c>
      <c r="BD149" s="6">
        <v>4.1747801970850297E-2</v>
      </c>
      <c r="BE149" s="8">
        <v>0.24719714403729301</v>
      </c>
      <c r="BF149" s="10">
        <v>49965</v>
      </c>
      <c r="BG149" s="11">
        <v>25285</v>
      </c>
      <c r="BH149" s="11">
        <v>17206</v>
      </c>
      <c r="BI149" s="11">
        <v>6817</v>
      </c>
      <c r="BJ149" s="12">
        <v>0.506054237966577</v>
      </c>
      <c r="BK149" s="12">
        <v>0.34436105273691597</v>
      </c>
      <c r="BL149" s="12">
        <v>0.136435504853397</v>
      </c>
      <c r="BM149" s="12">
        <v>0.161693185229661</v>
      </c>
      <c r="BN149" s="12">
        <v>0.207925547883518</v>
      </c>
      <c r="BO149" s="12">
        <v>7.9095366756729693E-2</v>
      </c>
      <c r="BP149" s="12">
        <v>5.73401380966677E-2</v>
      </c>
      <c r="BQ149" s="13">
        <v>75679</v>
      </c>
      <c r="BR149" s="13">
        <v>92421</v>
      </c>
      <c r="BS149" s="13">
        <v>929385</v>
      </c>
      <c r="BT149" s="11">
        <v>126272</v>
      </c>
      <c r="BU149" s="11">
        <v>132290</v>
      </c>
      <c r="BV149" s="12">
        <v>4.7659021794222003E-2</v>
      </c>
      <c r="BW149" s="12">
        <v>0.337151839328727</v>
      </c>
      <c r="BX149" s="12">
        <v>9.6949442473390796E-2</v>
      </c>
      <c r="BY149" s="12">
        <v>7.5028509883426298E-2</v>
      </c>
      <c r="BZ149" s="12">
        <v>4.1157184490623402E-2</v>
      </c>
      <c r="CA149" s="14">
        <v>0.25419728839331002</v>
      </c>
      <c r="CB149" s="86">
        <f t="shared" si="30"/>
        <v>15337267.440332871</v>
      </c>
      <c r="CC149" s="83">
        <v>4863490.6003332296</v>
      </c>
      <c r="CD149" s="83">
        <v>6910903.7499996703</v>
      </c>
      <c r="CE149" s="83">
        <v>2530799.7199999602</v>
      </c>
      <c r="CF149" s="83">
        <v>1032073.37000001</v>
      </c>
      <c r="CG149" s="90">
        <f t="shared" si="26"/>
        <v>0.31710280982279559</v>
      </c>
      <c r="CH149" s="90">
        <f t="shared" si="26"/>
        <v>0.4505955038526524</v>
      </c>
      <c r="CI149" s="90">
        <f t="shared" si="26"/>
        <v>0.16500981872068296</v>
      </c>
      <c r="CK149" s="86">
        <f t="shared" si="27"/>
        <v>15241835</v>
      </c>
      <c r="CL149" s="83">
        <v>4747001</v>
      </c>
      <c r="CM149" s="83">
        <v>7002523</v>
      </c>
      <c r="CN149" s="83">
        <v>2493970</v>
      </c>
      <c r="CO149" s="83">
        <v>998341</v>
      </c>
      <c r="CP149" s="90">
        <f t="shared" si="28"/>
        <v>0.31144550508518165</v>
      </c>
      <c r="CQ149" s="90">
        <f t="shared" si="28"/>
        <v>0.45942781823842077</v>
      </c>
      <c r="CR149" s="90">
        <f t="shared" si="28"/>
        <v>0.16362662369721231</v>
      </c>
    </row>
    <row r="150" spans="1:96" ht="37.5" thickTop="1" thickBot="1" x14ac:dyDescent="0.3">
      <c r="A150" s="3" t="s">
        <v>301</v>
      </c>
      <c r="B150" s="3">
        <v>1503</v>
      </c>
      <c r="C150" s="3" t="s">
        <v>228</v>
      </c>
      <c r="D150" s="16">
        <v>42243</v>
      </c>
      <c r="E150" s="16" t="s">
        <v>566</v>
      </c>
      <c r="F150" s="16" t="s">
        <v>644</v>
      </c>
      <c r="G150" s="17">
        <v>20502</v>
      </c>
      <c r="H150" s="17">
        <v>26000</v>
      </c>
      <c r="I150" s="17" t="s">
        <v>585</v>
      </c>
      <c r="J150" s="18"/>
      <c r="K150" s="18" t="s">
        <v>598</v>
      </c>
      <c r="L150" s="18"/>
      <c r="M150" s="18" t="s">
        <v>598</v>
      </c>
      <c r="N150" s="10">
        <v>18994</v>
      </c>
      <c r="O150" s="11">
        <v>11502</v>
      </c>
      <c r="P150" s="11">
        <v>8914</v>
      </c>
      <c r="Q150" s="11">
        <v>4808</v>
      </c>
      <c r="R150" s="12">
        <v>0.60555965041592097</v>
      </c>
      <c r="S150" s="12">
        <v>0.46930609666210399</v>
      </c>
      <c r="T150" s="12">
        <v>0.25313256817942498</v>
      </c>
      <c r="U150" s="12">
        <v>0.13625355375381701</v>
      </c>
      <c r="V150" s="12">
        <v>0.21617352848267901</v>
      </c>
      <c r="W150" s="12">
        <v>0.10856059808360501</v>
      </c>
      <c r="X150" s="12">
        <v>0.14457197009582001</v>
      </c>
      <c r="Y150" s="13">
        <v>93105</v>
      </c>
      <c r="Z150" s="13">
        <v>119342</v>
      </c>
      <c r="AA150" s="13">
        <v>1653363</v>
      </c>
      <c r="AB150" s="11">
        <v>45536</v>
      </c>
      <c r="AC150" s="11">
        <v>45464</v>
      </c>
      <c r="AD150" s="12">
        <v>-1.5811665495432199E-3</v>
      </c>
      <c r="AE150" s="12">
        <v>0.46218149435523298</v>
      </c>
      <c r="AF150" s="12">
        <v>7.8838721011946597E-2</v>
      </c>
      <c r="AG150" s="12">
        <v>7.5061489810259993E-2</v>
      </c>
      <c r="AH150" s="12">
        <v>3.2589599437807398E-2</v>
      </c>
      <c r="AI150" s="14">
        <v>0.30075105411103298</v>
      </c>
      <c r="AJ150" s="4">
        <v>43575</v>
      </c>
      <c r="AK150" s="5">
        <v>25961</v>
      </c>
      <c r="AL150" s="5">
        <v>20294</v>
      </c>
      <c r="AM150" s="5">
        <v>11136</v>
      </c>
      <c r="AN150" s="6">
        <v>0.59577739529546803</v>
      </c>
      <c r="AO150" s="6">
        <v>0.46572576018359202</v>
      </c>
      <c r="AP150" s="6">
        <v>0.255559380378657</v>
      </c>
      <c r="AQ150" s="6">
        <v>0.13005163511187601</v>
      </c>
      <c r="AR150" s="6">
        <v>0.21016637980493399</v>
      </c>
      <c r="AS150" s="6">
        <v>0.122547332185886</v>
      </c>
      <c r="AT150" s="6">
        <v>0.13301204819277099</v>
      </c>
      <c r="AU150" s="7">
        <v>92042</v>
      </c>
      <c r="AV150" s="7">
        <v>116783</v>
      </c>
      <c r="AW150" s="7">
        <v>1657163</v>
      </c>
      <c r="AX150" s="5">
        <v>107831</v>
      </c>
      <c r="AY150" s="5">
        <v>107909</v>
      </c>
      <c r="AZ150" s="6">
        <v>7.2335413749292899E-4</v>
      </c>
      <c r="BA150" s="6">
        <v>0.42899755501222497</v>
      </c>
      <c r="BB150" s="6">
        <v>9.6892359340078504E-2</v>
      </c>
      <c r="BC150" s="6">
        <v>6.0158952434828598E-2</v>
      </c>
      <c r="BD150" s="6">
        <v>5.7849783457447297E-2</v>
      </c>
      <c r="BE150" s="8">
        <v>0.29658447014309403</v>
      </c>
      <c r="BF150" s="10">
        <v>93831</v>
      </c>
      <c r="BG150" s="11">
        <v>47552</v>
      </c>
      <c r="BH150" s="11">
        <v>35347</v>
      </c>
      <c r="BI150" s="11">
        <v>18910</v>
      </c>
      <c r="BJ150" s="12">
        <v>0.50678347241316801</v>
      </c>
      <c r="BK150" s="12">
        <v>0.37670918992656999</v>
      </c>
      <c r="BL150" s="12">
        <v>0.20153254254990399</v>
      </c>
      <c r="BM150" s="12">
        <v>0.130074282486598</v>
      </c>
      <c r="BN150" s="12">
        <v>0.17517664737666699</v>
      </c>
      <c r="BO150" s="12">
        <v>0.101395061333674</v>
      </c>
      <c r="BP150" s="12">
        <v>0.10013748121622899</v>
      </c>
      <c r="BQ150" s="13">
        <v>75987</v>
      </c>
      <c r="BR150" s="13">
        <v>101191</v>
      </c>
      <c r="BS150" s="13">
        <v>1248010</v>
      </c>
      <c r="BT150" s="11">
        <v>239117</v>
      </c>
      <c r="BU150" s="11">
        <v>239546</v>
      </c>
      <c r="BV150" s="12">
        <v>1.7941007958447101E-3</v>
      </c>
      <c r="BW150" s="12">
        <v>0.35646535370606702</v>
      </c>
      <c r="BX150" s="12">
        <v>0.182333334727351</v>
      </c>
      <c r="BY150" s="12">
        <v>4.8925839651718601E-2</v>
      </c>
      <c r="BZ150" s="12">
        <v>0.14861762233550899</v>
      </c>
      <c r="CA150" s="14">
        <v>0.275358924710497</v>
      </c>
      <c r="CB150" s="86">
        <f t="shared" si="30"/>
        <v>25281513.569998953</v>
      </c>
      <c r="CC150" s="83">
        <v>9714935.6799995899</v>
      </c>
      <c r="CD150" s="83">
        <v>8819082.2099995799</v>
      </c>
      <c r="CE150" s="83">
        <v>5994046.3799997801</v>
      </c>
      <c r="CF150" s="83">
        <v>753449.30000000505</v>
      </c>
      <c r="CG150" s="90">
        <f t="shared" si="26"/>
        <v>0.38427033464990412</v>
      </c>
      <c r="CH150" s="90">
        <f t="shared" si="26"/>
        <v>0.34883521453656169</v>
      </c>
      <c r="CI150" s="90">
        <f t="shared" si="26"/>
        <v>0.23709206980047232</v>
      </c>
      <c r="CK150" s="86">
        <f t="shared" si="27"/>
        <v>25386314</v>
      </c>
      <c r="CL150" s="83">
        <v>9554118</v>
      </c>
      <c r="CM150" s="83">
        <v>9056270</v>
      </c>
      <c r="CN150" s="83">
        <v>6038862</v>
      </c>
      <c r="CO150" s="83">
        <v>737064</v>
      </c>
      <c r="CP150" s="90">
        <f t="shared" si="28"/>
        <v>0.37634916199334806</v>
      </c>
      <c r="CQ150" s="90">
        <f t="shared" si="28"/>
        <v>0.35673828031907273</v>
      </c>
      <c r="CR150" s="90">
        <f t="shared" si="28"/>
        <v>0.23787864595072764</v>
      </c>
    </row>
    <row r="151" spans="1:96" ht="37.5" thickTop="1" thickBot="1" x14ac:dyDescent="0.3">
      <c r="A151" s="3" t="s">
        <v>295</v>
      </c>
      <c r="B151" s="3">
        <v>915</v>
      </c>
      <c r="C151" s="3" t="s">
        <v>130</v>
      </c>
      <c r="D151" s="16">
        <v>39638</v>
      </c>
      <c r="E151" s="16" t="s">
        <v>545</v>
      </c>
      <c r="F151" s="16" t="s">
        <v>406</v>
      </c>
      <c r="G151" s="17">
        <v>17528</v>
      </c>
      <c r="H151" s="17">
        <v>22100</v>
      </c>
      <c r="I151" s="17" t="s">
        <v>584</v>
      </c>
      <c r="J151" s="18"/>
      <c r="K151" s="18" t="s">
        <v>598</v>
      </c>
      <c r="L151" s="18"/>
      <c r="M151" s="18" t="s">
        <v>519</v>
      </c>
      <c r="N151" s="10">
        <v>37351</v>
      </c>
      <c r="O151" s="11">
        <v>21730</v>
      </c>
      <c r="P151" s="11">
        <v>17268</v>
      </c>
      <c r="Q151" s="11">
        <v>9792</v>
      </c>
      <c r="R151" s="12">
        <v>0.58177826564215196</v>
      </c>
      <c r="S151" s="12">
        <v>0.46231693930550699</v>
      </c>
      <c r="T151" s="12">
        <v>0.26216165564509702</v>
      </c>
      <c r="U151" s="12">
        <v>0.119461326336644</v>
      </c>
      <c r="V151" s="12">
        <v>0.20015528366041099</v>
      </c>
      <c r="W151" s="12">
        <v>0.12302214130813099</v>
      </c>
      <c r="X151" s="12">
        <v>0.139139514336966</v>
      </c>
      <c r="Y151" s="13">
        <v>90664</v>
      </c>
      <c r="Z151" s="13">
        <v>115163</v>
      </c>
      <c r="AA151" s="13">
        <v>1446118</v>
      </c>
      <c r="AB151" s="11">
        <v>109482</v>
      </c>
      <c r="AC151" s="11">
        <v>111708</v>
      </c>
      <c r="AD151" s="12">
        <v>2.0332109387844601E-2</v>
      </c>
      <c r="AE151" s="12">
        <v>0.42459672777045798</v>
      </c>
      <c r="AF151" s="12">
        <v>0.52447890977512301</v>
      </c>
      <c r="AG151" s="12">
        <v>7.1244588151476995E-2</v>
      </c>
      <c r="AH151" s="12">
        <v>0.19961272172594599</v>
      </c>
      <c r="AI151" s="14">
        <v>0.25543011636616098</v>
      </c>
      <c r="AJ151" s="4">
        <v>87528</v>
      </c>
      <c r="AK151" s="5">
        <v>49524</v>
      </c>
      <c r="AL151" s="5">
        <v>37264</v>
      </c>
      <c r="AM151" s="5">
        <v>19613</v>
      </c>
      <c r="AN151" s="6">
        <v>0.56580751302440402</v>
      </c>
      <c r="AO151" s="6">
        <v>0.42573804953843303</v>
      </c>
      <c r="AP151" s="6">
        <v>0.224076866831185</v>
      </c>
      <c r="AQ151" s="6">
        <v>0.14006946348596999</v>
      </c>
      <c r="AR151" s="6">
        <v>0.201661182707248</v>
      </c>
      <c r="AS151" s="6">
        <v>0.10528059592359</v>
      </c>
      <c r="AT151" s="6">
        <v>0.11879627090759499</v>
      </c>
      <c r="AU151" s="7">
        <v>84991</v>
      </c>
      <c r="AV151" s="7">
        <v>109788</v>
      </c>
      <c r="AW151" s="7">
        <v>1231215</v>
      </c>
      <c r="AX151" s="5">
        <v>262077</v>
      </c>
      <c r="AY151" s="5">
        <v>273911</v>
      </c>
      <c r="AZ151" s="6">
        <v>4.5154668284511798E-2</v>
      </c>
      <c r="BA151" s="6">
        <v>0.40040160642570299</v>
      </c>
      <c r="BB151" s="6">
        <v>0.53698722131281995</v>
      </c>
      <c r="BC151" s="6">
        <v>5.7765465874533101E-2</v>
      </c>
      <c r="BD151" s="6">
        <v>0.206118812410093</v>
      </c>
      <c r="BE151" s="8">
        <v>0.25011733192916602</v>
      </c>
      <c r="BF151" s="10">
        <v>157053</v>
      </c>
      <c r="BG151" s="11">
        <v>80029</v>
      </c>
      <c r="BH151" s="11">
        <v>58539</v>
      </c>
      <c r="BI151" s="11">
        <v>29958</v>
      </c>
      <c r="BJ151" s="12">
        <v>0.50956683412605897</v>
      </c>
      <c r="BK151" s="12">
        <v>0.37273404519493403</v>
      </c>
      <c r="BL151" s="12">
        <v>0.19075089301063999</v>
      </c>
      <c r="BM151" s="12">
        <v>0.13683278893112499</v>
      </c>
      <c r="BN151" s="12">
        <v>0.18198315218429401</v>
      </c>
      <c r="BO151" s="12">
        <v>8.8307768715019802E-2</v>
      </c>
      <c r="BP151" s="12">
        <v>0.10244312429562</v>
      </c>
      <c r="BQ151" s="13">
        <v>76320</v>
      </c>
      <c r="BR151" s="13">
        <v>101359</v>
      </c>
      <c r="BS151" s="13">
        <v>1063258</v>
      </c>
      <c r="BT151" s="11">
        <v>478120</v>
      </c>
      <c r="BU151" s="11">
        <v>496406</v>
      </c>
      <c r="BV151" s="12">
        <v>3.8245628712457097E-2</v>
      </c>
      <c r="BW151" s="12">
        <v>0.35765413876689001</v>
      </c>
      <c r="BX151" s="12">
        <v>0.56875679745670504</v>
      </c>
      <c r="BY151" s="12">
        <v>4.4400987199866099E-2</v>
      </c>
      <c r="BZ151" s="12">
        <v>0.208644273404166</v>
      </c>
      <c r="CA151" s="14">
        <v>0.247454613904459</v>
      </c>
      <c r="CB151" s="86">
        <f t="shared" si="30"/>
        <v>24372232.374082401</v>
      </c>
      <c r="CC151" s="83">
        <v>8132104.259083</v>
      </c>
      <c r="CD151" s="83">
        <v>12597630.7249994</v>
      </c>
      <c r="CE151" s="83">
        <v>2078037.21</v>
      </c>
      <c r="CF151" s="83">
        <v>1564460.18</v>
      </c>
      <c r="CG151" s="90">
        <f t="shared" si="26"/>
        <v>0.33366267538671324</v>
      </c>
      <c r="CH151" s="90">
        <f t="shared" si="26"/>
        <v>0.51688456484584511</v>
      </c>
      <c r="CI151" s="90">
        <f t="shared" si="26"/>
        <v>8.5262489627737137E-2</v>
      </c>
      <c r="CK151" s="86">
        <f t="shared" si="27"/>
        <v>23801572</v>
      </c>
      <c r="CL151" s="83">
        <v>7826830</v>
      </c>
      <c r="CM151" s="83">
        <v>12416763</v>
      </c>
      <c r="CN151" s="83">
        <v>2003731</v>
      </c>
      <c r="CO151" s="83">
        <v>1554248</v>
      </c>
      <c r="CP151" s="90">
        <f t="shared" si="28"/>
        <v>0.32883668356022872</v>
      </c>
      <c r="CQ151" s="90">
        <f t="shared" si="28"/>
        <v>0.52167827402324518</v>
      </c>
      <c r="CR151" s="90">
        <f t="shared" si="28"/>
        <v>8.4184817708679069E-2</v>
      </c>
    </row>
    <row r="152" spans="1:96" ht="49.5" thickTop="1" thickBot="1" x14ac:dyDescent="0.3">
      <c r="A152" s="3" t="s">
        <v>291</v>
      </c>
      <c r="B152" s="3">
        <v>519</v>
      </c>
      <c r="C152" s="3" t="s">
        <v>74</v>
      </c>
      <c r="D152" s="16">
        <v>42824</v>
      </c>
      <c r="E152" s="16" t="s">
        <v>532</v>
      </c>
      <c r="F152" s="16" t="s">
        <v>356</v>
      </c>
      <c r="G152" s="17">
        <v>25669</v>
      </c>
      <c r="H152" s="17">
        <v>34950</v>
      </c>
      <c r="I152" s="17" t="s">
        <v>585</v>
      </c>
      <c r="J152" s="18"/>
      <c r="K152" s="18" t="s">
        <v>598</v>
      </c>
      <c r="L152" s="18" t="s">
        <v>519</v>
      </c>
      <c r="M152" s="18" t="s">
        <v>598</v>
      </c>
      <c r="N152" s="10">
        <v>29573</v>
      </c>
      <c r="O152" s="11">
        <v>22013</v>
      </c>
      <c r="P152" s="11">
        <v>18772</v>
      </c>
      <c r="Q152" s="11">
        <v>11945</v>
      </c>
      <c r="R152" s="12">
        <v>0.74436141074628903</v>
      </c>
      <c r="S152" s="12">
        <v>0.63476820072363305</v>
      </c>
      <c r="T152" s="12">
        <v>0.40391573394650498</v>
      </c>
      <c r="U152" s="12">
        <v>0.109593210022656</v>
      </c>
      <c r="V152" s="12">
        <v>0.23085246677712801</v>
      </c>
      <c r="W152" s="12">
        <v>0.16785581442531999</v>
      </c>
      <c r="X152" s="12">
        <v>0.23605991952118499</v>
      </c>
      <c r="Y152" s="13">
        <v>123869</v>
      </c>
      <c r="Z152" s="13">
        <v>152227</v>
      </c>
      <c r="AA152" s="13">
        <v>1718540</v>
      </c>
      <c r="AB152" s="11">
        <v>93209</v>
      </c>
      <c r="AC152" s="11">
        <v>109560</v>
      </c>
      <c r="AD152" s="12">
        <v>0.175422974176313</v>
      </c>
      <c r="AE152" s="12">
        <v>0.59565566054182195</v>
      </c>
      <c r="AF152" s="12">
        <v>0.212822796081923</v>
      </c>
      <c r="AG152" s="12">
        <v>0.22499973178555699</v>
      </c>
      <c r="AH152" s="12">
        <v>0.13993283910352</v>
      </c>
      <c r="AI152" s="14">
        <v>0.19767404435194</v>
      </c>
      <c r="AJ152" s="4">
        <v>70748</v>
      </c>
      <c r="AK152" s="5">
        <v>53145</v>
      </c>
      <c r="AL152" s="5">
        <v>45011</v>
      </c>
      <c r="AM152" s="5">
        <v>28482</v>
      </c>
      <c r="AN152" s="6">
        <v>0.75118731271555395</v>
      </c>
      <c r="AO152" s="6">
        <v>0.63621586475942804</v>
      </c>
      <c r="AP152" s="6">
        <v>0.40258381862384801</v>
      </c>
      <c r="AQ152" s="6">
        <v>0.114971447956126</v>
      </c>
      <c r="AR152" s="6">
        <v>0.23363204613558</v>
      </c>
      <c r="AS152" s="6">
        <v>0.16664782043308601</v>
      </c>
      <c r="AT152" s="6">
        <v>0.235935998190762</v>
      </c>
      <c r="AU152" s="7">
        <v>123797</v>
      </c>
      <c r="AV152" s="7">
        <v>152806</v>
      </c>
      <c r="AW152" s="7">
        <v>1717510</v>
      </c>
      <c r="AX152" s="5">
        <v>222236</v>
      </c>
      <c r="AY152" s="5">
        <v>264008</v>
      </c>
      <c r="AZ152" s="6">
        <v>0.18796234633452699</v>
      </c>
      <c r="BA152" s="6">
        <v>0.58602566419663804</v>
      </c>
      <c r="BB152" s="6">
        <v>0.22012185244514801</v>
      </c>
      <c r="BC152" s="6">
        <v>0.19855018988822701</v>
      </c>
      <c r="BD152" s="6">
        <v>0.13154034449864099</v>
      </c>
      <c r="BE152" s="8">
        <v>0.20790960960420499</v>
      </c>
      <c r="BF152" s="10">
        <v>124016</v>
      </c>
      <c r="BG152" s="11">
        <v>84851</v>
      </c>
      <c r="BH152" s="11">
        <v>70059</v>
      </c>
      <c r="BI152" s="11">
        <v>42948</v>
      </c>
      <c r="BJ152" s="12">
        <v>0.68419397497097101</v>
      </c>
      <c r="BK152" s="12">
        <v>0.56491904270416704</v>
      </c>
      <c r="BL152" s="12">
        <v>0.34631015352857702</v>
      </c>
      <c r="BM152" s="12">
        <v>0.119274932266804</v>
      </c>
      <c r="BN152" s="12">
        <v>0.21860888917558999</v>
      </c>
      <c r="BO152" s="12">
        <v>0.146029544574894</v>
      </c>
      <c r="BP152" s="12">
        <v>0.20028060895368299</v>
      </c>
      <c r="BQ152" s="13">
        <v>110644</v>
      </c>
      <c r="BR152" s="13">
        <v>139793</v>
      </c>
      <c r="BS152" s="13">
        <v>1532689</v>
      </c>
      <c r="BT152" s="11">
        <v>385082</v>
      </c>
      <c r="BU152" s="11">
        <v>450939</v>
      </c>
      <c r="BV152" s="12">
        <v>0.171020717665328</v>
      </c>
      <c r="BW152" s="12">
        <v>0.52762849494469399</v>
      </c>
      <c r="BX152" s="12">
        <v>0.24799133691006101</v>
      </c>
      <c r="BY152" s="12">
        <v>0.168545920089747</v>
      </c>
      <c r="BZ152" s="12">
        <v>0.144675679465672</v>
      </c>
      <c r="CA152" s="14">
        <v>0.21863135643836901</v>
      </c>
      <c r="CB152" s="86">
        <f t="shared" si="30"/>
        <v>24354396.294856697</v>
      </c>
      <c r="CC152" s="83">
        <v>6839054.2589482497</v>
      </c>
      <c r="CD152" s="83">
        <v>13958408.128332701</v>
      </c>
      <c r="CE152" s="83">
        <v>2361298.4875757401</v>
      </c>
      <c r="CF152" s="83">
        <v>1195635.4200000099</v>
      </c>
      <c r="CG152" s="90">
        <f t="shared" si="26"/>
        <v>0.28081395145863502</v>
      </c>
      <c r="CH152" s="90">
        <f t="shared" si="26"/>
        <v>0.57313710261340034</v>
      </c>
      <c r="CI152" s="90">
        <f t="shared" si="26"/>
        <v>9.6955738873084396E-2</v>
      </c>
      <c r="CK152" s="86">
        <f t="shared" si="27"/>
        <v>24307913</v>
      </c>
      <c r="CL152" s="83">
        <v>6710357</v>
      </c>
      <c r="CM152" s="83">
        <v>14139991</v>
      </c>
      <c r="CN152" s="83">
        <v>2312047</v>
      </c>
      <c r="CO152" s="83">
        <v>1145518</v>
      </c>
      <c r="CP152" s="90">
        <f t="shared" si="28"/>
        <v>0.27605648415805994</v>
      </c>
      <c r="CQ152" s="90">
        <f t="shared" si="28"/>
        <v>0.58170320915662321</v>
      </c>
      <c r="CR152" s="90">
        <f t="shared" si="28"/>
        <v>9.5114994035069983E-2</v>
      </c>
    </row>
    <row r="153" spans="1:96" ht="49.5" thickTop="1" thickBot="1" x14ac:dyDescent="0.3">
      <c r="A153" s="3" t="s">
        <v>295</v>
      </c>
      <c r="B153" s="3">
        <v>930</v>
      </c>
      <c r="C153" s="3" t="s">
        <v>145</v>
      </c>
      <c r="D153" s="16">
        <v>42993</v>
      </c>
      <c r="E153" s="16" t="s">
        <v>544</v>
      </c>
      <c r="F153" s="16" t="s">
        <v>421</v>
      </c>
      <c r="G153" s="17">
        <v>16770</v>
      </c>
      <c r="H153" s="17">
        <v>20000</v>
      </c>
      <c r="I153" s="17" t="s">
        <v>584</v>
      </c>
      <c r="J153" s="18"/>
      <c r="K153" s="18" t="s">
        <v>598</v>
      </c>
      <c r="L153" s="18"/>
      <c r="M153" s="18" t="s">
        <v>598</v>
      </c>
      <c r="N153" s="10">
        <v>16466</v>
      </c>
      <c r="O153" s="11">
        <v>9171</v>
      </c>
      <c r="P153" s="11">
        <v>6767</v>
      </c>
      <c r="Q153" s="11">
        <v>3985</v>
      </c>
      <c r="R153" s="12">
        <v>0.55696586906352497</v>
      </c>
      <c r="S153" s="12">
        <v>0.41096805538685799</v>
      </c>
      <c r="T153" s="12">
        <v>0.24201384671444201</v>
      </c>
      <c r="U153" s="12">
        <v>0.145997813676667</v>
      </c>
      <c r="V153" s="12">
        <v>0.16895420867241601</v>
      </c>
      <c r="W153" s="12">
        <v>0.10032794849993899</v>
      </c>
      <c r="X153" s="12">
        <v>0.141685898214503</v>
      </c>
      <c r="Y153" s="13">
        <v>83058</v>
      </c>
      <c r="Z153" s="13">
        <v>121748</v>
      </c>
      <c r="AA153" s="13">
        <v>2560285</v>
      </c>
      <c r="AB153" s="11">
        <v>33610</v>
      </c>
      <c r="AC153" s="11">
        <v>36828</v>
      </c>
      <c r="AD153" s="12">
        <v>9.5745313894674194E-2</v>
      </c>
      <c r="AE153" s="12">
        <v>0.45104109961894401</v>
      </c>
      <c r="AF153" s="12">
        <v>9.15501338887236E-2</v>
      </c>
      <c r="AG153" s="12">
        <v>1.7941088961618602E-2</v>
      </c>
      <c r="AH153" s="12">
        <v>1.13061588812853E-2</v>
      </c>
      <c r="AI153" s="14">
        <v>0.33118119607259699</v>
      </c>
      <c r="AJ153" s="4">
        <v>37403</v>
      </c>
      <c r="AK153" s="5">
        <v>19700</v>
      </c>
      <c r="AL153" s="5">
        <v>13950</v>
      </c>
      <c r="AM153" s="5">
        <v>7683</v>
      </c>
      <c r="AN153" s="6">
        <v>0.52669571959468497</v>
      </c>
      <c r="AO153" s="6">
        <v>0.37296473544902797</v>
      </c>
      <c r="AP153" s="6">
        <v>0.20541133064192699</v>
      </c>
      <c r="AQ153" s="6">
        <v>0.153730984145657</v>
      </c>
      <c r="AR153" s="6">
        <v>0.16755340480710099</v>
      </c>
      <c r="AS153" s="6">
        <v>8.2881052322006293E-2</v>
      </c>
      <c r="AT153" s="6">
        <v>0.122530278319921</v>
      </c>
      <c r="AU153" s="7">
        <v>78320</v>
      </c>
      <c r="AV153" s="7">
        <v>112670</v>
      </c>
      <c r="AW153" s="7">
        <v>2046003</v>
      </c>
      <c r="AX153" s="5">
        <v>86400</v>
      </c>
      <c r="AY153" s="5">
        <v>95024</v>
      </c>
      <c r="AZ153" s="6">
        <v>9.9814814814814801E-2</v>
      </c>
      <c r="BA153" s="6">
        <v>0.40625323685651299</v>
      </c>
      <c r="BB153" s="6">
        <v>0.19574074074074099</v>
      </c>
      <c r="BC153" s="6">
        <v>1.7650462962963E-2</v>
      </c>
      <c r="BD153" s="6">
        <v>1.5856481481481499E-2</v>
      </c>
      <c r="BE153" s="8">
        <v>0.29069444444444398</v>
      </c>
      <c r="BF153" s="10">
        <v>57152</v>
      </c>
      <c r="BG153" s="11">
        <v>29494</v>
      </c>
      <c r="BH153" s="11">
        <v>20562</v>
      </c>
      <c r="BI153" s="11">
        <v>11122</v>
      </c>
      <c r="BJ153" s="12">
        <v>0.516062430011198</v>
      </c>
      <c r="BK153" s="12">
        <v>0.35977743561030201</v>
      </c>
      <c r="BL153" s="12">
        <v>0.194603863381859</v>
      </c>
      <c r="BM153" s="12">
        <v>0.15628499440089599</v>
      </c>
      <c r="BN153" s="12">
        <v>0.16517357222844301</v>
      </c>
      <c r="BO153" s="12">
        <v>7.6952687569988798E-2</v>
      </c>
      <c r="BP153" s="12">
        <v>0.11765117581187</v>
      </c>
      <c r="BQ153" s="13">
        <v>76915</v>
      </c>
      <c r="BR153" s="13">
        <v>109452</v>
      </c>
      <c r="BS153" s="13">
        <v>1867059</v>
      </c>
      <c r="BT153" s="11">
        <v>131471</v>
      </c>
      <c r="BU153" s="11">
        <v>145137</v>
      </c>
      <c r="BV153" s="12">
        <v>0.103946878018727</v>
      </c>
      <c r="BW153" s="12">
        <v>0.39036924986424598</v>
      </c>
      <c r="BX153" s="12">
        <v>0.21470134098013999</v>
      </c>
      <c r="BY153" s="12">
        <v>1.73726525241308E-2</v>
      </c>
      <c r="BZ153" s="12">
        <v>1.5189661598375301E-2</v>
      </c>
      <c r="CA153" s="14">
        <v>0.29115926706269801</v>
      </c>
      <c r="CB153" s="86">
        <f t="shared" si="30"/>
        <v>22548124.75999932</v>
      </c>
      <c r="CC153" s="83">
        <v>10615701.1349997</v>
      </c>
      <c r="CD153" s="83">
        <v>8301372.2399996398</v>
      </c>
      <c r="CE153" s="83">
        <v>2516961.96499997</v>
      </c>
      <c r="CF153" s="83">
        <v>1114089.4200000099</v>
      </c>
      <c r="CG153" s="90">
        <f t="shared" si="26"/>
        <v>0.47080195129273444</v>
      </c>
      <c r="CH153" s="90">
        <f t="shared" si="26"/>
        <v>0.36816242274507843</v>
      </c>
      <c r="CI153" s="90">
        <f t="shared" si="26"/>
        <v>0.111626221328396</v>
      </c>
      <c r="CK153" s="86">
        <f t="shared" si="27"/>
        <v>22657809</v>
      </c>
      <c r="CL153" s="83">
        <v>10593387</v>
      </c>
      <c r="CM153" s="83">
        <v>8534972</v>
      </c>
      <c r="CN153" s="83">
        <v>2426162</v>
      </c>
      <c r="CO153" s="83">
        <v>1103288</v>
      </c>
      <c r="CP153" s="90">
        <f t="shared" si="28"/>
        <v>0.46753801305324799</v>
      </c>
      <c r="CQ153" s="90">
        <f t="shared" si="28"/>
        <v>0.37669008508280744</v>
      </c>
      <c r="CR153" s="90">
        <f t="shared" si="28"/>
        <v>0.10707840285881129</v>
      </c>
    </row>
    <row r="154" spans="1:96" ht="37.5" thickTop="1" thickBot="1" x14ac:dyDescent="0.3">
      <c r="A154" s="3" t="s">
        <v>297</v>
      </c>
      <c r="B154" s="3">
        <v>1113</v>
      </c>
      <c r="C154" s="3" t="s">
        <v>179</v>
      </c>
      <c r="D154" s="16">
        <v>42159</v>
      </c>
      <c r="E154" s="16" t="s">
        <v>553</v>
      </c>
      <c r="F154" s="16" t="s">
        <v>667</v>
      </c>
      <c r="G154" s="17">
        <v>19330</v>
      </c>
      <c r="H154" s="17">
        <v>24000</v>
      </c>
      <c r="I154" s="17" t="s">
        <v>584</v>
      </c>
      <c r="J154" s="18"/>
      <c r="K154" s="18" t="s">
        <v>598</v>
      </c>
      <c r="L154" s="18" t="s">
        <v>519</v>
      </c>
      <c r="M154" s="18" t="s">
        <v>598</v>
      </c>
      <c r="N154" s="10">
        <v>66484</v>
      </c>
      <c r="O154" s="11">
        <v>43712</v>
      </c>
      <c r="P154" s="11">
        <v>34319</v>
      </c>
      <c r="Q154" s="11">
        <v>19405</v>
      </c>
      <c r="R154" s="12">
        <v>0.65748149930810396</v>
      </c>
      <c r="S154" s="12">
        <v>0.51619938631851303</v>
      </c>
      <c r="T154" s="12">
        <v>0.29187473677877401</v>
      </c>
      <c r="U154" s="12">
        <v>0.14128211298959101</v>
      </c>
      <c r="V154" s="12">
        <v>0.22432464953973899</v>
      </c>
      <c r="W154" s="12">
        <v>0.14271102821731499</v>
      </c>
      <c r="X154" s="12">
        <v>0.149163708561458</v>
      </c>
      <c r="Y154" s="13">
        <v>102293</v>
      </c>
      <c r="Z154" s="13">
        <v>125591</v>
      </c>
      <c r="AA154" s="13">
        <v>1617880</v>
      </c>
      <c r="AB154" s="11">
        <v>202138</v>
      </c>
      <c r="AC154" s="11">
        <v>202264</v>
      </c>
      <c r="AD154" s="12">
        <v>6.2333653246791801E-4</v>
      </c>
      <c r="AE154" s="12">
        <v>0.42254006073669098</v>
      </c>
      <c r="AF154" s="12">
        <v>0.26425511284370101</v>
      </c>
      <c r="AG154" s="12">
        <v>0.25943167539008</v>
      </c>
      <c r="AH154" s="12">
        <v>4.2594663051974402E-2</v>
      </c>
      <c r="AI154" s="14">
        <v>0.26580850705953402</v>
      </c>
      <c r="AJ154" s="4">
        <v>184931</v>
      </c>
      <c r="AK154" s="5">
        <v>108686</v>
      </c>
      <c r="AL154" s="5">
        <v>82713</v>
      </c>
      <c r="AM154" s="5">
        <v>43993</v>
      </c>
      <c r="AN154" s="6">
        <v>0.587711092245216</v>
      </c>
      <c r="AO154" s="6">
        <v>0.44726411472387001</v>
      </c>
      <c r="AP154" s="6">
        <v>0.23788872606539699</v>
      </c>
      <c r="AQ154" s="6">
        <v>0.14044697752134599</v>
      </c>
      <c r="AR154" s="6">
        <v>0.20937538865847299</v>
      </c>
      <c r="AS154" s="6">
        <v>0.11393979376091599</v>
      </c>
      <c r="AT154" s="6">
        <v>0.12394893230448099</v>
      </c>
      <c r="AU154" s="7">
        <v>88924</v>
      </c>
      <c r="AV154" s="7">
        <v>113408</v>
      </c>
      <c r="AW154" s="7">
        <v>1290551</v>
      </c>
      <c r="AX154" s="5">
        <v>553661</v>
      </c>
      <c r="AY154" s="5">
        <v>554903</v>
      </c>
      <c r="AZ154" s="6">
        <v>2.2432499309143999E-3</v>
      </c>
      <c r="BA154" s="6">
        <v>0.38840046100339598</v>
      </c>
      <c r="BB154" s="6">
        <v>0.31179187264409097</v>
      </c>
      <c r="BC154" s="6">
        <v>0.247505242377556</v>
      </c>
      <c r="BD154" s="6">
        <v>6.3950684624707196E-2</v>
      </c>
      <c r="BE154" s="8">
        <v>0.250581131775581</v>
      </c>
      <c r="BF154" s="10">
        <v>394246</v>
      </c>
      <c r="BG154" s="11">
        <v>203125</v>
      </c>
      <c r="BH154" s="11">
        <v>147580</v>
      </c>
      <c r="BI154" s="11">
        <v>72848</v>
      </c>
      <c r="BJ154" s="12">
        <v>0.51522399719971801</v>
      </c>
      <c r="BK154" s="12">
        <v>0.37433480618699999</v>
      </c>
      <c r="BL154" s="12">
        <v>0.184778031990179</v>
      </c>
      <c r="BM154" s="12">
        <v>0.14088919101271799</v>
      </c>
      <c r="BN154" s="12">
        <v>0.18955677419682099</v>
      </c>
      <c r="BO154" s="12">
        <v>9.2160732131714704E-2</v>
      </c>
      <c r="BP154" s="12">
        <v>9.2617299858463994E-2</v>
      </c>
      <c r="BQ154" s="13">
        <v>77056</v>
      </c>
      <c r="BR154" s="13">
        <v>99654</v>
      </c>
      <c r="BS154" s="13">
        <v>876968</v>
      </c>
      <c r="BT154" s="11">
        <v>1230829</v>
      </c>
      <c r="BU154" s="11">
        <v>1235513</v>
      </c>
      <c r="BV154" s="12">
        <v>3.8055651922403498E-3</v>
      </c>
      <c r="BW154" s="12">
        <v>0.32075996580559801</v>
      </c>
      <c r="BX154" s="12">
        <v>0.42423927288031099</v>
      </c>
      <c r="BY154" s="12">
        <v>0.208760112087057</v>
      </c>
      <c r="BZ154" s="12">
        <v>7.5330529261172799E-2</v>
      </c>
      <c r="CA154" s="14">
        <v>0.22817223188598901</v>
      </c>
      <c r="CB154" s="86">
        <f t="shared" si="30"/>
        <v>24033599.55999903</v>
      </c>
      <c r="CC154" s="83">
        <v>6565346.2699998002</v>
      </c>
      <c r="CD154" s="83">
        <v>12990708.709999301</v>
      </c>
      <c r="CE154" s="83">
        <v>3039651.10999993</v>
      </c>
      <c r="CF154" s="83">
        <v>1437893.47</v>
      </c>
      <c r="CG154" s="90">
        <f t="shared" si="26"/>
        <v>0.27317365647245834</v>
      </c>
      <c r="CH154" s="90">
        <f t="shared" si="26"/>
        <v>0.54052280756232363</v>
      </c>
      <c r="CI154" s="90">
        <f t="shared" si="26"/>
        <v>0.12647506680851317</v>
      </c>
      <c r="CK154" s="86">
        <f t="shared" si="27"/>
        <v>23953096</v>
      </c>
      <c r="CL154" s="83">
        <v>6314149</v>
      </c>
      <c r="CM154" s="83">
        <v>13192471</v>
      </c>
      <c r="CN154" s="83">
        <v>3028853</v>
      </c>
      <c r="CO154" s="83">
        <v>1417623</v>
      </c>
      <c r="CP154" s="90">
        <f t="shared" si="28"/>
        <v>0.26360471314438849</v>
      </c>
      <c r="CQ154" s="90">
        <f t="shared" si="28"/>
        <v>0.55076266550261399</v>
      </c>
      <c r="CR154" s="90">
        <f t="shared" si="28"/>
        <v>0.12644933247877435</v>
      </c>
    </row>
    <row r="155" spans="1:96" ht="37.5" thickTop="1" thickBot="1" x14ac:dyDescent="0.3">
      <c r="A155" s="3" t="s">
        <v>292</v>
      </c>
      <c r="B155" s="3">
        <v>608</v>
      </c>
      <c r="C155" s="3" t="s">
        <v>100</v>
      </c>
      <c r="D155" s="16">
        <v>37855</v>
      </c>
      <c r="E155" s="16" t="s">
        <v>537</v>
      </c>
      <c r="F155" s="16" t="s">
        <v>380</v>
      </c>
      <c r="G155" s="17">
        <v>13201</v>
      </c>
      <c r="H155" s="17">
        <v>17700</v>
      </c>
      <c r="I155" s="17" t="s">
        <v>585</v>
      </c>
      <c r="J155" s="18"/>
      <c r="K155" s="18" t="s">
        <v>598</v>
      </c>
      <c r="L155" s="18"/>
      <c r="M155" s="18" t="s">
        <v>598</v>
      </c>
      <c r="N155" s="10">
        <v>34456</v>
      </c>
      <c r="O155" s="11">
        <v>14343</v>
      </c>
      <c r="P155" s="11">
        <v>9661</v>
      </c>
      <c r="Q155" s="11">
        <v>4070</v>
      </c>
      <c r="R155" s="12">
        <v>0.41627002553981901</v>
      </c>
      <c r="S155" s="12">
        <v>0.28038657998606897</v>
      </c>
      <c r="T155" s="12">
        <v>0.11812166241003</v>
      </c>
      <c r="U155" s="12">
        <v>0.13588344555375001</v>
      </c>
      <c r="V155" s="12">
        <v>0.162264917576039</v>
      </c>
      <c r="W155" s="12">
        <v>6.2978871604364994E-2</v>
      </c>
      <c r="X155" s="12">
        <v>5.5142790805665198E-2</v>
      </c>
      <c r="Y155" s="13">
        <v>60608</v>
      </c>
      <c r="Z155" s="13">
        <v>82444</v>
      </c>
      <c r="AA155" s="13">
        <v>626917</v>
      </c>
      <c r="AB155" s="11">
        <v>88388</v>
      </c>
      <c r="AC155" s="11">
        <v>95943</v>
      </c>
      <c r="AD155" s="12">
        <v>8.5475403900982003E-2</v>
      </c>
      <c r="AE155" s="12">
        <v>0.45093148469888</v>
      </c>
      <c r="AF155" s="12">
        <v>0.19266189980540299</v>
      </c>
      <c r="AG155" s="12">
        <v>6.9455129655609404E-2</v>
      </c>
      <c r="AH155" s="12">
        <v>0.31203330768882698</v>
      </c>
      <c r="AI155" s="14">
        <v>0.20631759967416399</v>
      </c>
      <c r="AJ155" s="4">
        <v>79142</v>
      </c>
      <c r="AK155" s="5">
        <v>39282</v>
      </c>
      <c r="AL155" s="5">
        <v>28160</v>
      </c>
      <c r="AM155" s="5">
        <v>13710</v>
      </c>
      <c r="AN155" s="6">
        <v>0.496348335902555</v>
      </c>
      <c r="AO155" s="6">
        <v>0.355816127972505</v>
      </c>
      <c r="AP155" s="6">
        <v>0.17323292310025001</v>
      </c>
      <c r="AQ155" s="6">
        <v>0.14053220793005</v>
      </c>
      <c r="AR155" s="6">
        <v>0.18258320487225499</v>
      </c>
      <c r="AS155" s="6">
        <v>8.27752647140583E-2</v>
      </c>
      <c r="AT155" s="6">
        <v>9.0457658386191894E-2</v>
      </c>
      <c r="AU155" s="7">
        <v>74259</v>
      </c>
      <c r="AV155" s="7">
        <v>99516</v>
      </c>
      <c r="AW155" s="7">
        <v>913630</v>
      </c>
      <c r="AX155" s="5">
        <v>198573</v>
      </c>
      <c r="AY155" s="5">
        <v>216895</v>
      </c>
      <c r="AZ155" s="6">
        <v>9.2268334567136498E-2</v>
      </c>
      <c r="BA155" s="6">
        <v>0.50466042294270297</v>
      </c>
      <c r="BB155" s="6">
        <v>0.14460173336757801</v>
      </c>
      <c r="BC155" s="6">
        <v>6.1614620315954299E-2</v>
      </c>
      <c r="BD155" s="6">
        <v>0.25467208532882102</v>
      </c>
      <c r="BE155" s="8">
        <v>0.224370886273562</v>
      </c>
      <c r="BF155" s="10">
        <v>140679</v>
      </c>
      <c r="BG155" s="11">
        <v>72619</v>
      </c>
      <c r="BH155" s="11">
        <v>54057</v>
      </c>
      <c r="BI155" s="11">
        <v>29357</v>
      </c>
      <c r="BJ155" s="12">
        <v>0.51620355561242304</v>
      </c>
      <c r="BK155" s="12">
        <v>0.38425777834644798</v>
      </c>
      <c r="BL155" s="12">
        <v>0.20868075547878501</v>
      </c>
      <c r="BM155" s="12">
        <v>0.13194577726597401</v>
      </c>
      <c r="BN155" s="12">
        <v>0.175577022867663</v>
      </c>
      <c r="BO155" s="12">
        <v>9.5892066335416096E-2</v>
      </c>
      <c r="BP155" s="12">
        <v>0.11278868914336899</v>
      </c>
      <c r="BQ155" s="13">
        <v>77368</v>
      </c>
      <c r="BR155" s="13">
        <v>107388</v>
      </c>
      <c r="BS155" s="13">
        <v>1026240</v>
      </c>
      <c r="BT155" s="11">
        <v>344063</v>
      </c>
      <c r="BU155" s="11">
        <v>377499</v>
      </c>
      <c r="BV155" s="12">
        <v>9.7179876941141594E-2</v>
      </c>
      <c r="BW155" s="12">
        <v>0.540284501061571</v>
      </c>
      <c r="BX155" s="12">
        <v>0.119614721722475</v>
      </c>
      <c r="BY155" s="12">
        <v>5.3414636273008097E-2</v>
      </c>
      <c r="BZ155" s="12">
        <v>0.245234157697863</v>
      </c>
      <c r="CA155" s="14">
        <v>0.23100420562513299</v>
      </c>
      <c r="CB155" s="86">
        <f t="shared" si="30"/>
        <v>10271496.525440365</v>
      </c>
      <c r="CC155" s="83">
        <v>7193912.3354403796</v>
      </c>
      <c r="CD155" s="83">
        <v>117491.77</v>
      </c>
      <c r="CE155" s="83">
        <v>2262871.76999998</v>
      </c>
      <c r="CF155" s="83">
        <v>697220.65000000503</v>
      </c>
      <c r="CG155" s="90">
        <f t="shared" si="26"/>
        <v>0.70037626139701759</v>
      </c>
      <c r="CH155" s="90">
        <f t="shared" si="26"/>
        <v>1.1438622376885128E-2</v>
      </c>
      <c r="CI155" s="90">
        <f t="shared" si="26"/>
        <v>0.22030594708330148</v>
      </c>
      <c r="CK155" s="86">
        <f t="shared" si="27"/>
        <v>10259013</v>
      </c>
      <c r="CL155" s="83">
        <v>7158328</v>
      </c>
      <c r="CM155" s="83">
        <v>141971</v>
      </c>
      <c r="CN155" s="83">
        <v>2229773</v>
      </c>
      <c r="CO155" s="83">
        <v>728941</v>
      </c>
      <c r="CP155" s="90">
        <f t="shared" si="28"/>
        <v>0.69775991121173153</v>
      </c>
      <c r="CQ155" s="90">
        <f t="shared" si="28"/>
        <v>1.3838660697671404E-2</v>
      </c>
      <c r="CR155" s="90">
        <f t="shared" si="28"/>
        <v>0.21734771171456746</v>
      </c>
    </row>
    <row r="156" spans="1:96" ht="49.5" thickTop="1" thickBot="1" x14ac:dyDescent="0.3">
      <c r="A156" s="3" t="s">
        <v>291</v>
      </c>
      <c r="B156" s="3">
        <v>535</v>
      </c>
      <c r="C156" s="3" t="s">
        <v>90</v>
      </c>
      <c r="D156" s="16">
        <v>43783</v>
      </c>
      <c r="E156" s="16" t="s">
        <v>529</v>
      </c>
      <c r="F156" s="16" t="s">
        <v>372</v>
      </c>
      <c r="G156" s="17">
        <v>20352</v>
      </c>
      <c r="H156" s="17">
        <v>26930</v>
      </c>
      <c r="I156" s="17" t="s">
        <v>585</v>
      </c>
      <c r="J156" s="18"/>
      <c r="K156" s="18" t="s">
        <v>598</v>
      </c>
      <c r="L156" s="18" t="s">
        <v>519</v>
      </c>
      <c r="M156" s="18" t="s">
        <v>519</v>
      </c>
      <c r="N156" s="10">
        <v>36588</v>
      </c>
      <c r="O156" s="11">
        <v>23109</v>
      </c>
      <c r="P156" s="11">
        <v>16682</v>
      </c>
      <c r="Q156" s="11">
        <v>8391</v>
      </c>
      <c r="R156" s="12">
        <v>0.63160052476221695</v>
      </c>
      <c r="S156" s="12">
        <v>0.45594183885426898</v>
      </c>
      <c r="T156" s="12">
        <v>0.22933748770088599</v>
      </c>
      <c r="U156" s="12">
        <v>0.175658685907948</v>
      </c>
      <c r="V156" s="12">
        <v>0.22660435115338401</v>
      </c>
      <c r="W156" s="12">
        <v>0.106756313545425</v>
      </c>
      <c r="X156" s="12">
        <v>0.12258117415546101</v>
      </c>
      <c r="Y156" s="13">
        <v>92180</v>
      </c>
      <c r="Z156" s="13">
        <v>117218</v>
      </c>
      <c r="AA156" s="13">
        <v>615727</v>
      </c>
      <c r="AB156" s="11">
        <v>79749</v>
      </c>
      <c r="AC156" s="11">
        <v>90302</v>
      </c>
      <c r="AD156" s="12">
        <v>0.13232767809000701</v>
      </c>
      <c r="AE156" s="12">
        <v>0.71641123768307702</v>
      </c>
      <c r="AF156" s="12">
        <v>0.13621487416770101</v>
      </c>
      <c r="AG156" s="12">
        <v>0.43248191199889702</v>
      </c>
      <c r="AH156" s="12">
        <v>0.14432782856211401</v>
      </c>
      <c r="AI156" s="14">
        <v>0.16551931685663801</v>
      </c>
      <c r="AJ156" s="4">
        <v>86793</v>
      </c>
      <c r="AK156" s="5">
        <v>45977</v>
      </c>
      <c r="AL156" s="5">
        <v>32782</v>
      </c>
      <c r="AM156" s="5">
        <v>16448</v>
      </c>
      <c r="AN156" s="6">
        <v>0.52973166038735797</v>
      </c>
      <c r="AO156" s="6">
        <v>0.377703271001118</v>
      </c>
      <c r="AP156" s="6">
        <v>0.18950837049070801</v>
      </c>
      <c r="AQ156" s="6">
        <v>0.152028389386241</v>
      </c>
      <c r="AR156" s="6">
        <v>0.18819490051040999</v>
      </c>
      <c r="AS156" s="6">
        <v>8.2875347090203097E-2</v>
      </c>
      <c r="AT156" s="6">
        <v>0.106633023400505</v>
      </c>
      <c r="AU156" s="7">
        <v>78776</v>
      </c>
      <c r="AV156" s="7">
        <v>105744</v>
      </c>
      <c r="AW156" s="7">
        <v>752482</v>
      </c>
      <c r="AX156" s="5">
        <v>218943</v>
      </c>
      <c r="AY156" s="5">
        <v>237717</v>
      </c>
      <c r="AZ156" s="6">
        <v>8.5748345459777206E-2</v>
      </c>
      <c r="BA156" s="6">
        <v>0.51505899434821301</v>
      </c>
      <c r="BB156" s="6">
        <v>0.33450715483025301</v>
      </c>
      <c r="BC156" s="6">
        <v>0.226428796536085</v>
      </c>
      <c r="BD156" s="6">
        <v>0.12402314757722301</v>
      </c>
      <c r="BE156" s="8">
        <v>0.19811549124658001</v>
      </c>
      <c r="BF156" s="10">
        <v>176475</v>
      </c>
      <c r="BG156" s="11">
        <v>84398</v>
      </c>
      <c r="BH156" s="11">
        <v>59685</v>
      </c>
      <c r="BI156" s="11">
        <v>28961</v>
      </c>
      <c r="BJ156" s="12">
        <v>0.47824337724890198</v>
      </c>
      <c r="BK156" s="12">
        <v>0.33820654483637902</v>
      </c>
      <c r="BL156" s="12">
        <v>0.16410823062756799</v>
      </c>
      <c r="BM156" s="12">
        <v>0.14003683241252299</v>
      </c>
      <c r="BN156" s="12">
        <v>0.174098314208811</v>
      </c>
      <c r="BO156" s="12">
        <v>7.2973508995608394E-2</v>
      </c>
      <c r="BP156" s="12">
        <v>9.1134721631959195E-2</v>
      </c>
      <c r="BQ156" s="13">
        <v>71173</v>
      </c>
      <c r="BR156" s="13">
        <v>97994</v>
      </c>
      <c r="BS156" s="13">
        <v>758680</v>
      </c>
      <c r="BT156" s="11">
        <v>464707</v>
      </c>
      <c r="BU156" s="11">
        <v>498864</v>
      </c>
      <c r="BV156" s="12">
        <v>7.3502228285780097E-2</v>
      </c>
      <c r="BW156" s="12">
        <v>0.42182299459836498</v>
      </c>
      <c r="BX156" s="12">
        <v>0.42460302943575201</v>
      </c>
      <c r="BY156" s="12">
        <v>0.15803075916652901</v>
      </c>
      <c r="BZ156" s="12">
        <v>0.106172276294525</v>
      </c>
      <c r="CA156" s="14">
        <v>0.198398130434876</v>
      </c>
      <c r="CB156" s="86">
        <f t="shared" si="30"/>
        <v>24386231.720260661</v>
      </c>
      <c r="CC156" s="83">
        <v>5845643.9652613001</v>
      </c>
      <c r="CD156" s="83">
        <v>15173346.753332701</v>
      </c>
      <c r="CE156" s="83">
        <v>2224886.2749999901</v>
      </c>
      <c r="CF156" s="83">
        <v>1142354.7266666701</v>
      </c>
      <c r="CG156" s="90">
        <f t="shared" si="26"/>
        <v>0.23971083488083975</v>
      </c>
      <c r="CH156" s="90">
        <f t="shared" si="26"/>
        <v>0.6222095700307122</v>
      </c>
      <c r="CI156" s="90">
        <f t="shared" si="26"/>
        <v>9.1235345440907209E-2</v>
      </c>
      <c r="CK156" s="86">
        <f t="shared" si="27"/>
        <v>24196088</v>
      </c>
      <c r="CL156" s="83">
        <v>5479489</v>
      </c>
      <c r="CM156" s="83">
        <v>15331307</v>
      </c>
      <c r="CN156" s="83">
        <v>2247717</v>
      </c>
      <c r="CO156" s="83">
        <v>1137575</v>
      </c>
      <c r="CP156" s="90">
        <f t="shared" si="28"/>
        <v>0.22646177348999558</v>
      </c>
      <c r="CQ156" s="90">
        <f t="shared" si="28"/>
        <v>0.63362751036448539</v>
      </c>
      <c r="CR156" s="90">
        <f t="shared" si="28"/>
        <v>9.2895884657056962E-2</v>
      </c>
    </row>
    <row r="157" spans="1:96" ht="37.5" thickTop="1" thickBot="1" x14ac:dyDescent="0.3">
      <c r="A157" s="3" t="s">
        <v>288</v>
      </c>
      <c r="B157" s="3">
        <v>210</v>
      </c>
      <c r="C157" s="3" t="s">
        <v>37</v>
      </c>
      <c r="D157" s="16">
        <v>36979</v>
      </c>
      <c r="E157" s="16" t="s">
        <v>523</v>
      </c>
      <c r="F157" s="16" t="s">
        <v>325</v>
      </c>
      <c r="G157" s="17">
        <v>17371</v>
      </c>
      <c r="H157" s="17">
        <v>25387</v>
      </c>
      <c r="I157" s="17" t="s">
        <v>585</v>
      </c>
      <c r="J157" s="18"/>
      <c r="K157" s="18" t="s">
        <v>598</v>
      </c>
      <c r="L157" s="18"/>
      <c r="M157" s="18" t="s">
        <v>598</v>
      </c>
      <c r="N157" s="10">
        <v>27300</v>
      </c>
      <c r="O157" s="11">
        <v>13038</v>
      </c>
      <c r="P157" s="11">
        <v>9229</v>
      </c>
      <c r="Q157" s="11">
        <v>4944</v>
      </c>
      <c r="R157" s="12">
        <v>0.47758241758241798</v>
      </c>
      <c r="S157" s="12">
        <v>0.33805860805860799</v>
      </c>
      <c r="T157" s="12">
        <v>0.18109890109890101</v>
      </c>
      <c r="U157" s="12">
        <v>0.13952380952380999</v>
      </c>
      <c r="V157" s="12">
        <v>0.15695970695970701</v>
      </c>
      <c r="W157" s="12">
        <v>7.0695970695970695E-2</v>
      </c>
      <c r="X157" s="12">
        <v>0.11040293040293001</v>
      </c>
      <c r="Y157" s="13">
        <v>70931</v>
      </c>
      <c r="Z157" s="13">
        <v>104967</v>
      </c>
      <c r="AA157" s="13">
        <v>1158323</v>
      </c>
      <c r="AB157" s="11">
        <v>63403</v>
      </c>
      <c r="AC157" s="11">
        <v>64230</v>
      </c>
      <c r="AD157" s="12">
        <v>1.3043546835323201E-2</v>
      </c>
      <c r="AE157" s="12">
        <v>0.438230477600556</v>
      </c>
      <c r="AF157" s="12">
        <v>8.8875920697758806E-2</v>
      </c>
      <c r="AG157" s="12">
        <v>3.00301247575036E-2</v>
      </c>
      <c r="AH157" s="12">
        <v>0.13687049508698301</v>
      </c>
      <c r="AI157" s="14">
        <v>0.23648723246534101</v>
      </c>
      <c r="AJ157" s="4">
        <v>54009</v>
      </c>
      <c r="AK157" s="5">
        <v>27259</v>
      </c>
      <c r="AL157" s="5">
        <v>18967</v>
      </c>
      <c r="AM157" s="5">
        <v>9769</v>
      </c>
      <c r="AN157" s="6">
        <v>0.50471217760002995</v>
      </c>
      <c r="AO157" s="6">
        <v>0.35118221037234498</v>
      </c>
      <c r="AP157" s="6">
        <v>0.18087726119720801</v>
      </c>
      <c r="AQ157" s="6">
        <v>0.153529967227684</v>
      </c>
      <c r="AR157" s="6">
        <v>0.170304949175137</v>
      </c>
      <c r="AS157" s="6">
        <v>7.9782999129774698E-2</v>
      </c>
      <c r="AT157" s="6">
        <v>0.10109426206743299</v>
      </c>
      <c r="AU157" s="7">
        <v>75562</v>
      </c>
      <c r="AV157" s="7">
        <v>105772</v>
      </c>
      <c r="AW157" s="7">
        <v>1184772</v>
      </c>
      <c r="AX157" s="5">
        <v>133608</v>
      </c>
      <c r="AY157" s="5">
        <v>134471</v>
      </c>
      <c r="AZ157" s="6">
        <v>6.4591940602359097E-3</v>
      </c>
      <c r="BA157" s="6">
        <v>0.40407036093828902</v>
      </c>
      <c r="BB157" s="6">
        <v>9.3123166277468403E-2</v>
      </c>
      <c r="BC157" s="6">
        <v>3.9967666606789999E-2</v>
      </c>
      <c r="BD157" s="6">
        <v>0.14801508891683099</v>
      </c>
      <c r="BE157" s="8">
        <v>0.24021016705586501</v>
      </c>
      <c r="BF157" s="10">
        <v>104018</v>
      </c>
      <c r="BG157" s="11">
        <v>54353</v>
      </c>
      <c r="BH157" s="11">
        <v>37344</v>
      </c>
      <c r="BI157" s="11">
        <v>17683</v>
      </c>
      <c r="BJ157" s="12">
        <v>0.52253456132592402</v>
      </c>
      <c r="BK157" s="12">
        <v>0.35901478590244001</v>
      </c>
      <c r="BL157" s="12">
        <v>0.16999942317675801</v>
      </c>
      <c r="BM157" s="12">
        <v>0.163519775423484</v>
      </c>
      <c r="BN157" s="12">
        <v>0.18901536272568201</v>
      </c>
      <c r="BO157" s="12">
        <v>8.6465803995462304E-2</v>
      </c>
      <c r="BP157" s="12">
        <v>8.3533619181295607E-2</v>
      </c>
      <c r="BQ157" s="13">
        <v>77578</v>
      </c>
      <c r="BR157" s="13">
        <v>101898</v>
      </c>
      <c r="BS157" s="13">
        <v>1032948</v>
      </c>
      <c r="BT157" s="11">
        <v>265860</v>
      </c>
      <c r="BU157" s="11">
        <v>268860</v>
      </c>
      <c r="BV157" s="12">
        <v>1.12841345068833E-2</v>
      </c>
      <c r="BW157" s="12">
        <v>0.38635883719293301</v>
      </c>
      <c r="BX157" s="12">
        <v>9.5836154366960094E-2</v>
      </c>
      <c r="BY157" s="12">
        <v>6.1404498608290101E-2</v>
      </c>
      <c r="BZ157" s="12">
        <v>0.169374858948319</v>
      </c>
      <c r="CA157" s="14">
        <v>0.23430753027909401</v>
      </c>
      <c r="CB157" s="86">
        <f t="shared" si="30"/>
        <v>13705337.016332867</v>
      </c>
      <c r="CC157" s="83">
        <v>10145755.0063329</v>
      </c>
      <c r="CD157" s="83">
        <v>302515.950000001</v>
      </c>
      <c r="CE157" s="83">
        <v>2581361.4699999602</v>
      </c>
      <c r="CF157" s="83">
        <v>675704.59000000602</v>
      </c>
      <c r="CG157" s="90">
        <f t="shared" si="26"/>
        <v>0.74027767389025489</v>
      </c>
      <c r="CH157" s="90">
        <f t="shared" si="26"/>
        <v>2.2072857430611735E-2</v>
      </c>
      <c r="CI157" s="90">
        <f t="shared" si="26"/>
        <v>0.18834717212161298</v>
      </c>
      <c r="CK157" s="86">
        <f t="shared" si="27"/>
        <v>13745007</v>
      </c>
      <c r="CL157" s="83">
        <v>10188511</v>
      </c>
      <c r="CM157" s="83">
        <v>309193</v>
      </c>
      <c r="CN157" s="83">
        <v>2600955</v>
      </c>
      <c r="CO157" s="83">
        <v>646348</v>
      </c>
      <c r="CP157" s="90">
        <f t="shared" si="28"/>
        <v>0.7412517869216072</v>
      </c>
      <c r="CQ157" s="90">
        <f t="shared" si="28"/>
        <v>2.2494932159728982E-2</v>
      </c>
      <c r="CR157" s="90">
        <f t="shared" si="28"/>
        <v>0.18922907787533319</v>
      </c>
    </row>
    <row r="158" spans="1:96" ht="25.5" thickTop="1" thickBot="1" x14ac:dyDescent="0.3">
      <c r="A158" s="3" t="s">
        <v>304</v>
      </c>
      <c r="B158" s="3">
        <v>1807</v>
      </c>
      <c r="C158" s="3" t="s">
        <v>720</v>
      </c>
      <c r="D158" s="16">
        <v>45379</v>
      </c>
      <c r="E158" s="16" t="s">
        <v>592</v>
      </c>
      <c r="F158" s="16" t="s">
        <v>630</v>
      </c>
      <c r="G158" s="17">
        <v>22500</v>
      </c>
      <c r="H158" s="17">
        <v>28000</v>
      </c>
      <c r="I158" s="17" t="s">
        <v>585</v>
      </c>
      <c r="J158" s="18"/>
      <c r="K158" s="18"/>
      <c r="L158" s="18"/>
      <c r="M158" s="18" t="s">
        <v>598</v>
      </c>
      <c r="N158" s="42">
        <v>18529</v>
      </c>
      <c r="O158" s="43">
        <v>10210</v>
      </c>
      <c r="P158" s="43">
        <v>7513</v>
      </c>
      <c r="Q158" s="43">
        <v>3705</v>
      </c>
      <c r="R158" s="44">
        <v>0.55102811808516405</v>
      </c>
      <c r="S158" s="44">
        <v>0.405472502563549</v>
      </c>
      <c r="T158" s="44">
        <v>0.19995682443736801</v>
      </c>
      <c r="U158" s="44">
        <v>0.145555615521615</v>
      </c>
      <c r="V158" s="44">
        <v>0.20551567812618099</v>
      </c>
      <c r="W158" s="44">
        <v>0.10658967024664</v>
      </c>
      <c r="X158" s="44">
        <v>9.3367154190728094E-2</v>
      </c>
      <c r="Y158" s="45">
        <v>82173</v>
      </c>
      <c r="Z158" s="45">
        <v>109072</v>
      </c>
      <c r="AA158" s="45">
        <v>1087951</v>
      </c>
      <c r="AB158" s="43">
        <v>44128</v>
      </c>
      <c r="AC158" s="43">
        <v>45078</v>
      </c>
      <c r="AD158" s="44">
        <v>2.1528281363306701E-2</v>
      </c>
      <c r="AE158" s="44">
        <v>0.45854445699531998</v>
      </c>
      <c r="AF158" s="44">
        <v>5.9191443074691798E-2</v>
      </c>
      <c r="AG158" s="44">
        <v>2.49501450326323E-2</v>
      </c>
      <c r="AH158" s="44">
        <v>0.10673495286439399</v>
      </c>
      <c r="AI158" s="46">
        <v>0.24483321247280601</v>
      </c>
      <c r="AJ158" s="42">
        <v>41517</v>
      </c>
      <c r="AK158" s="43">
        <v>23573</v>
      </c>
      <c r="AL158" s="43">
        <v>17303</v>
      </c>
      <c r="AM158" s="43">
        <v>7908</v>
      </c>
      <c r="AN158" s="44">
        <v>0.56779150709348003</v>
      </c>
      <c r="AO158" s="44">
        <v>0.41676903437146201</v>
      </c>
      <c r="AP158" s="44">
        <v>0.19047619047618999</v>
      </c>
      <c r="AQ158" s="44">
        <v>0.15102247272201699</v>
      </c>
      <c r="AR158" s="44">
        <v>0.22629284389527199</v>
      </c>
      <c r="AS158" s="44">
        <v>9.9043765204614997E-2</v>
      </c>
      <c r="AT158" s="44">
        <v>9.1432425271575496E-2</v>
      </c>
      <c r="AU158" s="45">
        <v>84423</v>
      </c>
      <c r="AV158" s="45">
        <v>109869</v>
      </c>
      <c r="AW158" s="45">
        <v>1081938</v>
      </c>
      <c r="AX158" s="43">
        <v>106185</v>
      </c>
      <c r="AY158" s="43">
        <v>107435</v>
      </c>
      <c r="AZ158" s="44">
        <v>1.1771907519894501E-2</v>
      </c>
      <c r="BA158" s="44">
        <v>0.43893355321926802</v>
      </c>
      <c r="BB158" s="44">
        <v>6.0159156189669001E-2</v>
      </c>
      <c r="BC158" s="44">
        <v>2.2244196449592701E-2</v>
      </c>
      <c r="BD158" s="44">
        <v>0.17623958186184499</v>
      </c>
      <c r="BE158" s="46">
        <v>0.24669209398691</v>
      </c>
      <c r="BF158" s="70">
        <v>78975</v>
      </c>
      <c r="BG158" s="71">
        <v>41165</v>
      </c>
      <c r="BH158" s="71">
        <v>29607</v>
      </c>
      <c r="BI158" s="71">
        <v>13241</v>
      </c>
      <c r="BJ158" s="72">
        <v>0.52124089901867698</v>
      </c>
      <c r="BK158" s="72">
        <v>0.37489078822412197</v>
      </c>
      <c r="BL158" s="72">
        <v>0.16766065210509701</v>
      </c>
      <c r="BM158" s="72">
        <v>0.14635011079455501</v>
      </c>
      <c r="BN158" s="72">
        <v>0.20723013611902499</v>
      </c>
      <c r="BO158" s="72">
        <v>9.0965495409939895E-2</v>
      </c>
      <c r="BP158" s="72">
        <v>7.6695156695156697E-2</v>
      </c>
      <c r="BQ158" s="73">
        <v>77784</v>
      </c>
      <c r="BR158" s="73">
        <v>101705</v>
      </c>
      <c r="BS158" s="73">
        <v>943980</v>
      </c>
      <c r="BT158" s="71">
        <v>201242</v>
      </c>
      <c r="BU158" s="71">
        <v>203088</v>
      </c>
      <c r="BV158" s="72">
        <v>9.1730354498563895E-3</v>
      </c>
      <c r="BW158" s="72">
        <v>0.39431868684292998</v>
      </c>
      <c r="BX158" s="72">
        <v>6.8529432225877304E-2</v>
      </c>
      <c r="BY158" s="72">
        <v>2.0731258882340699E-2</v>
      </c>
      <c r="BZ158" s="72">
        <v>0.241604635215313</v>
      </c>
      <c r="CA158" s="74">
        <v>0.24689180191013799</v>
      </c>
      <c r="CB158" s="98">
        <v>18000000</v>
      </c>
      <c r="CC158" s="83" t="s">
        <v>598</v>
      </c>
      <c r="CD158" s="83" t="s">
        <v>598</v>
      </c>
      <c r="CE158" s="83" t="s">
        <v>598</v>
      </c>
      <c r="CF158" s="83" t="s">
        <v>598</v>
      </c>
      <c r="CG158" s="99">
        <v>0.36</v>
      </c>
      <c r="CH158" s="99">
        <v>0.44</v>
      </c>
      <c r="CI158" s="90" t="str">
        <f t="shared" ref="CI158:CI221" si="31">IFERROR(CE158/$CB158,"")</f>
        <v/>
      </c>
      <c r="CK158" s="98">
        <v>18000000</v>
      </c>
      <c r="CL158" s="83" t="s">
        <v>598</v>
      </c>
      <c r="CM158" s="83" t="s">
        <v>598</v>
      </c>
      <c r="CN158" s="83" t="s">
        <v>598</v>
      </c>
      <c r="CO158" s="83" t="s">
        <v>598</v>
      </c>
      <c r="CP158" s="99">
        <v>0.36</v>
      </c>
      <c r="CQ158" s="99">
        <v>0.44</v>
      </c>
      <c r="CR158" s="90" t="str">
        <f t="shared" si="28"/>
        <v/>
      </c>
    </row>
    <row r="159" spans="1:96" ht="49.5" thickTop="1" thickBot="1" x14ac:dyDescent="0.3">
      <c r="A159" s="3" t="s">
        <v>294</v>
      </c>
      <c r="B159" s="3">
        <v>802</v>
      </c>
      <c r="C159" s="3" t="s">
        <v>113</v>
      </c>
      <c r="D159" s="16">
        <v>39262</v>
      </c>
      <c r="E159" s="16" t="s">
        <v>542</v>
      </c>
      <c r="F159" s="16" t="s">
        <v>390</v>
      </c>
      <c r="G159" s="17">
        <v>19154</v>
      </c>
      <c r="H159" s="17">
        <v>22824</v>
      </c>
      <c r="I159" s="17" t="s">
        <v>584</v>
      </c>
      <c r="J159" s="18"/>
      <c r="K159" s="18" t="s">
        <v>598</v>
      </c>
      <c r="L159" s="18"/>
      <c r="M159" s="18" t="s">
        <v>519</v>
      </c>
      <c r="N159" s="10">
        <v>20629</v>
      </c>
      <c r="O159" s="11">
        <v>9325</v>
      </c>
      <c r="P159" s="11">
        <v>5869</v>
      </c>
      <c r="Q159" s="11">
        <v>2925</v>
      </c>
      <c r="R159" s="12">
        <v>0.45203354500945298</v>
      </c>
      <c r="S159" s="12">
        <v>0.28450239953463602</v>
      </c>
      <c r="T159" s="12">
        <v>0.14179068301905101</v>
      </c>
      <c r="U159" s="12">
        <v>0.16753114547481701</v>
      </c>
      <c r="V159" s="12">
        <v>0.14271171651558501</v>
      </c>
      <c r="W159" s="12">
        <v>7.7609190944786494E-2</v>
      </c>
      <c r="X159" s="12">
        <v>6.4181492074264407E-2</v>
      </c>
      <c r="Y159" s="13">
        <v>67154</v>
      </c>
      <c r="Z159" s="13">
        <v>88329</v>
      </c>
      <c r="AA159" s="13">
        <v>597450</v>
      </c>
      <c r="AB159" s="11">
        <v>52197</v>
      </c>
      <c r="AC159" s="11">
        <v>55126</v>
      </c>
      <c r="AD159" s="12">
        <v>5.61143360729544E-2</v>
      </c>
      <c r="AE159" s="12">
        <v>0.45943894678459901</v>
      </c>
      <c r="AF159" s="12">
        <v>0.120121846083108</v>
      </c>
      <c r="AG159" s="12">
        <v>8.4794145257390305E-2</v>
      </c>
      <c r="AH159" s="12">
        <v>0.254344119393835</v>
      </c>
      <c r="AI159" s="14">
        <v>0.19066229859953601</v>
      </c>
      <c r="AJ159" s="4">
        <v>65746</v>
      </c>
      <c r="AK159" s="5">
        <v>35183</v>
      </c>
      <c r="AL159" s="5">
        <v>24516</v>
      </c>
      <c r="AM159" s="5">
        <v>13037</v>
      </c>
      <c r="AN159" s="6">
        <v>0.53513521735162595</v>
      </c>
      <c r="AO159" s="6">
        <v>0.37288960545128202</v>
      </c>
      <c r="AP159" s="6">
        <v>0.19829343230006399</v>
      </c>
      <c r="AQ159" s="6">
        <v>0.16224561190034401</v>
      </c>
      <c r="AR159" s="6">
        <v>0.174596173151218</v>
      </c>
      <c r="AS159" s="6">
        <v>9.9823563410701796E-2</v>
      </c>
      <c r="AT159" s="6">
        <v>9.84698688893621E-2</v>
      </c>
      <c r="AU159" s="7">
        <v>79168</v>
      </c>
      <c r="AV159" s="7">
        <v>103379</v>
      </c>
      <c r="AW159" s="7">
        <v>1115435</v>
      </c>
      <c r="AX159" s="5">
        <v>173773</v>
      </c>
      <c r="AY159" s="5">
        <v>181651</v>
      </c>
      <c r="AZ159" s="6">
        <v>4.5335006013592402E-2</v>
      </c>
      <c r="BA159" s="6">
        <v>0.47809616809212702</v>
      </c>
      <c r="BB159" s="6">
        <v>0.124708671657852</v>
      </c>
      <c r="BC159" s="6">
        <v>7.0810770372842696E-2</v>
      </c>
      <c r="BD159" s="6">
        <v>0.21585631830031099</v>
      </c>
      <c r="BE159" s="8">
        <v>0.23250447422787199</v>
      </c>
      <c r="BF159" s="10">
        <v>128661</v>
      </c>
      <c r="BG159" s="11">
        <v>67365</v>
      </c>
      <c r="BH159" s="11">
        <v>48019</v>
      </c>
      <c r="BI159" s="11">
        <v>25983</v>
      </c>
      <c r="BJ159" s="12">
        <v>0.52358523561918502</v>
      </c>
      <c r="BK159" s="12">
        <v>0.37322110041115802</v>
      </c>
      <c r="BL159" s="12">
        <v>0.20194930864830801</v>
      </c>
      <c r="BM159" s="12">
        <v>0.15036413520802699</v>
      </c>
      <c r="BN159" s="12">
        <v>0.17127179176285001</v>
      </c>
      <c r="BO159" s="12">
        <v>0.102610736742292</v>
      </c>
      <c r="BP159" s="12">
        <v>9.9338571906016596E-2</v>
      </c>
      <c r="BQ159" s="13">
        <v>77996</v>
      </c>
      <c r="BR159" s="13">
        <v>102834</v>
      </c>
      <c r="BS159" s="13">
        <v>1152566</v>
      </c>
      <c r="BT159" s="11">
        <v>350996</v>
      </c>
      <c r="BU159" s="11">
        <v>369660</v>
      </c>
      <c r="BV159" s="12">
        <v>5.3174395149802302E-2</v>
      </c>
      <c r="BW159" s="12">
        <v>0.466501584370344</v>
      </c>
      <c r="BX159" s="12">
        <v>0.13948022199683199</v>
      </c>
      <c r="BY159" s="12">
        <v>6.3445167466295901E-2</v>
      </c>
      <c r="BZ159" s="12">
        <v>0.21527595756077</v>
      </c>
      <c r="CA159" s="14">
        <v>0.23523060091852899</v>
      </c>
      <c r="CB159" s="86">
        <f t="shared" ref="CB159:CB164" si="32">IF(SUM(CC159:CF159)=0,"",SUM(CC159:CF159))</f>
        <v>36172662.879999086</v>
      </c>
      <c r="CC159" s="83">
        <v>11518201.709999399</v>
      </c>
      <c r="CD159" s="83">
        <v>18431714.839999799</v>
      </c>
      <c r="CE159" s="83">
        <v>4462312.5199998803</v>
      </c>
      <c r="CF159" s="83">
        <v>1760433.81</v>
      </c>
      <c r="CG159" s="90">
        <f t="shared" ref="CG159:CH164" si="33">IFERROR(CC159/$CB159,"")</f>
        <v>0.31842283074957545</v>
      </c>
      <c r="CH159" s="90">
        <f t="shared" si="33"/>
        <v>0.50954818839702365</v>
      </c>
      <c r="CI159" s="90">
        <f t="shared" si="31"/>
        <v>0.12336146041565611</v>
      </c>
      <c r="CK159" s="86">
        <f t="shared" si="27"/>
        <v>35674992</v>
      </c>
      <c r="CL159" s="83">
        <v>11185267</v>
      </c>
      <c r="CM159" s="83">
        <v>18415982</v>
      </c>
      <c r="CN159" s="83">
        <v>4386952</v>
      </c>
      <c r="CO159" s="83">
        <v>1686791</v>
      </c>
      <c r="CP159" s="90">
        <f t="shared" si="28"/>
        <v>0.31353243190636176</v>
      </c>
      <c r="CQ159" s="90">
        <f t="shared" si="28"/>
        <v>0.51621544862574886</v>
      </c>
      <c r="CR159" s="90">
        <f t="shared" si="28"/>
        <v>0.1229699504908088</v>
      </c>
    </row>
    <row r="160" spans="1:96" ht="37.5" thickTop="1" thickBot="1" x14ac:dyDescent="0.3">
      <c r="A160" s="3" t="s">
        <v>311</v>
      </c>
      <c r="B160" s="3">
        <v>2503</v>
      </c>
      <c r="C160" s="3" t="s">
        <v>269</v>
      </c>
      <c r="D160" s="16">
        <v>44131</v>
      </c>
      <c r="E160" s="16" t="s">
        <v>578</v>
      </c>
      <c r="F160" s="16" t="s">
        <v>517</v>
      </c>
      <c r="G160" s="17">
        <v>21230</v>
      </c>
      <c r="H160" s="17">
        <v>25600</v>
      </c>
      <c r="I160" s="17" t="s">
        <v>585</v>
      </c>
      <c r="J160" s="18"/>
      <c r="K160" s="18" t="s">
        <v>598</v>
      </c>
      <c r="L160" s="18"/>
      <c r="M160" s="18" t="s">
        <v>598</v>
      </c>
      <c r="N160" s="10">
        <v>15715</v>
      </c>
      <c r="O160" s="11">
        <v>9010</v>
      </c>
      <c r="P160" s="11">
        <v>6850</v>
      </c>
      <c r="Q160" s="11">
        <v>4187</v>
      </c>
      <c r="R160" s="12">
        <v>0.57333757556474696</v>
      </c>
      <c r="S160" s="12">
        <v>0.435889277760102</v>
      </c>
      <c r="T160" s="12">
        <v>0.26643334393891199</v>
      </c>
      <c r="U160" s="12">
        <v>0.13744829780464499</v>
      </c>
      <c r="V160" s="12">
        <v>0.16945593382119001</v>
      </c>
      <c r="W160" s="12">
        <v>0.101495386573338</v>
      </c>
      <c r="X160" s="12">
        <v>0.16493795736557401</v>
      </c>
      <c r="Y160" s="13">
        <v>86586</v>
      </c>
      <c r="Z160" s="13">
        <v>121667</v>
      </c>
      <c r="AA160" s="13">
        <v>1810481</v>
      </c>
      <c r="AB160" s="11">
        <v>41325</v>
      </c>
      <c r="AC160" s="11">
        <v>43640</v>
      </c>
      <c r="AD160" s="12">
        <v>5.6019358741681798E-2</v>
      </c>
      <c r="AE160" s="12">
        <v>0.54771076944056196</v>
      </c>
      <c r="AF160" s="12">
        <v>6.5311554748941306E-2</v>
      </c>
      <c r="AG160" s="12">
        <v>2.2431941923775001E-2</v>
      </c>
      <c r="AH160" s="12">
        <v>3.7531760435571701E-2</v>
      </c>
      <c r="AI160" s="14">
        <v>0.29630973986690901</v>
      </c>
      <c r="AJ160" s="4">
        <v>27797</v>
      </c>
      <c r="AK160" s="5">
        <v>15176</v>
      </c>
      <c r="AL160" s="5">
        <v>11136</v>
      </c>
      <c r="AM160" s="5">
        <v>6305</v>
      </c>
      <c r="AN160" s="6">
        <v>0.54595819692772596</v>
      </c>
      <c r="AO160" s="6">
        <v>0.40061877180990801</v>
      </c>
      <c r="AP160" s="6">
        <v>0.22682303845738699</v>
      </c>
      <c r="AQ160" s="6">
        <v>0.145339425117818</v>
      </c>
      <c r="AR160" s="6">
        <v>0.17379573335251999</v>
      </c>
      <c r="AS160" s="6">
        <v>9.2707846170450095E-2</v>
      </c>
      <c r="AT160" s="6">
        <v>0.134115192286937</v>
      </c>
      <c r="AU160" s="7">
        <v>81390</v>
      </c>
      <c r="AV160" s="7">
        <v>111917</v>
      </c>
      <c r="AW160" s="7">
        <v>1502179</v>
      </c>
      <c r="AX160" s="5">
        <v>73432</v>
      </c>
      <c r="AY160" s="5">
        <v>78222</v>
      </c>
      <c r="AZ160" s="6">
        <v>6.5230417256781803E-2</v>
      </c>
      <c r="BA160" s="6">
        <v>0.49656629688325399</v>
      </c>
      <c r="BB160" s="6">
        <v>6.8280858481316001E-2</v>
      </c>
      <c r="BC160" s="6">
        <v>1.9732541671206E-2</v>
      </c>
      <c r="BD160" s="6">
        <v>4.1984420960889002E-2</v>
      </c>
      <c r="BE160" s="8">
        <v>0.27802592875040899</v>
      </c>
      <c r="BF160" s="10">
        <v>37880</v>
      </c>
      <c r="BG160" s="11">
        <v>19773</v>
      </c>
      <c r="BH160" s="11">
        <v>14446</v>
      </c>
      <c r="BI160" s="11">
        <v>7892</v>
      </c>
      <c r="BJ160" s="12">
        <v>0.52199049630411798</v>
      </c>
      <c r="BK160" s="12">
        <v>0.38136219640971503</v>
      </c>
      <c r="BL160" s="12">
        <v>0.20834213305174201</v>
      </c>
      <c r="BM160" s="12">
        <v>0.14062829989440301</v>
      </c>
      <c r="BN160" s="12">
        <v>0.17302006335797299</v>
      </c>
      <c r="BO160" s="12">
        <v>8.8331573389651502E-2</v>
      </c>
      <c r="BP160" s="12">
        <v>0.120010559662091</v>
      </c>
      <c r="BQ160" s="13">
        <v>78019</v>
      </c>
      <c r="BR160" s="13">
        <v>106344</v>
      </c>
      <c r="BS160" s="13">
        <v>1369196</v>
      </c>
      <c r="BT160" s="11">
        <v>101157</v>
      </c>
      <c r="BU160" s="11">
        <v>108268</v>
      </c>
      <c r="BV160" s="12">
        <v>7.0296667556372802E-2</v>
      </c>
      <c r="BW160" s="12">
        <v>0.46914197548501402</v>
      </c>
      <c r="BX160" s="12">
        <v>6.6312761351166996E-2</v>
      </c>
      <c r="BY160" s="12">
        <v>1.6617732831143699E-2</v>
      </c>
      <c r="BZ160" s="12">
        <v>7.6010557845724996E-2</v>
      </c>
      <c r="CA160" s="14">
        <v>0.270114772086954</v>
      </c>
      <c r="CB160" s="86">
        <f t="shared" si="32"/>
        <v>16725563.24678508</v>
      </c>
      <c r="CC160" s="83">
        <v>7206321.8234520601</v>
      </c>
      <c r="CD160" s="83">
        <v>6379571.0099996803</v>
      </c>
      <c r="CE160" s="83">
        <v>1945666.42</v>
      </c>
      <c r="CF160" s="83">
        <v>1194003.9933333399</v>
      </c>
      <c r="CG160" s="90">
        <f t="shared" si="33"/>
        <v>0.43085675006115148</v>
      </c>
      <c r="CH160" s="90">
        <f t="shared" si="33"/>
        <v>0.38142637804594925</v>
      </c>
      <c r="CI160" s="90">
        <f t="shared" si="31"/>
        <v>0.11632890272762492</v>
      </c>
      <c r="CK160" s="86">
        <f t="shared" si="27"/>
        <v>16846182</v>
      </c>
      <c r="CL160" s="83">
        <v>7166990</v>
      </c>
      <c r="CM160" s="83">
        <v>6557032</v>
      </c>
      <c r="CN160" s="83">
        <v>1938095</v>
      </c>
      <c r="CO160" s="83">
        <v>1184065</v>
      </c>
      <c r="CP160" s="90">
        <f t="shared" si="28"/>
        <v>0.42543705155269013</v>
      </c>
      <c r="CQ160" s="90">
        <f t="shared" si="28"/>
        <v>0.38922955955242561</v>
      </c>
      <c r="CR160" s="90">
        <f t="shared" si="28"/>
        <v>0.11504654289025253</v>
      </c>
    </row>
    <row r="161" spans="1:97" ht="37.5" thickTop="1" thickBot="1" x14ac:dyDescent="0.3">
      <c r="A161" s="3" t="s">
        <v>312</v>
      </c>
      <c r="B161" s="3">
        <v>2603</v>
      </c>
      <c r="C161" s="3" t="s">
        <v>272</v>
      </c>
      <c r="D161" s="16">
        <v>44480</v>
      </c>
      <c r="E161" s="16" t="s">
        <v>579</v>
      </c>
      <c r="F161" s="16" t="s">
        <v>641</v>
      </c>
      <c r="G161" s="17">
        <v>23409</v>
      </c>
      <c r="H161" s="17">
        <v>28867</v>
      </c>
      <c r="I161" s="17" t="s">
        <v>585</v>
      </c>
      <c r="J161" s="18"/>
      <c r="K161" s="18" t="s">
        <v>519</v>
      </c>
      <c r="L161" s="18"/>
      <c r="M161" s="18" t="s">
        <v>519</v>
      </c>
      <c r="N161" s="10">
        <v>32054</v>
      </c>
      <c r="O161" s="11">
        <v>16340</v>
      </c>
      <c r="P161" s="11">
        <v>12717</v>
      </c>
      <c r="Q161" s="11">
        <v>7697</v>
      </c>
      <c r="R161" s="12">
        <v>0.50976477194733905</v>
      </c>
      <c r="S161" s="12">
        <v>0.39673675672302999</v>
      </c>
      <c r="T161" s="12">
        <v>0.24012603731203599</v>
      </c>
      <c r="U161" s="12">
        <v>0.113028015224309</v>
      </c>
      <c r="V161" s="12">
        <v>0.156610719410994</v>
      </c>
      <c r="W161" s="12">
        <v>0.10160978349036</v>
      </c>
      <c r="X161" s="12">
        <v>0.13851625382167601</v>
      </c>
      <c r="Y161" s="13">
        <v>76694</v>
      </c>
      <c r="Z161" s="13">
        <v>112406</v>
      </c>
      <c r="AA161" s="13">
        <v>1094915</v>
      </c>
      <c r="AB161" s="11">
        <v>78631</v>
      </c>
      <c r="AC161" s="11">
        <v>81318</v>
      </c>
      <c r="AD161" s="12">
        <v>3.4172273022090499E-2</v>
      </c>
      <c r="AE161" s="12">
        <v>0.75383039469956203</v>
      </c>
      <c r="AF161" s="12">
        <v>6.0001780468263197E-2</v>
      </c>
      <c r="AG161" s="12">
        <v>0.15467182154621001</v>
      </c>
      <c r="AH161" s="12">
        <v>6.4427515865244006E-2</v>
      </c>
      <c r="AI161" s="14">
        <v>0.19150207933257901</v>
      </c>
      <c r="AJ161" s="4">
        <v>62830</v>
      </c>
      <c r="AK161" s="5">
        <v>32213</v>
      </c>
      <c r="AL161" s="5">
        <v>24752</v>
      </c>
      <c r="AM161" s="5">
        <v>14933</v>
      </c>
      <c r="AN161" s="6">
        <v>0.51270093904185898</v>
      </c>
      <c r="AO161" s="6">
        <v>0.39395193378959098</v>
      </c>
      <c r="AP161" s="6">
        <v>0.237673086105364</v>
      </c>
      <c r="AQ161" s="6">
        <v>0.118749005252268</v>
      </c>
      <c r="AR161" s="6">
        <v>0.15627884768422701</v>
      </c>
      <c r="AS161" s="6">
        <v>9.3315295241126806E-2</v>
      </c>
      <c r="AT161" s="6">
        <v>0.144357790864237</v>
      </c>
      <c r="AU161" s="7">
        <v>77092</v>
      </c>
      <c r="AV161" s="7">
        <v>113974</v>
      </c>
      <c r="AW161" s="7">
        <v>1234965</v>
      </c>
      <c r="AX161" s="5">
        <v>156709</v>
      </c>
      <c r="AY161" s="5">
        <v>161762</v>
      </c>
      <c r="AZ161" s="6">
        <v>3.2244478619606998E-2</v>
      </c>
      <c r="BA161" s="6">
        <v>0.73469040659048601</v>
      </c>
      <c r="BB161" s="6">
        <v>5.68505956901008E-2</v>
      </c>
      <c r="BC161" s="6">
        <v>0.15087837967187601</v>
      </c>
      <c r="BD161" s="6">
        <v>7.4150176441684895E-2</v>
      </c>
      <c r="BE161" s="8">
        <v>0.19736581817253601</v>
      </c>
      <c r="BF161" s="10">
        <v>88742</v>
      </c>
      <c r="BG161" s="11">
        <v>46079</v>
      </c>
      <c r="BH161" s="11">
        <v>35236</v>
      </c>
      <c r="BI161" s="11">
        <v>21213</v>
      </c>
      <c r="BJ161" s="12">
        <v>0.51924680534583401</v>
      </c>
      <c r="BK161" s="12">
        <v>0.39706114353969901</v>
      </c>
      <c r="BL161" s="12">
        <v>0.23904126569155501</v>
      </c>
      <c r="BM161" s="12">
        <v>0.12218566180613499</v>
      </c>
      <c r="BN161" s="12">
        <v>0.158019877848144</v>
      </c>
      <c r="BO161" s="12">
        <v>9.2199860269094699E-2</v>
      </c>
      <c r="BP161" s="12">
        <v>0.14684140542246099</v>
      </c>
      <c r="BQ161" s="13">
        <v>78110</v>
      </c>
      <c r="BR161" s="13">
        <v>114799</v>
      </c>
      <c r="BS161" s="13">
        <v>1325110</v>
      </c>
      <c r="BT161" s="11">
        <v>219487</v>
      </c>
      <c r="BU161" s="11">
        <v>226021</v>
      </c>
      <c r="BV161" s="12">
        <v>2.97694168675138E-2</v>
      </c>
      <c r="BW161" s="12">
        <v>0.70159244696083201</v>
      </c>
      <c r="BX161" s="12">
        <v>5.7105887820235401E-2</v>
      </c>
      <c r="BY161" s="12">
        <v>0.14463726781085001</v>
      </c>
      <c r="BZ161" s="12">
        <v>9.1773089066778404E-2</v>
      </c>
      <c r="CA161" s="14">
        <v>0.209142227102289</v>
      </c>
      <c r="CB161" s="86">
        <f t="shared" si="32"/>
        <v>20130134.275713321</v>
      </c>
      <c r="CC161" s="83">
        <v>7844434.4999994896</v>
      </c>
      <c r="CD161" s="83">
        <v>8352097.5699995896</v>
      </c>
      <c r="CE161" s="83">
        <v>2868268.3199999402</v>
      </c>
      <c r="CF161" s="83">
        <v>1065333.8857143</v>
      </c>
      <c r="CG161" s="90">
        <f t="shared" si="33"/>
        <v>0.38968614876373042</v>
      </c>
      <c r="CH161" s="90">
        <f t="shared" si="33"/>
        <v>0.41490520905646711</v>
      </c>
      <c r="CI161" s="90">
        <f t="shared" si="31"/>
        <v>0.14248629843768401</v>
      </c>
      <c r="CK161" s="86">
        <f t="shared" si="27"/>
        <v>20575234</v>
      </c>
      <c r="CL161" s="83">
        <v>7888651</v>
      </c>
      <c r="CM161" s="83">
        <v>8674316</v>
      </c>
      <c r="CN161" s="83">
        <v>2961592</v>
      </c>
      <c r="CO161" s="83">
        <v>1050675</v>
      </c>
      <c r="CP161" s="90">
        <f t="shared" si="28"/>
        <v>0.38340516564720478</v>
      </c>
      <c r="CQ161" s="90">
        <f t="shared" si="28"/>
        <v>0.42159015056645283</v>
      </c>
      <c r="CR161" s="90">
        <f t="shared" si="28"/>
        <v>0.14393965094151542</v>
      </c>
    </row>
    <row r="162" spans="1:97" ht="61.5" thickTop="1" thickBot="1" x14ac:dyDescent="0.3">
      <c r="A162" s="3" t="s">
        <v>295</v>
      </c>
      <c r="B162" s="3">
        <v>908</v>
      </c>
      <c r="C162" s="3" t="s">
        <v>124</v>
      </c>
      <c r="D162" s="16">
        <v>39387</v>
      </c>
      <c r="E162" s="16" t="s">
        <v>544</v>
      </c>
      <c r="F162" s="16" t="s">
        <v>648</v>
      </c>
      <c r="G162" s="17">
        <v>16115</v>
      </c>
      <c r="H162" s="17">
        <v>19000</v>
      </c>
      <c r="I162" s="17" t="s">
        <v>585</v>
      </c>
      <c r="J162" s="18" t="s">
        <v>581</v>
      </c>
      <c r="K162" s="18" t="s">
        <v>519</v>
      </c>
      <c r="L162" s="18"/>
      <c r="M162" s="18" t="s">
        <v>598</v>
      </c>
      <c r="N162" s="10">
        <v>24941</v>
      </c>
      <c r="O162" s="11">
        <v>14134</v>
      </c>
      <c r="P162" s="11">
        <v>11236</v>
      </c>
      <c r="Q162" s="11">
        <v>6868</v>
      </c>
      <c r="R162" s="12">
        <v>0.56669740587787198</v>
      </c>
      <c r="S162" s="12">
        <v>0.45050318752255297</v>
      </c>
      <c r="T162" s="12">
        <v>0.275369872900044</v>
      </c>
      <c r="U162" s="12">
        <v>0.116194218355319</v>
      </c>
      <c r="V162" s="12">
        <v>0.175133314622509</v>
      </c>
      <c r="W162" s="12">
        <v>9.3019526081552506E-2</v>
      </c>
      <c r="X162" s="12">
        <v>0.18235034681849199</v>
      </c>
      <c r="Y162" s="13">
        <v>87744</v>
      </c>
      <c r="Z162" s="13">
        <v>130661</v>
      </c>
      <c r="AA162" s="13">
        <v>2217773</v>
      </c>
      <c r="AB162" s="11">
        <v>51238</v>
      </c>
      <c r="AC162" s="11">
        <v>55118</v>
      </c>
      <c r="AD162" s="12">
        <v>7.5725047816074004E-2</v>
      </c>
      <c r="AE162" s="12">
        <v>0.50323849733723502</v>
      </c>
      <c r="AF162" s="12">
        <v>0.16003747218861</v>
      </c>
      <c r="AG162" s="12">
        <v>2.1800226394472901E-2</v>
      </c>
      <c r="AH162" s="12">
        <v>2.4864358483937699E-2</v>
      </c>
      <c r="AI162" s="14">
        <v>0.29292712439985902</v>
      </c>
      <c r="AJ162" s="4">
        <v>64972</v>
      </c>
      <c r="AK162" s="5">
        <v>34275</v>
      </c>
      <c r="AL162" s="5">
        <v>26276</v>
      </c>
      <c r="AM162" s="5">
        <v>15290</v>
      </c>
      <c r="AN162" s="6">
        <v>0.52753493812719299</v>
      </c>
      <c r="AO162" s="6">
        <v>0.40442036569599199</v>
      </c>
      <c r="AP162" s="6">
        <v>0.235332143077018</v>
      </c>
      <c r="AQ162" s="6">
        <v>0.123114572431201</v>
      </c>
      <c r="AR162" s="6">
        <v>0.16908822261897399</v>
      </c>
      <c r="AS162" s="6">
        <v>7.6155882534014605E-2</v>
      </c>
      <c r="AT162" s="6">
        <v>0.15917626054300299</v>
      </c>
      <c r="AU162" s="7">
        <v>79478</v>
      </c>
      <c r="AV162" s="7">
        <v>120309</v>
      </c>
      <c r="AW162" s="7">
        <v>2029369</v>
      </c>
      <c r="AX162" s="5">
        <v>145325</v>
      </c>
      <c r="AY162" s="5">
        <v>154080</v>
      </c>
      <c r="AZ162" s="6">
        <v>6.0244280061930201E-2</v>
      </c>
      <c r="BA162" s="6">
        <v>0.42991152803094301</v>
      </c>
      <c r="BB162" s="6">
        <v>0.24609667985549599</v>
      </c>
      <c r="BC162" s="6">
        <v>1.80354378118011E-2</v>
      </c>
      <c r="BD162" s="6">
        <v>6.3911921555135004E-2</v>
      </c>
      <c r="BE162" s="8">
        <v>0.27333218647858198</v>
      </c>
      <c r="BF162" s="10">
        <v>103049</v>
      </c>
      <c r="BG162" s="11">
        <v>53686</v>
      </c>
      <c r="BH162" s="11">
        <v>40398</v>
      </c>
      <c r="BI162" s="11">
        <v>23137</v>
      </c>
      <c r="BJ162" s="12">
        <v>0.52097545827712999</v>
      </c>
      <c r="BK162" s="12">
        <v>0.39202709390678198</v>
      </c>
      <c r="BL162" s="12">
        <v>0.22452425545129001</v>
      </c>
      <c r="BM162" s="12">
        <v>0.12894836437034801</v>
      </c>
      <c r="BN162" s="12">
        <v>0.16750283845549199</v>
      </c>
      <c r="BO162" s="12">
        <v>7.8710128191442894E-2</v>
      </c>
      <c r="BP162" s="12">
        <v>0.14581412725984699</v>
      </c>
      <c r="BQ162" s="13">
        <v>78184</v>
      </c>
      <c r="BR162" s="13">
        <v>116741</v>
      </c>
      <c r="BS162" s="13">
        <v>1990044</v>
      </c>
      <c r="BT162" s="11">
        <v>230050</v>
      </c>
      <c r="BU162" s="11">
        <v>245676</v>
      </c>
      <c r="BV162" s="12">
        <v>6.7924364268637294E-2</v>
      </c>
      <c r="BW162" s="12">
        <v>0.42512562814070398</v>
      </c>
      <c r="BX162" s="12">
        <v>0.229719626168224</v>
      </c>
      <c r="BY162" s="12">
        <v>1.8365572701586601E-2</v>
      </c>
      <c r="BZ162" s="12">
        <v>5.9447946098674202E-2</v>
      </c>
      <c r="CA162" s="14">
        <v>0.28263855683547101</v>
      </c>
      <c r="CB162" s="86">
        <f t="shared" si="32"/>
        <v>38314835.940415636</v>
      </c>
      <c r="CC162" s="83">
        <v>18712474.790416401</v>
      </c>
      <c r="CD162" s="83">
        <v>14345312.3199993</v>
      </c>
      <c r="CE162" s="83">
        <v>3423936.2299999301</v>
      </c>
      <c r="CF162" s="83">
        <v>1833112.6</v>
      </c>
      <c r="CG162" s="90">
        <f t="shared" si="33"/>
        <v>0.48838718295744865</v>
      </c>
      <c r="CH162" s="90">
        <f t="shared" si="33"/>
        <v>0.3744062050091525</v>
      </c>
      <c r="CI162" s="90">
        <f t="shared" si="31"/>
        <v>8.9363196943465437E-2</v>
      </c>
      <c r="CK162" s="86">
        <f t="shared" si="27"/>
        <v>38932754</v>
      </c>
      <c r="CL162" s="83">
        <v>18943903</v>
      </c>
      <c r="CM162" s="83">
        <v>14586122</v>
      </c>
      <c r="CN162" s="83">
        <v>3502777</v>
      </c>
      <c r="CO162" s="83">
        <v>1899952</v>
      </c>
      <c r="CP162" s="90">
        <f t="shared" si="28"/>
        <v>0.48658009140581221</v>
      </c>
      <c r="CQ162" s="90">
        <f t="shared" si="28"/>
        <v>0.37464911935076567</v>
      </c>
      <c r="CR162" s="90">
        <f t="shared" si="28"/>
        <v>8.9969926093592043E-2</v>
      </c>
    </row>
    <row r="163" spans="1:97" ht="37.5" thickTop="1" thickBot="1" x14ac:dyDescent="0.3">
      <c r="A163" s="3" t="s">
        <v>295</v>
      </c>
      <c r="B163" s="3">
        <v>921</v>
      </c>
      <c r="C163" s="3" t="s">
        <v>136</v>
      </c>
      <c r="D163" s="16">
        <v>41354</v>
      </c>
      <c r="E163" s="16" t="s">
        <v>548</v>
      </c>
      <c r="F163" s="16" t="s">
        <v>412</v>
      </c>
      <c r="G163" s="17">
        <v>17591</v>
      </c>
      <c r="H163" s="17">
        <v>21384</v>
      </c>
      <c r="I163" s="17" t="s">
        <v>584</v>
      </c>
      <c r="J163" s="18"/>
      <c r="K163" s="18" t="s">
        <v>598</v>
      </c>
      <c r="L163" s="18"/>
      <c r="M163" s="18" t="s">
        <v>598</v>
      </c>
      <c r="N163" s="10">
        <v>18006</v>
      </c>
      <c r="O163" s="11">
        <v>9491</v>
      </c>
      <c r="P163" s="11">
        <v>6971</v>
      </c>
      <c r="Q163" s="11">
        <v>3911</v>
      </c>
      <c r="R163" s="12">
        <v>0.52710207708541601</v>
      </c>
      <c r="S163" s="12">
        <v>0.38714872820171098</v>
      </c>
      <c r="T163" s="12">
        <v>0.21720537598578299</v>
      </c>
      <c r="U163" s="12">
        <v>0.139953348883705</v>
      </c>
      <c r="V163" s="12">
        <v>0.16994335221592799</v>
      </c>
      <c r="W163" s="12">
        <v>0.13506608908141701</v>
      </c>
      <c r="X163" s="12">
        <v>8.21392869043652E-2</v>
      </c>
      <c r="Y163" s="13">
        <v>78783</v>
      </c>
      <c r="Z163" s="13">
        <v>102517</v>
      </c>
      <c r="AA163" s="13">
        <v>1484957</v>
      </c>
      <c r="AB163" s="11">
        <v>42437</v>
      </c>
      <c r="AC163" s="11">
        <v>45520</v>
      </c>
      <c r="AD163" s="12">
        <v>7.2648867733345904E-2</v>
      </c>
      <c r="AE163" s="12">
        <v>0.47107234226181299</v>
      </c>
      <c r="AF163" s="12">
        <v>0.11645498032377399</v>
      </c>
      <c r="AG163" s="12">
        <v>3.9941560430756202E-2</v>
      </c>
      <c r="AH163" s="12">
        <v>5.1982939416075603E-2</v>
      </c>
      <c r="AI163" s="14">
        <v>0.28430379150269802</v>
      </c>
      <c r="AJ163" s="4">
        <v>29318</v>
      </c>
      <c r="AK163" s="5">
        <v>15803</v>
      </c>
      <c r="AL163" s="5">
        <v>11462</v>
      </c>
      <c r="AM163" s="5">
        <v>6366</v>
      </c>
      <c r="AN163" s="6">
        <v>0.53902039702571802</v>
      </c>
      <c r="AO163" s="6">
        <v>0.39095436250767401</v>
      </c>
      <c r="AP163" s="6">
        <v>0.217136230302203</v>
      </c>
      <c r="AQ163" s="6">
        <v>0.14806603451804401</v>
      </c>
      <c r="AR163" s="6">
        <v>0.17381813220547099</v>
      </c>
      <c r="AS163" s="6">
        <v>0.120676717374991</v>
      </c>
      <c r="AT163" s="6">
        <v>9.6459512927211999E-2</v>
      </c>
      <c r="AU163" s="7">
        <v>80220</v>
      </c>
      <c r="AV163" s="7">
        <v>106068</v>
      </c>
      <c r="AW163" s="7">
        <v>1640636</v>
      </c>
      <c r="AX163" s="5">
        <v>71449</v>
      </c>
      <c r="AY163" s="5">
        <v>76522</v>
      </c>
      <c r="AZ163" s="6">
        <v>7.1001693515654496E-2</v>
      </c>
      <c r="BA163" s="6">
        <v>0.46797767250560002</v>
      </c>
      <c r="BB163" s="6">
        <v>0.110386429481168</v>
      </c>
      <c r="BC163" s="6">
        <v>4.1148231605760803E-2</v>
      </c>
      <c r="BD163" s="6">
        <v>5.8419292082464401E-2</v>
      </c>
      <c r="BE163" s="8">
        <v>0.293943932035438</v>
      </c>
      <c r="BF163" s="10">
        <v>45391</v>
      </c>
      <c r="BG163" s="11">
        <v>23868</v>
      </c>
      <c r="BH163" s="11">
        <v>17146</v>
      </c>
      <c r="BI163" s="11">
        <v>9111</v>
      </c>
      <c r="BJ163" s="12">
        <v>0.52583111189442799</v>
      </c>
      <c r="BK163" s="12">
        <v>0.37774008063272502</v>
      </c>
      <c r="BL163" s="12">
        <v>0.20072261020907201</v>
      </c>
      <c r="BM163" s="12">
        <v>0.148091031261704</v>
      </c>
      <c r="BN163" s="12">
        <v>0.17701747042365201</v>
      </c>
      <c r="BO163" s="12">
        <v>0.11204864400431799</v>
      </c>
      <c r="BP163" s="12">
        <v>8.8673966204754207E-2</v>
      </c>
      <c r="BQ163" s="13">
        <v>78357</v>
      </c>
      <c r="BR163" s="13">
        <v>102504</v>
      </c>
      <c r="BS163" s="13">
        <v>1500968</v>
      </c>
      <c r="BT163" s="11">
        <v>111154</v>
      </c>
      <c r="BU163" s="11">
        <v>118549</v>
      </c>
      <c r="BV163" s="12">
        <v>6.6529319682602506E-2</v>
      </c>
      <c r="BW163" s="12">
        <v>0.43132023798281199</v>
      </c>
      <c r="BX163" s="12">
        <v>0.107544487827699</v>
      </c>
      <c r="BY163" s="12">
        <v>3.77494287205139E-2</v>
      </c>
      <c r="BZ163" s="12">
        <v>6.5296795436961305E-2</v>
      </c>
      <c r="CA163" s="14">
        <v>0.30311099915432599</v>
      </c>
      <c r="CB163" s="86">
        <f t="shared" si="32"/>
        <v>20870367.326665901</v>
      </c>
      <c r="CC163" s="83">
        <v>7431337.3866664004</v>
      </c>
      <c r="CD163" s="83">
        <v>9125661.9399995599</v>
      </c>
      <c r="CE163" s="83">
        <v>3077086.8699999298</v>
      </c>
      <c r="CF163" s="83">
        <v>1236281.1300000099</v>
      </c>
      <c r="CG163" s="90">
        <f t="shared" si="33"/>
        <v>0.35607123105933264</v>
      </c>
      <c r="CH163" s="90">
        <f t="shared" si="33"/>
        <v>0.4372544956762584</v>
      </c>
      <c r="CI163" s="90">
        <f t="shared" si="31"/>
        <v>0.14743807915964952</v>
      </c>
      <c r="CK163" s="86">
        <f t="shared" si="27"/>
        <v>20906316</v>
      </c>
      <c r="CL163" s="83">
        <v>7250281</v>
      </c>
      <c r="CM163" s="83">
        <v>9329961</v>
      </c>
      <c r="CN163" s="83">
        <v>3077942</v>
      </c>
      <c r="CO163" s="83">
        <v>1248132</v>
      </c>
      <c r="CP163" s="90">
        <f t="shared" si="28"/>
        <v>0.34679859426213588</v>
      </c>
      <c r="CQ163" s="90">
        <f t="shared" si="28"/>
        <v>0.4462747525675973</v>
      </c>
      <c r="CR163" s="90">
        <f t="shared" si="28"/>
        <v>0.14722546047806798</v>
      </c>
    </row>
    <row r="164" spans="1:97" ht="37.5" thickTop="1" thickBot="1" x14ac:dyDescent="0.3">
      <c r="A164" s="3" t="s">
        <v>297</v>
      </c>
      <c r="B164" s="3">
        <v>1126</v>
      </c>
      <c r="C164" s="3" t="s">
        <v>192</v>
      </c>
      <c r="D164" s="16">
        <v>43223</v>
      </c>
      <c r="E164" s="16" t="s">
        <v>553</v>
      </c>
      <c r="F164" s="16" t="s">
        <v>460</v>
      </c>
      <c r="G164" s="17">
        <v>18621</v>
      </c>
      <c r="H164" s="17">
        <v>23654</v>
      </c>
      <c r="I164" s="17" t="s">
        <v>584</v>
      </c>
      <c r="J164" s="18"/>
      <c r="K164" s="18" t="s">
        <v>598</v>
      </c>
      <c r="L164" s="18" t="s">
        <v>519</v>
      </c>
      <c r="M164" s="18" t="s">
        <v>598</v>
      </c>
      <c r="N164" s="10">
        <v>76172</v>
      </c>
      <c r="O164" s="11">
        <v>45815</v>
      </c>
      <c r="P164" s="11">
        <v>36287</v>
      </c>
      <c r="Q164" s="11">
        <v>22572</v>
      </c>
      <c r="R164" s="12">
        <v>0.60146773092474903</v>
      </c>
      <c r="S164" s="12">
        <v>0.47638239773145002</v>
      </c>
      <c r="T164" s="12">
        <v>0.29632935986976799</v>
      </c>
      <c r="U164" s="12">
        <v>0.12508533319329901</v>
      </c>
      <c r="V164" s="12">
        <v>0.180053037861681</v>
      </c>
      <c r="W164" s="12">
        <v>0.110302998477131</v>
      </c>
      <c r="X164" s="12">
        <v>0.18602636139263801</v>
      </c>
      <c r="Y164" s="13">
        <v>94204</v>
      </c>
      <c r="Z164" s="13">
        <v>134367</v>
      </c>
      <c r="AA164" s="13">
        <v>1291306</v>
      </c>
      <c r="AB164" s="11">
        <v>192379</v>
      </c>
      <c r="AC164" s="11">
        <v>195126</v>
      </c>
      <c r="AD164" s="12">
        <v>1.4279105307751901E-2</v>
      </c>
      <c r="AE164" s="12">
        <v>0.57093877316807295</v>
      </c>
      <c r="AF164" s="12">
        <v>0.32014409057121601</v>
      </c>
      <c r="AG164" s="12">
        <v>0.199943860816409</v>
      </c>
      <c r="AH164" s="12">
        <v>8.8180102817875097E-2</v>
      </c>
      <c r="AI164" s="14">
        <v>0.241798741026827</v>
      </c>
      <c r="AJ164" s="4">
        <v>184922</v>
      </c>
      <c r="AK164" s="5">
        <v>103755</v>
      </c>
      <c r="AL164" s="5">
        <v>81067</v>
      </c>
      <c r="AM164" s="5">
        <v>47674</v>
      </c>
      <c r="AN164" s="6">
        <v>0.56107439893576705</v>
      </c>
      <c r="AO164" s="6">
        <v>0.43838483252398303</v>
      </c>
      <c r="AP164" s="6">
        <v>0.25780599387850001</v>
      </c>
      <c r="AQ164" s="6">
        <v>0.122689566411784</v>
      </c>
      <c r="AR164" s="6">
        <v>0.18057883864548299</v>
      </c>
      <c r="AS164" s="6">
        <v>0.10291366089486401</v>
      </c>
      <c r="AT164" s="6">
        <v>0.154892332983636</v>
      </c>
      <c r="AU164" s="7">
        <v>85785</v>
      </c>
      <c r="AV164" s="7">
        <v>121844</v>
      </c>
      <c r="AW164" s="7">
        <v>1159131</v>
      </c>
      <c r="AX164" s="5">
        <v>511766</v>
      </c>
      <c r="AY164" s="5">
        <v>514593</v>
      </c>
      <c r="AZ164" s="6">
        <v>5.5240090197473104E-3</v>
      </c>
      <c r="BA164" s="6">
        <v>0.48172090224585701</v>
      </c>
      <c r="BB164" s="6">
        <v>0.362988162558669</v>
      </c>
      <c r="BC164" s="6">
        <v>0.299689701934087</v>
      </c>
      <c r="BD164" s="6">
        <v>5.7453992645076099E-2</v>
      </c>
      <c r="BE164" s="8">
        <v>0.24961017339956201</v>
      </c>
      <c r="BF164" s="10">
        <v>328698</v>
      </c>
      <c r="BG164" s="11">
        <v>171750</v>
      </c>
      <c r="BH164" s="11">
        <v>131740</v>
      </c>
      <c r="BI164" s="11">
        <v>74234</v>
      </c>
      <c r="BJ164" s="12">
        <v>0.52251610901192003</v>
      </c>
      <c r="BK164" s="12">
        <v>0.400793433486057</v>
      </c>
      <c r="BL164" s="12">
        <v>0.225842566732989</v>
      </c>
      <c r="BM164" s="12">
        <v>0.12172267552586299</v>
      </c>
      <c r="BN164" s="12">
        <v>0.17495086675306801</v>
      </c>
      <c r="BO164" s="12">
        <v>9.3137165422363402E-2</v>
      </c>
      <c r="BP164" s="12">
        <v>0.132705401310626</v>
      </c>
      <c r="BQ164" s="13">
        <v>78670</v>
      </c>
      <c r="BR164" s="13">
        <v>112229</v>
      </c>
      <c r="BS164" s="13">
        <v>1029554</v>
      </c>
      <c r="BT164" s="11">
        <v>956810</v>
      </c>
      <c r="BU164" s="11">
        <v>960501</v>
      </c>
      <c r="BV164" s="12">
        <v>3.85761018384005E-3</v>
      </c>
      <c r="BW164" s="12">
        <v>0.42708297069915901</v>
      </c>
      <c r="BX164" s="12">
        <v>0.36553129670467499</v>
      </c>
      <c r="BY164" s="12">
        <v>0.33904432436951998</v>
      </c>
      <c r="BZ164" s="12">
        <v>3.62903815804601E-2</v>
      </c>
      <c r="CA164" s="14">
        <v>0.251121957337402</v>
      </c>
      <c r="CB164" s="86">
        <f t="shared" si="32"/>
        <v>25507856.364332281</v>
      </c>
      <c r="CC164" s="83">
        <v>10045954.3349996</v>
      </c>
      <c r="CD164" s="83">
        <v>11409016.319999401</v>
      </c>
      <c r="CE164" s="83">
        <v>2675856.05999994</v>
      </c>
      <c r="CF164" s="83">
        <v>1377029.6493333401</v>
      </c>
      <c r="CG164" s="90">
        <f t="shared" si="33"/>
        <v>0.39383765501545209</v>
      </c>
      <c r="CH164" s="90">
        <f t="shared" si="33"/>
        <v>0.44727460265742541</v>
      </c>
      <c r="CI164" s="90">
        <f t="shared" si="31"/>
        <v>0.10490321184894229</v>
      </c>
      <c r="CK164" s="86">
        <f t="shared" si="27"/>
        <v>23030425</v>
      </c>
      <c r="CL164" s="83">
        <v>8876912</v>
      </c>
      <c r="CM164" s="83">
        <v>10378894</v>
      </c>
      <c r="CN164" s="83">
        <v>2486586</v>
      </c>
      <c r="CO164" s="83">
        <v>1288033</v>
      </c>
      <c r="CP164" s="90">
        <f t="shared" si="28"/>
        <v>0.38544282183242384</v>
      </c>
      <c r="CQ164" s="90">
        <f t="shared" si="28"/>
        <v>0.45066011591188615</v>
      </c>
      <c r="CR164" s="90">
        <f t="shared" si="28"/>
        <v>0.10796960976621144</v>
      </c>
    </row>
    <row r="165" spans="1:97" ht="25.5" thickTop="1" thickBot="1" x14ac:dyDescent="0.3">
      <c r="A165" s="3" t="s">
        <v>300</v>
      </c>
      <c r="B165" s="3" t="s">
        <v>732</v>
      </c>
      <c r="C165" s="3" t="s">
        <v>732</v>
      </c>
      <c r="D165" s="16">
        <v>45556</v>
      </c>
      <c r="E165" s="16"/>
      <c r="F165" s="16" t="s">
        <v>733</v>
      </c>
      <c r="G165" s="17"/>
      <c r="H165" s="17">
        <v>20051</v>
      </c>
      <c r="I165" s="17" t="s">
        <v>584</v>
      </c>
      <c r="J165" s="18"/>
      <c r="K165" s="18"/>
      <c r="L165" s="18"/>
      <c r="M165" s="18" t="s">
        <v>598</v>
      </c>
      <c r="N165" s="42">
        <v>23664</v>
      </c>
      <c r="O165" s="43">
        <v>13225</v>
      </c>
      <c r="P165" s="43">
        <v>10406</v>
      </c>
      <c r="Q165" s="43">
        <v>5350</v>
      </c>
      <c r="R165" s="44">
        <v>0.55886578769438799</v>
      </c>
      <c r="S165" s="44">
        <v>0.43973968897903998</v>
      </c>
      <c r="T165" s="44">
        <v>0.22608181203515901</v>
      </c>
      <c r="U165" s="44">
        <v>0.119126098715348</v>
      </c>
      <c r="V165" s="44">
        <v>0.213657876943881</v>
      </c>
      <c r="W165" s="44">
        <v>0.115618661257606</v>
      </c>
      <c r="X165" s="44">
        <v>0.110463150777552</v>
      </c>
      <c r="Y165" s="45">
        <v>85717</v>
      </c>
      <c r="Z165" s="45">
        <v>115833</v>
      </c>
      <c r="AA165" s="45">
        <v>1315909</v>
      </c>
      <c r="AB165" s="43">
        <v>61850</v>
      </c>
      <c r="AC165" s="43">
        <v>64508</v>
      </c>
      <c r="AD165" s="44">
        <v>4.2974939369442203E-2</v>
      </c>
      <c r="AE165" s="44">
        <v>0.37305138228229601</v>
      </c>
      <c r="AF165" s="44">
        <v>0.213678253839935</v>
      </c>
      <c r="AG165" s="44">
        <v>3.7219078415521398E-2</v>
      </c>
      <c r="AH165" s="44">
        <v>1.6653193209377502E-2</v>
      </c>
      <c r="AI165" s="46">
        <v>0.24541632983023401</v>
      </c>
      <c r="AJ165" s="42">
        <v>57193</v>
      </c>
      <c r="AK165" s="43">
        <v>30473</v>
      </c>
      <c r="AL165" s="43">
        <v>24017</v>
      </c>
      <c r="AM165" s="43">
        <v>11869</v>
      </c>
      <c r="AN165" s="44">
        <v>0.53280995926074903</v>
      </c>
      <c r="AO165" s="44">
        <v>0.41992901229171398</v>
      </c>
      <c r="AP165" s="44">
        <v>0.207525396464602</v>
      </c>
      <c r="AQ165" s="44">
        <v>0.112880946969035</v>
      </c>
      <c r="AR165" s="44">
        <v>0.21240361582711201</v>
      </c>
      <c r="AS165" s="44">
        <v>0.110083401814907</v>
      </c>
      <c r="AT165" s="44">
        <v>9.7441994649694899E-2</v>
      </c>
      <c r="AU165" s="45">
        <v>80989</v>
      </c>
      <c r="AV165" s="45">
        <v>110265</v>
      </c>
      <c r="AW165" s="45">
        <v>1130741</v>
      </c>
      <c r="AX165" s="43">
        <v>158237</v>
      </c>
      <c r="AY165" s="43">
        <v>166195</v>
      </c>
      <c r="AZ165" s="44">
        <v>5.0291651130898597E-2</v>
      </c>
      <c r="BA165" s="44">
        <v>0.33438034580405701</v>
      </c>
      <c r="BB165" s="44">
        <v>0.28847235475900102</v>
      </c>
      <c r="BC165" s="44">
        <v>3.3550939413664299E-2</v>
      </c>
      <c r="BD165" s="44">
        <v>1.7669697984668602E-2</v>
      </c>
      <c r="BE165" s="46">
        <v>0.22033405587820801</v>
      </c>
      <c r="BF165" s="70">
        <v>83824</v>
      </c>
      <c r="BG165" s="71">
        <v>43782</v>
      </c>
      <c r="BH165" s="71">
        <v>34317</v>
      </c>
      <c r="BI165" s="71">
        <v>16942</v>
      </c>
      <c r="BJ165" s="72">
        <v>0.52230864668829902</v>
      </c>
      <c r="BK165" s="72">
        <v>0.40939349112425999</v>
      </c>
      <c r="BL165" s="72">
        <v>0.20211395304447399</v>
      </c>
      <c r="BM165" s="72">
        <v>0.112915155564039</v>
      </c>
      <c r="BN165" s="72">
        <v>0.207279538079786</v>
      </c>
      <c r="BO165" s="72">
        <v>0.108167112044283</v>
      </c>
      <c r="BP165" s="72">
        <v>9.3946841000190906E-2</v>
      </c>
      <c r="BQ165" s="73">
        <v>78968</v>
      </c>
      <c r="BR165" s="73">
        <v>108094</v>
      </c>
      <c r="BS165" s="73">
        <v>1100542</v>
      </c>
      <c r="BT165" s="71">
        <v>236939</v>
      </c>
      <c r="BU165" s="71">
        <v>247636</v>
      </c>
      <c r="BV165" s="72">
        <v>4.5146641118600103E-2</v>
      </c>
      <c r="BW165" s="72">
        <v>0.31998691527641498</v>
      </c>
      <c r="BX165" s="72">
        <v>0.31930159239297901</v>
      </c>
      <c r="BY165" s="72">
        <v>2.98979906220588E-2</v>
      </c>
      <c r="BZ165" s="72">
        <v>1.6312215380330002E-2</v>
      </c>
      <c r="CA165" s="74">
        <v>0.21760031062847399</v>
      </c>
      <c r="CB165" s="98">
        <v>16500000</v>
      </c>
      <c r="CC165" s="83"/>
      <c r="CD165" s="83"/>
      <c r="CE165" s="83"/>
      <c r="CF165" s="83"/>
      <c r="CG165" s="99">
        <v>0.24</v>
      </c>
      <c r="CH165" s="99">
        <v>0.48</v>
      </c>
      <c r="CI165" s="90">
        <f t="shared" si="31"/>
        <v>0</v>
      </c>
      <c r="CK165" s="98">
        <v>16500000</v>
      </c>
      <c r="CL165" s="83"/>
      <c r="CM165" s="83"/>
      <c r="CN165" s="83"/>
      <c r="CO165" s="83"/>
      <c r="CP165" s="99">
        <v>0.24</v>
      </c>
      <c r="CQ165" s="99">
        <v>0.48</v>
      </c>
      <c r="CR165" s="90">
        <f t="shared" si="28"/>
        <v>0</v>
      </c>
    </row>
    <row r="166" spans="1:97" ht="37.5" thickTop="1" thickBot="1" x14ac:dyDescent="0.3">
      <c r="A166" s="3" t="s">
        <v>297</v>
      </c>
      <c r="B166" s="3">
        <v>1134</v>
      </c>
      <c r="C166" s="3" t="s">
        <v>200</v>
      </c>
      <c r="D166" s="16">
        <v>45218</v>
      </c>
      <c r="E166" s="16" t="s">
        <v>555</v>
      </c>
      <c r="F166" s="16" t="s">
        <v>677</v>
      </c>
      <c r="G166" s="17">
        <v>19559</v>
      </c>
      <c r="H166" s="17">
        <v>22305</v>
      </c>
      <c r="I166" s="17" t="s">
        <v>584</v>
      </c>
      <c r="J166" s="18"/>
      <c r="K166" s="18" t="s">
        <v>598</v>
      </c>
      <c r="L166" s="18"/>
      <c r="M166" s="18" t="s">
        <v>598</v>
      </c>
      <c r="N166" s="10">
        <v>28642</v>
      </c>
      <c r="O166" s="11">
        <v>13847</v>
      </c>
      <c r="P166" s="11">
        <v>9051</v>
      </c>
      <c r="Q166" s="11">
        <v>3790</v>
      </c>
      <c r="R166" s="12">
        <v>0.48345087633545097</v>
      </c>
      <c r="S166" s="12">
        <v>0.31600446896166501</v>
      </c>
      <c r="T166" s="12">
        <v>0.13232316179037801</v>
      </c>
      <c r="U166" s="12">
        <v>0.16744640737378699</v>
      </c>
      <c r="V166" s="12">
        <v>0.183681307171287</v>
      </c>
      <c r="W166" s="12">
        <v>8.6446477201312794E-2</v>
      </c>
      <c r="X166" s="12">
        <v>4.5876684589064999E-2</v>
      </c>
      <c r="Y166" s="13">
        <v>72126</v>
      </c>
      <c r="Z166" s="13">
        <v>86747</v>
      </c>
      <c r="AA166" s="13">
        <v>474813</v>
      </c>
      <c r="AB166" s="11">
        <v>85177</v>
      </c>
      <c r="AC166" s="11">
        <v>86203</v>
      </c>
      <c r="AD166" s="12">
        <v>1.2045505242025399E-2</v>
      </c>
      <c r="AE166" s="12">
        <v>0.26928540985935501</v>
      </c>
      <c r="AF166" s="12">
        <v>0.44993366753935898</v>
      </c>
      <c r="AG166" s="12">
        <v>6.0262746985688599E-2</v>
      </c>
      <c r="AH166" s="12">
        <v>3.0289866982870998E-2</v>
      </c>
      <c r="AI166" s="14">
        <v>0.208107822534252</v>
      </c>
      <c r="AJ166" s="4">
        <v>71588</v>
      </c>
      <c r="AK166" s="5">
        <v>36749</v>
      </c>
      <c r="AL166" s="5">
        <v>24776</v>
      </c>
      <c r="AM166" s="5">
        <v>12022</v>
      </c>
      <c r="AN166" s="6">
        <v>0.51334022461865103</v>
      </c>
      <c r="AO166" s="6">
        <v>0.34609152371905899</v>
      </c>
      <c r="AP166" s="6">
        <v>0.16793317315751199</v>
      </c>
      <c r="AQ166" s="6">
        <v>0.16724870089959201</v>
      </c>
      <c r="AR166" s="6">
        <v>0.178158350561547</v>
      </c>
      <c r="AS166" s="6">
        <v>9.4429233949823999E-2</v>
      </c>
      <c r="AT166" s="6">
        <v>7.3503939207688399E-2</v>
      </c>
      <c r="AU166" s="7">
        <v>76455</v>
      </c>
      <c r="AV166" s="7">
        <v>96686</v>
      </c>
      <c r="AW166" s="7">
        <v>829497</v>
      </c>
      <c r="AX166" s="5">
        <v>195480</v>
      </c>
      <c r="AY166" s="5">
        <v>197822</v>
      </c>
      <c r="AZ166" s="6">
        <v>1.19807652956824E-2</v>
      </c>
      <c r="BA166" s="6">
        <v>0.31357797757139599</v>
      </c>
      <c r="BB166" s="6">
        <v>0.34708410067526102</v>
      </c>
      <c r="BC166" s="6">
        <v>5.6348475547370602E-2</v>
      </c>
      <c r="BD166" s="6">
        <v>2.79056680990383E-2</v>
      </c>
      <c r="BE166" s="8">
        <v>0.231062001227747</v>
      </c>
      <c r="BF166" s="10">
        <v>100042</v>
      </c>
      <c r="BG166" s="11">
        <v>54179</v>
      </c>
      <c r="BH166" s="11">
        <v>37880</v>
      </c>
      <c r="BI166" s="11">
        <v>19114</v>
      </c>
      <c r="BJ166" s="12">
        <v>0.54156254373163304</v>
      </c>
      <c r="BK166" s="12">
        <v>0.378640970792267</v>
      </c>
      <c r="BL166" s="12">
        <v>0.191059754902941</v>
      </c>
      <c r="BM166" s="12">
        <v>0.16292157293936499</v>
      </c>
      <c r="BN166" s="12">
        <v>0.187581215889326</v>
      </c>
      <c r="BO166" s="12">
        <v>9.8818496231582703E-2</v>
      </c>
      <c r="BP166" s="12">
        <v>9.2241258671358003E-2</v>
      </c>
      <c r="BQ166" s="13">
        <v>79972</v>
      </c>
      <c r="BR166" s="13">
        <v>103711</v>
      </c>
      <c r="BS166" s="13">
        <v>1045899</v>
      </c>
      <c r="BT166" s="11">
        <v>269078</v>
      </c>
      <c r="BU166" s="11">
        <v>271546</v>
      </c>
      <c r="BV166" s="12">
        <v>9.1720616326864297E-3</v>
      </c>
      <c r="BW166" s="12">
        <v>0.34328587877597999</v>
      </c>
      <c r="BX166" s="12">
        <v>0.29896535577044597</v>
      </c>
      <c r="BY166" s="12">
        <v>5.5024937007113202E-2</v>
      </c>
      <c r="BZ166" s="12">
        <v>2.52008711228714E-2</v>
      </c>
      <c r="CA166" s="14">
        <v>0.244605653379318</v>
      </c>
      <c r="CB166" s="98">
        <v>16700000</v>
      </c>
      <c r="CC166" s="83" t="s">
        <v>598</v>
      </c>
      <c r="CD166" s="83" t="s">
        <v>598</v>
      </c>
      <c r="CE166" s="83" t="s">
        <v>598</v>
      </c>
      <c r="CF166" s="83" t="s">
        <v>598</v>
      </c>
      <c r="CG166" s="90" t="str">
        <f t="shared" ref="CG166:CH174" si="34">IFERROR(CC166/$CB166,"")</f>
        <v/>
      </c>
      <c r="CH166" s="90" t="str">
        <f t="shared" si="34"/>
        <v/>
      </c>
      <c r="CI166" s="90" t="str">
        <f t="shared" si="31"/>
        <v/>
      </c>
      <c r="CK166" s="98">
        <v>16700000</v>
      </c>
      <c r="CL166" s="83"/>
      <c r="CM166" s="83"/>
      <c r="CN166" s="83"/>
      <c r="CO166" s="83"/>
      <c r="CP166" s="90"/>
      <c r="CQ166" s="90"/>
      <c r="CR166" s="90"/>
    </row>
    <row r="167" spans="1:97" ht="37.5" thickTop="1" thickBot="1" x14ac:dyDescent="0.3">
      <c r="A167" s="3" t="s">
        <v>297</v>
      </c>
      <c r="B167" s="3">
        <v>1106</v>
      </c>
      <c r="C167" s="3" t="s">
        <v>172</v>
      </c>
      <c r="D167" s="16">
        <v>40647</v>
      </c>
      <c r="E167" s="16" t="s">
        <v>553</v>
      </c>
      <c r="F167" s="16" t="s">
        <v>441</v>
      </c>
      <c r="G167" s="17">
        <v>21199</v>
      </c>
      <c r="H167" s="17">
        <v>24848</v>
      </c>
      <c r="I167" s="17" t="s">
        <v>585</v>
      </c>
      <c r="J167" s="18" t="s">
        <v>581</v>
      </c>
      <c r="K167" s="18" t="s">
        <v>598</v>
      </c>
      <c r="L167" s="18" t="s">
        <v>519</v>
      </c>
      <c r="M167" s="18" t="s">
        <v>598</v>
      </c>
      <c r="N167" s="10">
        <v>100421</v>
      </c>
      <c r="O167" s="11">
        <v>61645</v>
      </c>
      <c r="P167" s="11">
        <v>48924</v>
      </c>
      <c r="Q167" s="11">
        <v>29880</v>
      </c>
      <c r="R167" s="12">
        <v>0.613865625715737</v>
      </c>
      <c r="S167" s="12">
        <v>0.48718893458539497</v>
      </c>
      <c r="T167" s="12">
        <v>0.29754732575855602</v>
      </c>
      <c r="U167" s="12">
        <v>0.126676691130341</v>
      </c>
      <c r="V167" s="12">
        <v>0.189641608826839</v>
      </c>
      <c r="W167" s="12">
        <v>0.114019975901455</v>
      </c>
      <c r="X167" s="12">
        <v>0.18352734985710201</v>
      </c>
      <c r="Y167" s="13">
        <v>96821</v>
      </c>
      <c r="Z167" s="13">
        <v>133752</v>
      </c>
      <c r="AA167" s="13">
        <v>1241108</v>
      </c>
      <c r="AB167" s="11">
        <v>268589</v>
      </c>
      <c r="AC167" s="11">
        <v>268655</v>
      </c>
      <c r="AD167" s="12">
        <v>2.45728603926445E-4</v>
      </c>
      <c r="AE167" s="12">
        <v>0.48514383788124499</v>
      </c>
      <c r="AF167" s="12">
        <v>0.28718972109803498</v>
      </c>
      <c r="AG167" s="12">
        <v>0.22386620449832301</v>
      </c>
      <c r="AH167" s="12">
        <v>7.1693181775873194E-2</v>
      </c>
      <c r="AI167" s="14">
        <v>0.25270208385302501</v>
      </c>
      <c r="AJ167" s="4">
        <v>207129</v>
      </c>
      <c r="AK167" s="5">
        <v>117719</v>
      </c>
      <c r="AL167" s="5">
        <v>91230</v>
      </c>
      <c r="AM167" s="5">
        <v>53280</v>
      </c>
      <c r="AN167" s="6">
        <v>0.56833664045111998</v>
      </c>
      <c r="AO167" s="6">
        <v>0.44045015425169798</v>
      </c>
      <c r="AP167" s="6">
        <v>0.25723100097041002</v>
      </c>
      <c r="AQ167" s="6">
        <v>0.127886486199422</v>
      </c>
      <c r="AR167" s="6">
        <v>0.18321915328128799</v>
      </c>
      <c r="AS167" s="6">
        <v>0.10275239102202</v>
      </c>
      <c r="AT167" s="6">
        <v>0.15447860994838999</v>
      </c>
      <c r="AU167" s="7">
        <v>86671</v>
      </c>
      <c r="AV167" s="7">
        <v>122788</v>
      </c>
      <c r="AW167" s="7">
        <v>1090631</v>
      </c>
      <c r="AX167" s="5">
        <v>582566</v>
      </c>
      <c r="AY167" s="5">
        <v>585158</v>
      </c>
      <c r="AZ167" s="6">
        <v>4.4492812831507496E-3</v>
      </c>
      <c r="BA167" s="6">
        <v>0.42804486309650103</v>
      </c>
      <c r="BB167" s="6">
        <v>0.35593735302094498</v>
      </c>
      <c r="BC167" s="6">
        <v>0.20219683263355601</v>
      </c>
      <c r="BD167" s="6">
        <v>0.105958809817257</v>
      </c>
      <c r="BE167" s="8">
        <v>0.24373204066148699</v>
      </c>
      <c r="BF167" s="10">
        <v>331382</v>
      </c>
      <c r="BG167" s="11">
        <v>176376</v>
      </c>
      <c r="BH167" s="11">
        <v>133764</v>
      </c>
      <c r="BI167" s="11">
        <v>75047</v>
      </c>
      <c r="BJ167" s="12">
        <v>0.53224375494142695</v>
      </c>
      <c r="BK167" s="12">
        <v>0.40365499634862501</v>
      </c>
      <c r="BL167" s="12">
        <v>0.22646673627414901</v>
      </c>
      <c r="BM167" s="12">
        <v>0.128588758592802</v>
      </c>
      <c r="BN167" s="12">
        <v>0.177188260074476</v>
      </c>
      <c r="BO167" s="12">
        <v>9.4030454279351305E-2</v>
      </c>
      <c r="BP167" s="12">
        <v>0.13243628199479801</v>
      </c>
      <c r="BQ167" s="13">
        <v>80040</v>
      </c>
      <c r="BR167" s="13">
        <v>113776</v>
      </c>
      <c r="BS167" s="13">
        <v>1039404</v>
      </c>
      <c r="BT167" s="11">
        <v>979249</v>
      </c>
      <c r="BU167" s="11">
        <v>984676</v>
      </c>
      <c r="BV167" s="12">
        <v>5.5420020852714703E-3</v>
      </c>
      <c r="BW167" s="12">
        <v>0.36948262400706999</v>
      </c>
      <c r="BX167" s="12">
        <v>0.388808158088494</v>
      </c>
      <c r="BY167" s="12">
        <v>0.16767849648046601</v>
      </c>
      <c r="BZ167" s="12">
        <v>0.18262974994102599</v>
      </c>
      <c r="CA167" s="14">
        <v>0.238543005915758</v>
      </c>
      <c r="CB167" s="86">
        <f>IF(SUM(CC167:CF167)=0,"",SUM(CC167:CF167))</f>
        <v>31170522.123498872</v>
      </c>
      <c r="CC167" s="83">
        <v>10077073.945832999</v>
      </c>
      <c r="CD167" s="83">
        <v>16120044.199999301</v>
      </c>
      <c r="CE167" s="83">
        <v>3440207.7799999001</v>
      </c>
      <c r="CF167" s="83">
        <v>1533196.19766667</v>
      </c>
      <c r="CG167" s="90">
        <f t="shared" si="34"/>
        <v>0.32328858355042062</v>
      </c>
      <c r="CH167" s="90">
        <f t="shared" si="34"/>
        <v>0.51715669490973015</v>
      </c>
      <c r="CI167" s="90">
        <f t="shared" si="31"/>
        <v>0.11036734535179288</v>
      </c>
      <c r="CK167" s="86">
        <f t="shared" si="27"/>
        <v>28505064</v>
      </c>
      <c r="CL167" s="83">
        <v>8832793</v>
      </c>
      <c r="CM167" s="83">
        <v>14935582</v>
      </c>
      <c r="CN167" s="83">
        <v>3316957</v>
      </c>
      <c r="CO167" s="83">
        <v>1419732</v>
      </c>
      <c r="CP167" s="90">
        <f t="shared" si="28"/>
        <v>0.3098675028408987</v>
      </c>
      <c r="CQ167" s="90">
        <f t="shared" si="28"/>
        <v>0.52396240892495449</v>
      </c>
      <c r="CR167" s="90">
        <f t="shared" si="28"/>
        <v>0.11636378013394393</v>
      </c>
    </row>
    <row r="168" spans="1:97" ht="37.5" thickTop="1" thickBot="1" x14ac:dyDescent="0.3">
      <c r="A168" s="3" t="s">
        <v>297</v>
      </c>
      <c r="B168" s="3">
        <v>1102</v>
      </c>
      <c r="C168" s="3" t="s">
        <v>168</v>
      </c>
      <c r="D168" s="16">
        <v>40465</v>
      </c>
      <c r="E168" s="16" t="s">
        <v>553</v>
      </c>
      <c r="F168" s="16" t="s">
        <v>437</v>
      </c>
      <c r="G168" s="17">
        <v>19847</v>
      </c>
      <c r="H168" s="17">
        <v>22500</v>
      </c>
      <c r="I168" s="17" t="s">
        <v>584</v>
      </c>
      <c r="J168" s="18"/>
      <c r="K168" s="18" t="s">
        <v>598</v>
      </c>
      <c r="L168" s="18" t="s">
        <v>519</v>
      </c>
      <c r="M168" s="18" t="s">
        <v>598</v>
      </c>
      <c r="N168" s="10">
        <v>72703</v>
      </c>
      <c r="O168" s="11">
        <v>37220</v>
      </c>
      <c r="P168" s="11">
        <v>27534</v>
      </c>
      <c r="Q168" s="11">
        <v>13987</v>
      </c>
      <c r="R168" s="12">
        <v>0.51194586193142</v>
      </c>
      <c r="S168" s="12">
        <v>0.37871889743201798</v>
      </c>
      <c r="T168" s="12">
        <v>0.19238545864682299</v>
      </c>
      <c r="U168" s="12">
        <v>0.133226964499402</v>
      </c>
      <c r="V168" s="12">
        <v>0.18633343878519501</v>
      </c>
      <c r="W168" s="12">
        <v>9.3998872123571206E-2</v>
      </c>
      <c r="X168" s="12">
        <v>9.8386586523252106E-2</v>
      </c>
      <c r="Y168" s="13">
        <v>76709</v>
      </c>
      <c r="Z168" s="13">
        <v>101323</v>
      </c>
      <c r="AA168" s="13">
        <v>851316</v>
      </c>
      <c r="AB168" s="11">
        <v>229511</v>
      </c>
      <c r="AC168" s="11">
        <v>232157</v>
      </c>
      <c r="AD168" s="12">
        <v>1.1528859183220001E-2</v>
      </c>
      <c r="AE168" s="12">
        <v>0.34145789172427199</v>
      </c>
      <c r="AF168" s="12">
        <v>0.44157796358344498</v>
      </c>
      <c r="AG168" s="12">
        <v>0.18200870546509801</v>
      </c>
      <c r="AH168" s="12">
        <v>4.7845201319326701E-2</v>
      </c>
      <c r="AI168" s="14">
        <v>0.22949662543407501</v>
      </c>
      <c r="AJ168" s="4">
        <v>173897</v>
      </c>
      <c r="AK168" s="5">
        <v>94218</v>
      </c>
      <c r="AL168" s="5">
        <v>71333</v>
      </c>
      <c r="AM168" s="5">
        <v>37669</v>
      </c>
      <c r="AN168" s="6">
        <v>0.54180348137115697</v>
      </c>
      <c r="AO168" s="6">
        <v>0.41020259118903701</v>
      </c>
      <c r="AP168" s="6">
        <v>0.216616732893609</v>
      </c>
      <c r="AQ168" s="6">
        <v>0.13160089018211901</v>
      </c>
      <c r="AR168" s="6">
        <v>0.19358585829542799</v>
      </c>
      <c r="AS168" s="6">
        <v>0.104446885225162</v>
      </c>
      <c r="AT168" s="6">
        <v>0.112169847668447</v>
      </c>
      <c r="AU168" s="7">
        <v>81493</v>
      </c>
      <c r="AV168" s="7">
        <v>107305</v>
      </c>
      <c r="AW168" s="7">
        <v>992346</v>
      </c>
      <c r="AX168" s="5">
        <v>520113</v>
      </c>
      <c r="AY168" s="5">
        <v>531035</v>
      </c>
      <c r="AZ168" s="6">
        <v>2.0999282848150301E-2</v>
      </c>
      <c r="BA168" s="6">
        <v>0.37304297737702302</v>
      </c>
      <c r="BB168" s="6">
        <v>0.39514874652239002</v>
      </c>
      <c r="BC168" s="6">
        <v>0.169192079413512</v>
      </c>
      <c r="BD168" s="6">
        <v>4.4092341471949403E-2</v>
      </c>
      <c r="BE168" s="8">
        <v>0.238046347620613</v>
      </c>
      <c r="BF168" s="10">
        <v>275912</v>
      </c>
      <c r="BG168" s="11">
        <v>146889</v>
      </c>
      <c r="BH168" s="11">
        <v>111545</v>
      </c>
      <c r="BI168" s="11">
        <v>60480</v>
      </c>
      <c r="BJ168" s="12">
        <v>0.53237626489605405</v>
      </c>
      <c r="BK168" s="12">
        <v>0.40427745078140898</v>
      </c>
      <c r="BL168" s="12">
        <v>0.219200324741222</v>
      </c>
      <c r="BM168" s="12">
        <v>0.12809881411464499</v>
      </c>
      <c r="BN168" s="12">
        <v>0.185077126040187</v>
      </c>
      <c r="BO168" s="12">
        <v>9.9165676012641701E-2</v>
      </c>
      <c r="BP168" s="12">
        <v>0.12003464872858</v>
      </c>
      <c r="BQ168" s="13">
        <v>80085</v>
      </c>
      <c r="BR168" s="13">
        <v>109337</v>
      </c>
      <c r="BS168" s="13">
        <v>1075786</v>
      </c>
      <c r="BT168" s="11">
        <v>846445</v>
      </c>
      <c r="BU168" s="11">
        <v>859617</v>
      </c>
      <c r="BV168" s="12">
        <v>1.55615545014738E-2</v>
      </c>
      <c r="BW168" s="12">
        <v>0.36161157320728798</v>
      </c>
      <c r="BX168" s="12">
        <v>0.44040900471973998</v>
      </c>
      <c r="BY168" s="12">
        <v>0.146474962933209</v>
      </c>
      <c r="BZ168" s="12">
        <v>4.0676003756889102E-2</v>
      </c>
      <c r="CA168" s="14">
        <v>0.233897063601297</v>
      </c>
      <c r="CB168" s="86">
        <f>IF(SUM(CC168:CF168)=0,"",SUM(CC168:CF168))</f>
        <v>19969869.766665909</v>
      </c>
      <c r="CC168" s="83">
        <v>5630106.0099998396</v>
      </c>
      <c r="CD168" s="83">
        <v>10924940.436666099</v>
      </c>
      <c r="CE168" s="83">
        <v>2538236.6299999598</v>
      </c>
      <c r="CF168" s="83">
        <v>876586.69000000705</v>
      </c>
      <c r="CG168" s="90">
        <f t="shared" si="34"/>
        <v>0.28193003138146255</v>
      </c>
      <c r="CH168" s="90">
        <f t="shared" si="34"/>
        <v>0.54707119096501167</v>
      </c>
      <c r="CI168" s="90">
        <f t="shared" si="31"/>
        <v>0.12710331412560502</v>
      </c>
      <c r="CK168" s="86">
        <f t="shared" si="27"/>
        <v>19387172</v>
      </c>
      <c r="CL168" s="83">
        <v>5136140</v>
      </c>
      <c r="CM168" s="83">
        <v>10814308</v>
      </c>
      <c r="CN168" s="83">
        <v>2424252</v>
      </c>
      <c r="CO168" s="83">
        <v>1012472</v>
      </c>
      <c r="CP168" s="90">
        <f t="shared" si="28"/>
        <v>0.26492466255521951</v>
      </c>
      <c r="CQ168" s="90">
        <f t="shared" si="28"/>
        <v>0.55780739965581361</v>
      </c>
      <c r="CR168" s="90">
        <f t="shared" si="28"/>
        <v>0.12504412711663154</v>
      </c>
    </row>
    <row r="169" spans="1:97" ht="37.5" thickTop="1" thickBot="1" x14ac:dyDescent="0.3">
      <c r="A169" s="3" t="s">
        <v>313</v>
      </c>
      <c r="B169" s="3">
        <v>2703</v>
      </c>
      <c r="C169" s="3" t="s">
        <v>276</v>
      </c>
      <c r="D169" s="16">
        <v>44833</v>
      </c>
      <c r="E169" s="16" t="s">
        <v>580</v>
      </c>
      <c r="F169" s="16" t="s">
        <v>647</v>
      </c>
      <c r="G169" s="17">
        <v>25838</v>
      </c>
      <c r="H169" s="17">
        <v>34000</v>
      </c>
      <c r="I169" s="17" t="s">
        <v>585</v>
      </c>
      <c r="J169" s="18" t="s">
        <v>581</v>
      </c>
      <c r="K169" s="18" t="s">
        <v>519</v>
      </c>
      <c r="L169" s="18"/>
      <c r="M169" s="18" t="s">
        <v>598</v>
      </c>
      <c r="N169" s="10">
        <v>26362</v>
      </c>
      <c r="O169" s="11">
        <v>17260</v>
      </c>
      <c r="P169" s="11">
        <v>14418</v>
      </c>
      <c r="Q169" s="11">
        <v>8983</v>
      </c>
      <c r="R169" s="12">
        <v>0.65473029360443102</v>
      </c>
      <c r="S169" s="12">
        <v>0.546923602154616</v>
      </c>
      <c r="T169" s="12">
        <v>0.34075563310826201</v>
      </c>
      <c r="U169" s="12">
        <v>0.107806691449814</v>
      </c>
      <c r="V169" s="12">
        <v>0.20616796904635501</v>
      </c>
      <c r="W169" s="12">
        <v>0.14122600713147701</v>
      </c>
      <c r="X169" s="12">
        <v>0.199529625976785</v>
      </c>
      <c r="Y169" s="13">
        <v>107997</v>
      </c>
      <c r="Z169" s="13">
        <v>138846</v>
      </c>
      <c r="AA169" s="13">
        <v>1809038</v>
      </c>
      <c r="AB169" s="11">
        <v>68858</v>
      </c>
      <c r="AC169" s="11">
        <v>77809</v>
      </c>
      <c r="AD169" s="12">
        <v>0.12999215777397</v>
      </c>
      <c r="AE169" s="12">
        <v>0.66709341434306202</v>
      </c>
      <c r="AF169" s="12">
        <v>4.2478724331232398E-2</v>
      </c>
      <c r="AG169" s="12">
        <v>6.9970083359958204E-2</v>
      </c>
      <c r="AH169" s="12">
        <v>3.4200819076941003E-2</v>
      </c>
      <c r="AI169" s="14">
        <v>0.24852595195910401</v>
      </c>
      <c r="AJ169" s="4">
        <v>54696</v>
      </c>
      <c r="AK169" s="5">
        <v>35774</v>
      </c>
      <c r="AL169" s="5">
        <v>29641</v>
      </c>
      <c r="AM169" s="5">
        <v>18395</v>
      </c>
      <c r="AN169" s="6">
        <v>0.65405148456925599</v>
      </c>
      <c r="AO169" s="6">
        <v>0.54192262688313597</v>
      </c>
      <c r="AP169" s="6">
        <v>0.33631344156793902</v>
      </c>
      <c r="AQ169" s="6">
        <v>0.11212885768612001</v>
      </c>
      <c r="AR169" s="6">
        <v>0.20560918531519701</v>
      </c>
      <c r="AS169" s="6">
        <v>0.13560406611086701</v>
      </c>
      <c r="AT169" s="6">
        <v>0.20070937545707199</v>
      </c>
      <c r="AU169" s="7">
        <v>107084</v>
      </c>
      <c r="AV169" s="7">
        <v>138773</v>
      </c>
      <c r="AW169" s="7">
        <v>1793969</v>
      </c>
      <c r="AX169" s="5">
        <v>144952</v>
      </c>
      <c r="AY169" s="5">
        <v>163117</v>
      </c>
      <c r="AZ169" s="6">
        <v>0.12531734643192199</v>
      </c>
      <c r="BA169" s="6">
        <v>0.64181814409030502</v>
      </c>
      <c r="BB169" s="6">
        <v>4.3876593630995102E-2</v>
      </c>
      <c r="BC169" s="6">
        <v>8.0902643633754601E-2</v>
      </c>
      <c r="BD169" s="6">
        <v>3.3245488161598301E-2</v>
      </c>
      <c r="BE169" s="8">
        <v>0.24695071471935501</v>
      </c>
      <c r="BF169" s="10">
        <v>101020</v>
      </c>
      <c r="BG169" s="11">
        <v>60875</v>
      </c>
      <c r="BH169" s="11">
        <v>48975</v>
      </c>
      <c r="BI169" s="11">
        <v>28644</v>
      </c>
      <c r="BJ169" s="12">
        <v>0.60260344486240303</v>
      </c>
      <c r="BK169" s="12">
        <v>0.48480498911106701</v>
      </c>
      <c r="BL169" s="12">
        <v>0.28354781231439302</v>
      </c>
      <c r="BM169" s="12">
        <v>0.117798455751336</v>
      </c>
      <c r="BN169" s="12">
        <v>0.20125717679667399</v>
      </c>
      <c r="BO169" s="12">
        <v>0.115838447832112</v>
      </c>
      <c r="BP169" s="12">
        <v>0.16770936448228099</v>
      </c>
      <c r="BQ169" s="13">
        <v>96002</v>
      </c>
      <c r="BR169" s="13">
        <v>126719</v>
      </c>
      <c r="BS169" s="13">
        <v>1493366</v>
      </c>
      <c r="BT169" s="11">
        <v>256363</v>
      </c>
      <c r="BU169" s="11">
        <v>285346</v>
      </c>
      <c r="BV169" s="12">
        <v>0.113054535950976</v>
      </c>
      <c r="BW169" s="12">
        <v>0.61239073566005198</v>
      </c>
      <c r="BX169" s="12">
        <v>5.5226378221506202E-2</v>
      </c>
      <c r="BY169" s="12">
        <v>7.7593100408405294E-2</v>
      </c>
      <c r="BZ169" s="12">
        <v>5.0822466580590801E-2</v>
      </c>
      <c r="CA169" s="14">
        <v>0.236644913657587</v>
      </c>
      <c r="CB169" s="98">
        <v>25000000</v>
      </c>
      <c r="CC169" s="83" t="s">
        <v>598</v>
      </c>
      <c r="CD169" s="83" t="s">
        <v>598</v>
      </c>
      <c r="CE169" s="83" t="s">
        <v>598</v>
      </c>
      <c r="CF169" s="83" t="s">
        <v>598</v>
      </c>
      <c r="CG169" s="90" t="str">
        <f t="shared" si="34"/>
        <v/>
      </c>
      <c r="CH169" s="90" t="str">
        <f t="shared" si="34"/>
        <v/>
      </c>
      <c r="CI169" s="90" t="str">
        <f t="shared" si="31"/>
        <v/>
      </c>
      <c r="CK169" s="86">
        <f t="shared" si="27"/>
        <v>21370699</v>
      </c>
      <c r="CL169" s="83">
        <v>8201873</v>
      </c>
      <c r="CM169" s="83">
        <v>8583187</v>
      </c>
      <c r="CN169" s="83">
        <v>3606208</v>
      </c>
      <c r="CO169" s="83">
        <v>979431</v>
      </c>
      <c r="CP169" s="90">
        <f t="shared" si="28"/>
        <v>0.38379058167446933</v>
      </c>
      <c r="CQ169" s="90">
        <f t="shared" si="28"/>
        <v>0.40163342340837799</v>
      </c>
      <c r="CR169" s="90">
        <f t="shared" si="28"/>
        <v>0.16874543972567299</v>
      </c>
      <c r="CS169" s="153">
        <f>CK169/CB169-1</f>
        <v>-0.14517203999999995</v>
      </c>
    </row>
    <row r="170" spans="1:97" ht="49.5" thickTop="1" thickBot="1" x14ac:dyDescent="0.3">
      <c r="A170" s="3" t="s">
        <v>292</v>
      </c>
      <c r="B170" s="3">
        <v>606</v>
      </c>
      <c r="C170" s="3" t="s">
        <v>98</v>
      </c>
      <c r="D170" s="16">
        <v>37748</v>
      </c>
      <c r="E170" s="16" t="s">
        <v>537</v>
      </c>
      <c r="F170" s="16" t="s">
        <v>378</v>
      </c>
      <c r="G170" s="17">
        <v>8889</v>
      </c>
      <c r="H170" s="17">
        <v>11248</v>
      </c>
      <c r="I170" s="17" t="s">
        <v>583</v>
      </c>
      <c r="J170" s="18"/>
      <c r="K170" s="18" t="s">
        <v>598</v>
      </c>
      <c r="L170" s="18"/>
      <c r="M170" s="18" t="s">
        <v>598</v>
      </c>
      <c r="N170" s="10">
        <v>32956</v>
      </c>
      <c r="O170" s="11">
        <v>14572</v>
      </c>
      <c r="P170" s="11">
        <v>10373</v>
      </c>
      <c r="Q170" s="11">
        <v>4910</v>
      </c>
      <c r="R170" s="12">
        <v>0.44216531132419001</v>
      </c>
      <c r="S170" s="12">
        <v>0.31475300400534001</v>
      </c>
      <c r="T170" s="12">
        <v>0.1489865274912</v>
      </c>
      <c r="U170" s="12">
        <v>0.12741230731884901</v>
      </c>
      <c r="V170" s="12">
        <v>0.16576647651414</v>
      </c>
      <c r="W170" s="12">
        <v>8.1017113727394105E-2</v>
      </c>
      <c r="X170" s="12">
        <v>6.7969413763806302E-2</v>
      </c>
      <c r="Y170" s="13">
        <v>64393</v>
      </c>
      <c r="Z170" s="13">
        <v>88834</v>
      </c>
      <c r="AA170" s="13">
        <v>769660</v>
      </c>
      <c r="AB170" s="11">
        <v>77073</v>
      </c>
      <c r="AC170" s="11">
        <v>84514</v>
      </c>
      <c r="AD170" s="12">
        <v>9.6544834118303405E-2</v>
      </c>
      <c r="AE170" s="12">
        <v>0.58188011177058496</v>
      </c>
      <c r="AF170" s="12">
        <v>0.125426543666394</v>
      </c>
      <c r="AG170" s="12">
        <v>0.109766065937488</v>
      </c>
      <c r="AH170" s="12">
        <v>0.14635475458331701</v>
      </c>
      <c r="AI170" s="14">
        <v>0.18688775576401601</v>
      </c>
      <c r="AJ170" s="4">
        <v>73310</v>
      </c>
      <c r="AK170" s="5">
        <v>36508</v>
      </c>
      <c r="AL170" s="5">
        <v>27361</v>
      </c>
      <c r="AM170" s="5">
        <v>14393</v>
      </c>
      <c r="AN170" s="6">
        <v>0.49799481653253302</v>
      </c>
      <c r="AO170" s="6">
        <v>0.37322329832219298</v>
      </c>
      <c r="AP170" s="6">
        <v>0.19633065066157401</v>
      </c>
      <c r="AQ170" s="6">
        <v>0.12477151821033999</v>
      </c>
      <c r="AR170" s="6">
        <v>0.17689264766061899</v>
      </c>
      <c r="AS170" s="6">
        <v>9.3929886782157995E-2</v>
      </c>
      <c r="AT170" s="6">
        <v>0.102400763879416</v>
      </c>
      <c r="AU170" s="7">
        <v>74567</v>
      </c>
      <c r="AV170" s="7">
        <v>101904</v>
      </c>
      <c r="AW170" s="7">
        <v>940096</v>
      </c>
      <c r="AX170" s="5">
        <v>185146</v>
      </c>
      <c r="AY170" s="5">
        <v>200997</v>
      </c>
      <c r="AZ170" s="6">
        <v>8.56135158199475E-2</v>
      </c>
      <c r="BA170" s="6">
        <v>0.61260107346995696</v>
      </c>
      <c r="BB170" s="6">
        <v>0.10270273189807</v>
      </c>
      <c r="BC170" s="6">
        <v>0.10695343134607301</v>
      </c>
      <c r="BD170" s="6">
        <v>0.13556328519114599</v>
      </c>
      <c r="BE170" s="8">
        <v>0.201030538061854</v>
      </c>
      <c r="BF170" s="10">
        <v>137264</v>
      </c>
      <c r="BG170" s="11">
        <v>73680</v>
      </c>
      <c r="BH170" s="11">
        <v>56575</v>
      </c>
      <c r="BI170" s="11">
        <v>31936</v>
      </c>
      <c r="BJ170" s="12">
        <v>0.53677584800093203</v>
      </c>
      <c r="BK170" s="12">
        <v>0.41216196526401699</v>
      </c>
      <c r="BL170" s="12">
        <v>0.232661149318102</v>
      </c>
      <c r="BM170" s="12">
        <v>0.124613882736916</v>
      </c>
      <c r="BN170" s="12">
        <v>0.17950081594591399</v>
      </c>
      <c r="BO170" s="12">
        <v>0.10538087189649099</v>
      </c>
      <c r="BP170" s="12">
        <v>0.12728027742161099</v>
      </c>
      <c r="BQ170" s="13">
        <v>81034</v>
      </c>
      <c r="BR170" s="13">
        <v>111922</v>
      </c>
      <c r="BS170" s="13">
        <v>1049578</v>
      </c>
      <c r="BT170" s="11">
        <v>341699</v>
      </c>
      <c r="BU170" s="11">
        <v>374271</v>
      </c>
      <c r="BV170" s="12">
        <v>9.5323662053444697E-2</v>
      </c>
      <c r="BW170" s="12">
        <v>0.61569662689697802</v>
      </c>
      <c r="BX170" s="12">
        <v>9.5616317285095995E-2</v>
      </c>
      <c r="BY170" s="12">
        <v>0.103117070872317</v>
      </c>
      <c r="BZ170" s="12">
        <v>0.16708857795896401</v>
      </c>
      <c r="CA170" s="14">
        <v>0.21677558318871301</v>
      </c>
      <c r="CB170" s="86">
        <f>IF(SUM(CC170:CF170)=0,"",SUM(CC170:CF170))</f>
        <v>11047638.239999734</v>
      </c>
      <c r="CC170" s="83">
        <v>7772042.5499997698</v>
      </c>
      <c r="CD170" s="83">
        <v>119059.57</v>
      </c>
      <c r="CE170" s="83">
        <v>2522997.0899999598</v>
      </c>
      <c r="CF170" s="83">
        <v>633539.03000000399</v>
      </c>
      <c r="CG170" s="90">
        <f t="shared" si="34"/>
        <v>0.70350262935473862</v>
      </c>
      <c r="CH170" s="90">
        <f t="shared" si="34"/>
        <v>1.0776925114086906E-2</v>
      </c>
      <c r="CI170" s="90">
        <f t="shared" si="31"/>
        <v>0.22837433985347627</v>
      </c>
      <c r="CK170" s="86">
        <f t="shared" si="27"/>
        <v>11024071</v>
      </c>
      <c r="CL170" s="83">
        <v>7731129</v>
      </c>
      <c r="CM170" s="83">
        <v>136436</v>
      </c>
      <c r="CN170" s="83">
        <v>2499836</v>
      </c>
      <c r="CO170" s="83">
        <v>656670</v>
      </c>
      <c r="CP170" s="90">
        <f t="shared" si="28"/>
        <v>0.70129528374771899</v>
      </c>
      <c r="CQ170" s="90">
        <f t="shared" si="28"/>
        <v>1.2376190247686178E-2</v>
      </c>
      <c r="CR170" s="90">
        <f t="shared" si="28"/>
        <v>0.22676160195267248</v>
      </c>
    </row>
    <row r="171" spans="1:97" ht="37.5" thickTop="1" thickBot="1" x14ac:dyDescent="0.3">
      <c r="A171" s="3" t="s">
        <v>309</v>
      </c>
      <c r="B171" s="3">
        <v>2303</v>
      </c>
      <c r="C171" s="3" t="s">
        <v>265</v>
      </c>
      <c r="D171" s="16">
        <v>44798</v>
      </c>
      <c r="E171" s="16" t="s">
        <v>576</v>
      </c>
      <c r="F171" s="16" t="s">
        <v>663</v>
      </c>
      <c r="G171" s="17">
        <v>28486</v>
      </c>
      <c r="H171" s="17">
        <v>35943</v>
      </c>
      <c r="I171" s="17" t="s">
        <v>585</v>
      </c>
      <c r="J171" s="18"/>
      <c r="K171" s="18" t="s">
        <v>598</v>
      </c>
      <c r="L171" s="18" t="s">
        <v>519</v>
      </c>
      <c r="M171" s="18" t="s">
        <v>598</v>
      </c>
      <c r="N171" s="10">
        <v>44932</v>
      </c>
      <c r="O171" s="11">
        <v>26755</v>
      </c>
      <c r="P171" s="11">
        <v>20317</v>
      </c>
      <c r="Q171" s="11">
        <v>10161</v>
      </c>
      <c r="R171" s="12">
        <v>0.59545535475830103</v>
      </c>
      <c r="S171" s="12">
        <v>0.45217217128104698</v>
      </c>
      <c r="T171" s="12">
        <v>0.22614172527374701</v>
      </c>
      <c r="U171" s="12">
        <v>0.14328318347725499</v>
      </c>
      <c r="V171" s="12">
        <v>0.22603044600729999</v>
      </c>
      <c r="W171" s="12">
        <v>0.110500311581946</v>
      </c>
      <c r="X171" s="12">
        <v>0.115641413691801</v>
      </c>
      <c r="Y171" s="13">
        <v>90021</v>
      </c>
      <c r="Z171" s="13">
        <v>114021</v>
      </c>
      <c r="AA171" s="13">
        <v>1357729</v>
      </c>
      <c r="AB171" s="11">
        <v>112388</v>
      </c>
      <c r="AC171" s="11">
        <v>116009</v>
      </c>
      <c r="AD171" s="12">
        <v>3.2218742214471303E-2</v>
      </c>
      <c r="AE171" s="12">
        <v>0.471984047856431</v>
      </c>
      <c r="AF171" s="12">
        <v>0.17233156564757801</v>
      </c>
      <c r="AG171" s="12">
        <v>4.5289532690322799E-2</v>
      </c>
      <c r="AH171" s="12">
        <v>1.5793501085525099E-2</v>
      </c>
      <c r="AI171" s="14">
        <v>0.26189628785991398</v>
      </c>
      <c r="AJ171" s="4">
        <v>106175</v>
      </c>
      <c r="AK171" s="5">
        <v>61111</v>
      </c>
      <c r="AL171" s="5">
        <v>46355</v>
      </c>
      <c r="AM171" s="5">
        <v>23300</v>
      </c>
      <c r="AN171" s="6">
        <v>0.57556863668471903</v>
      </c>
      <c r="AO171" s="6">
        <v>0.43659053449493801</v>
      </c>
      <c r="AP171" s="6">
        <v>0.21944902283965201</v>
      </c>
      <c r="AQ171" s="6">
        <v>0.13897810218978099</v>
      </c>
      <c r="AR171" s="6">
        <v>0.217141511655286</v>
      </c>
      <c r="AS171" s="6">
        <v>0.102406404520838</v>
      </c>
      <c r="AT171" s="6">
        <v>0.117042618318813</v>
      </c>
      <c r="AU171" s="7">
        <v>86834</v>
      </c>
      <c r="AV171" s="7">
        <v>112878</v>
      </c>
      <c r="AW171" s="7">
        <v>1414923</v>
      </c>
      <c r="AX171" s="5">
        <v>265340</v>
      </c>
      <c r="AY171" s="5">
        <v>275303</v>
      </c>
      <c r="AZ171" s="6">
        <v>3.75480515564936E-2</v>
      </c>
      <c r="BA171" s="6">
        <v>0.45761969355494198</v>
      </c>
      <c r="BB171" s="6">
        <v>0.21276098590487699</v>
      </c>
      <c r="BC171" s="6">
        <v>4.1723826034521697E-2</v>
      </c>
      <c r="BD171" s="6">
        <v>1.54895605638049E-2</v>
      </c>
      <c r="BE171" s="8">
        <v>0.26653727293284102</v>
      </c>
      <c r="BF171" s="10">
        <v>185615</v>
      </c>
      <c r="BG171" s="11">
        <v>100378</v>
      </c>
      <c r="BH171" s="11">
        <v>75650</v>
      </c>
      <c r="BI171" s="11">
        <v>38066</v>
      </c>
      <c r="BJ171" s="12">
        <v>0.54078603561134597</v>
      </c>
      <c r="BK171" s="12">
        <v>0.40756404385421402</v>
      </c>
      <c r="BL171" s="12">
        <v>0.20508040837216801</v>
      </c>
      <c r="BM171" s="12">
        <v>0.13322199175713201</v>
      </c>
      <c r="BN171" s="12">
        <v>0.20248363548204601</v>
      </c>
      <c r="BO171" s="12">
        <v>9.7335883414594704E-2</v>
      </c>
      <c r="BP171" s="12">
        <v>0.107744524957573</v>
      </c>
      <c r="BQ171" s="13">
        <v>81227</v>
      </c>
      <c r="BR171" s="13">
        <v>107799</v>
      </c>
      <c r="BS171" s="13">
        <v>1235139</v>
      </c>
      <c r="BT171" s="11">
        <v>469067</v>
      </c>
      <c r="BU171" s="11">
        <v>490331</v>
      </c>
      <c r="BV171" s="12">
        <v>4.5332543112177999E-2</v>
      </c>
      <c r="BW171" s="12">
        <v>0.44561592647072301</v>
      </c>
      <c r="BX171" s="12">
        <v>0.26836677915947998</v>
      </c>
      <c r="BY171" s="12">
        <v>4.0827856148482E-2</v>
      </c>
      <c r="BZ171" s="12">
        <v>1.70060993418851E-2</v>
      </c>
      <c r="CA171" s="14">
        <v>0.25312162228423701</v>
      </c>
      <c r="CB171" s="86">
        <f>IF(SUM(CC171:CF171)=0,"",SUM(CC171:CF171))</f>
        <v>20288181.013332531</v>
      </c>
      <c r="CC171" s="83">
        <v>8491441.0083330404</v>
      </c>
      <c r="CD171" s="83">
        <v>7981725.2349995598</v>
      </c>
      <c r="CE171" s="83">
        <v>2987144.1699999198</v>
      </c>
      <c r="CF171" s="83">
        <v>827870.60000000906</v>
      </c>
      <c r="CG171" s="90">
        <f t="shared" si="34"/>
        <v>0.41854126807883002</v>
      </c>
      <c r="CH171" s="90">
        <f t="shared" si="34"/>
        <v>0.39341748921474573</v>
      </c>
      <c r="CI171" s="90">
        <f t="shared" si="31"/>
        <v>0.14723568209672891</v>
      </c>
      <c r="CK171" s="86">
        <f t="shared" si="27"/>
        <v>21031562</v>
      </c>
      <c r="CL171" s="83">
        <v>8148569</v>
      </c>
      <c r="CM171" s="83">
        <v>8788767</v>
      </c>
      <c r="CN171" s="83">
        <v>3235861</v>
      </c>
      <c r="CO171" s="83">
        <v>858365</v>
      </c>
      <c r="CP171" s="90">
        <f t="shared" si="28"/>
        <v>0.3874447841772285</v>
      </c>
      <c r="CQ171" s="90">
        <f t="shared" si="28"/>
        <v>0.41788465355069682</v>
      </c>
      <c r="CR171" s="90">
        <f t="shared" si="28"/>
        <v>0.1538573787339238</v>
      </c>
      <c r="CS171" s="153">
        <f>CK171/CB171-1</f>
        <v>3.6641086067743078E-2</v>
      </c>
    </row>
    <row r="172" spans="1:97" ht="49.5" thickTop="1" thickBot="1" x14ac:dyDescent="0.3">
      <c r="A172" s="3" t="s">
        <v>297</v>
      </c>
      <c r="B172" s="3">
        <v>1109</v>
      </c>
      <c r="C172" s="3" t="s">
        <v>175</v>
      </c>
      <c r="D172" s="16">
        <v>41018</v>
      </c>
      <c r="E172" s="16" t="s">
        <v>553</v>
      </c>
      <c r="F172" s="16" t="s">
        <v>444</v>
      </c>
      <c r="G172" s="17">
        <v>19796</v>
      </c>
      <c r="H172" s="17">
        <v>24000</v>
      </c>
      <c r="I172" s="17" t="s">
        <v>584</v>
      </c>
      <c r="J172" s="18"/>
      <c r="K172" s="18" t="s">
        <v>598</v>
      </c>
      <c r="L172" s="18" t="s">
        <v>519</v>
      </c>
      <c r="M172" s="18" t="s">
        <v>598</v>
      </c>
      <c r="N172" s="10">
        <v>71854</v>
      </c>
      <c r="O172" s="11">
        <v>38929</v>
      </c>
      <c r="P172" s="11">
        <v>29993</v>
      </c>
      <c r="Q172" s="11">
        <v>16486</v>
      </c>
      <c r="R172" s="12">
        <v>0.54177916330336495</v>
      </c>
      <c r="S172" s="12">
        <v>0.41741587107189598</v>
      </c>
      <c r="T172" s="12">
        <v>0.22943747042614199</v>
      </c>
      <c r="U172" s="12">
        <v>0.124363292231469</v>
      </c>
      <c r="V172" s="12">
        <v>0.187978400645754</v>
      </c>
      <c r="W172" s="12">
        <v>0.104322654271161</v>
      </c>
      <c r="X172" s="12">
        <v>0.12511481615498099</v>
      </c>
      <c r="Y172" s="13">
        <v>81941</v>
      </c>
      <c r="Z172" s="13">
        <v>109333</v>
      </c>
      <c r="AA172" s="13">
        <v>1183749</v>
      </c>
      <c r="AB172" s="11">
        <v>227124</v>
      </c>
      <c r="AC172" s="11">
        <v>230479</v>
      </c>
      <c r="AD172" s="12">
        <v>1.4771666578609E-2</v>
      </c>
      <c r="AE172" s="12">
        <v>0.35466952298288101</v>
      </c>
      <c r="AF172" s="12">
        <v>0.21370264701220501</v>
      </c>
      <c r="AG172" s="12">
        <v>0.39593349888166801</v>
      </c>
      <c r="AH172" s="12">
        <v>1.0822282101407199E-2</v>
      </c>
      <c r="AI172" s="14">
        <v>0.253218506190451</v>
      </c>
      <c r="AJ172" s="4">
        <v>174778</v>
      </c>
      <c r="AK172" s="5">
        <v>97915</v>
      </c>
      <c r="AL172" s="5">
        <v>76182</v>
      </c>
      <c r="AM172" s="5">
        <v>41329</v>
      </c>
      <c r="AN172" s="6">
        <v>0.56022497110620295</v>
      </c>
      <c r="AO172" s="6">
        <v>0.43587865749693899</v>
      </c>
      <c r="AP172" s="6">
        <v>0.23646568790122299</v>
      </c>
      <c r="AQ172" s="6">
        <v>0.124346313609264</v>
      </c>
      <c r="AR172" s="6">
        <v>0.199412969595716</v>
      </c>
      <c r="AS172" s="6">
        <v>0.105093318381032</v>
      </c>
      <c r="AT172" s="6">
        <v>0.13137236952019099</v>
      </c>
      <c r="AU172" s="7">
        <v>85443</v>
      </c>
      <c r="AV172" s="7">
        <v>113891</v>
      </c>
      <c r="AW172" s="7">
        <v>1258042</v>
      </c>
      <c r="AX172" s="5">
        <v>557956</v>
      </c>
      <c r="AY172" s="5">
        <v>564602</v>
      </c>
      <c r="AZ172" s="6">
        <v>1.1911333510169301E-2</v>
      </c>
      <c r="BA172" s="6">
        <v>0.34183546836456102</v>
      </c>
      <c r="BB172" s="6">
        <v>0.28134835004910802</v>
      </c>
      <c r="BC172" s="6">
        <v>0.33373420126318198</v>
      </c>
      <c r="BD172" s="6">
        <v>1.1031335804256999E-2</v>
      </c>
      <c r="BE172" s="8">
        <v>0.24844611403049699</v>
      </c>
      <c r="BF172" s="10">
        <v>313766</v>
      </c>
      <c r="BG172" s="11">
        <v>170093</v>
      </c>
      <c r="BH172" s="11">
        <v>130063</v>
      </c>
      <c r="BI172" s="11">
        <v>67525</v>
      </c>
      <c r="BJ172" s="12">
        <v>0.54210143865173399</v>
      </c>
      <c r="BK172" s="12">
        <v>0.41452228730965102</v>
      </c>
      <c r="BL172" s="12">
        <v>0.21520814874779301</v>
      </c>
      <c r="BM172" s="12">
        <v>0.127579151342083</v>
      </c>
      <c r="BN172" s="12">
        <v>0.19931413856185801</v>
      </c>
      <c r="BO172" s="12">
        <v>0.10188165703103599</v>
      </c>
      <c r="BP172" s="12">
        <v>0.113326491716757</v>
      </c>
      <c r="BQ172" s="13">
        <v>81791</v>
      </c>
      <c r="BR172" s="13">
        <v>108008</v>
      </c>
      <c r="BS172" s="13">
        <v>1053522</v>
      </c>
      <c r="BT172" s="11">
        <v>1050460</v>
      </c>
      <c r="BU172" s="11">
        <v>1064266</v>
      </c>
      <c r="BV172" s="12">
        <v>1.31428136245074E-2</v>
      </c>
      <c r="BW172" s="12">
        <v>0.31018663619394199</v>
      </c>
      <c r="BX172" s="12">
        <v>0.40511204615120999</v>
      </c>
      <c r="BY172" s="12">
        <v>0.25676560744816601</v>
      </c>
      <c r="BZ172" s="12">
        <v>1.55265312339356E-2</v>
      </c>
      <c r="CA172" s="14">
        <v>0.227884926603583</v>
      </c>
      <c r="CB172" s="86">
        <f>IF(SUM(CC172:CF172)=0,"",SUM(CC172:CF172))</f>
        <v>21412958.148332536</v>
      </c>
      <c r="CC172" s="83">
        <v>6792394.14499979</v>
      </c>
      <c r="CD172" s="83">
        <v>10593447.003332799</v>
      </c>
      <c r="CE172" s="83">
        <v>2792724.1899999399</v>
      </c>
      <c r="CF172" s="83">
        <v>1234392.8100000101</v>
      </c>
      <c r="CG172" s="90">
        <f t="shared" si="34"/>
        <v>0.31720951855167778</v>
      </c>
      <c r="CH172" s="90">
        <f t="shared" si="34"/>
        <v>0.4947213238801258</v>
      </c>
      <c r="CI172" s="90">
        <f t="shared" si="31"/>
        <v>0.13042215702539045</v>
      </c>
      <c r="CK172" s="86">
        <f t="shared" si="27"/>
        <v>20953303</v>
      </c>
      <c r="CL172" s="83">
        <v>6586647</v>
      </c>
      <c r="CM172" s="83">
        <v>10409632</v>
      </c>
      <c r="CN172" s="83">
        <v>2785593</v>
      </c>
      <c r="CO172" s="83">
        <v>1171431</v>
      </c>
      <c r="CP172" s="90">
        <f t="shared" si="28"/>
        <v>0.31434886423395875</v>
      </c>
      <c r="CQ172" s="90">
        <f t="shared" si="28"/>
        <v>0.4968014828020193</v>
      </c>
      <c r="CR172" s="90">
        <f t="shared" si="28"/>
        <v>0.13294290642387027</v>
      </c>
    </row>
    <row r="173" spans="1:97" ht="49.5" thickTop="1" thickBot="1" x14ac:dyDescent="0.3">
      <c r="A173" s="3" t="s">
        <v>297</v>
      </c>
      <c r="B173" s="3">
        <v>1104</v>
      </c>
      <c r="C173" s="3" t="s">
        <v>170</v>
      </c>
      <c r="D173" s="16">
        <v>40031</v>
      </c>
      <c r="E173" s="16" t="s">
        <v>553</v>
      </c>
      <c r="F173" s="16" t="s">
        <v>439</v>
      </c>
      <c r="G173" s="17">
        <v>20486</v>
      </c>
      <c r="H173" s="17">
        <v>24500</v>
      </c>
      <c r="I173" s="17" t="s">
        <v>585</v>
      </c>
      <c r="J173" s="18"/>
      <c r="K173" s="18" t="s">
        <v>598</v>
      </c>
      <c r="L173" s="18"/>
      <c r="M173" s="18" t="s">
        <v>598</v>
      </c>
      <c r="N173" s="10">
        <v>35000</v>
      </c>
      <c r="O173" s="11">
        <v>22978</v>
      </c>
      <c r="P173" s="11">
        <v>16437</v>
      </c>
      <c r="Q173" s="11">
        <v>7566</v>
      </c>
      <c r="R173" s="12">
        <v>0.65651428571428605</v>
      </c>
      <c r="S173" s="12">
        <v>0.46962857142857101</v>
      </c>
      <c r="T173" s="12">
        <v>0.21617142857142899</v>
      </c>
      <c r="U173" s="12">
        <v>0.18688571428571399</v>
      </c>
      <c r="V173" s="12">
        <v>0.25345714285714299</v>
      </c>
      <c r="W173" s="12">
        <v>0.122771428571429</v>
      </c>
      <c r="X173" s="12">
        <v>9.3399999999999997E-2</v>
      </c>
      <c r="Y173" s="13">
        <v>94758</v>
      </c>
      <c r="Z173" s="13">
        <v>111383</v>
      </c>
      <c r="AA173" s="13">
        <v>863009</v>
      </c>
      <c r="AB173" s="11">
        <v>110763</v>
      </c>
      <c r="AC173" s="11">
        <v>114700</v>
      </c>
      <c r="AD173" s="12">
        <v>3.5544360481388197E-2</v>
      </c>
      <c r="AE173" s="12">
        <v>0.367503617557211</v>
      </c>
      <c r="AF173" s="12">
        <v>0.45364426749004599</v>
      </c>
      <c r="AG173" s="12">
        <v>0.14805485586341999</v>
      </c>
      <c r="AH173" s="12">
        <v>0.11534537706634899</v>
      </c>
      <c r="AI173" s="14">
        <v>0.21325713460271001</v>
      </c>
      <c r="AJ173" s="4">
        <v>84828</v>
      </c>
      <c r="AK173" s="5">
        <v>51509</v>
      </c>
      <c r="AL173" s="5">
        <v>36160</v>
      </c>
      <c r="AM173" s="5">
        <v>16729</v>
      </c>
      <c r="AN173" s="6">
        <v>0.60721695666525199</v>
      </c>
      <c r="AO173" s="6">
        <v>0.426274343377187</v>
      </c>
      <c r="AP173" s="6">
        <v>0.197210826613854</v>
      </c>
      <c r="AQ173" s="6">
        <v>0.18094261328806499</v>
      </c>
      <c r="AR173" s="6">
        <v>0.229063516763333</v>
      </c>
      <c r="AS173" s="6">
        <v>0.10560192389305401</v>
      </c>
      <c r="AT173" s="6">
        <v>9.1608902720799704E-2</v>
      </c>
      <c r="AU173" s="7">
        <v>87836</v>
      </c>
      <c r="AV173" s="7">
        <v>106928</v>
      </c>
      <c r="AW173" s="7">
        <v>913943</v>
      </c>
      <c r="AX173" s="5">
        <v>285240</v>
      </c>
      <c r="AY173" s="5">
        <v>295480</v>
      </c>
      <c r="AZ173" s="6">
        <v>3.5899593324919397E-2</v>
      </c>
      <c r="BA173" s="6">
        <v>0.30547894148341398</v>
      </c>
      <c r="BB173" s="6">
        <v>0.54037301921189196</v>
      </c>
      <c r="BC173" s="6">
        <v>0.11217220586173</v>
      </c>
      <c r="BD173" s="6">
        <v>9.57123825550414E-2</v>
      </c>
      <c r="BE173" s="8">
        <v>0.21234749684476201</v>
      </c>
      <c r="BF173" s="10">
        <v>152247</v>
      </c>
      <c r="BG173" s="11">
        <v>85175</v>
      </c>
      <c r="BH173" s="11">
        <v>58801</v>
      </c>
      <c r="BI173" s="11">
        <v>25973</v>
      </c>
      <c r="BJ173" s="12">
        <v>0.55945273141671104</v>
      </c>
      <c r="BK173" s="12">
        <v>0.38622107496371</v>
      </c>
      <c r="BL173" s="12">
        <v>0.170597778609759</v>
      </c>
      <c r="BM173" s="12">
        <v>0.17323165645300101</v>
      </c>
      <c r="BN173" s="12">
        <v>0.215623296353951</v>
      </c>
      <c r="BO173" s="12">
        <v>9.2028085939295998E-2</v>
      </c>
      <c r="BP173" s="12">
        <v>7.8569692670463098E-2</v>
      </c>
      <c r="BQ173" s="13">
        <v>81836</v>
      </c>
      <c r="BR173" s="13">
        <v>99426</v>
      </c>
      <c r="BS173" s="13">
        <v>822916</v>
      </c>
      <c r="BT173" s="11">
        <v>530874</v>
      </c>
      <c r="BU173" s="11">
        <v>548992</v>
      </c>
      <c r="BV173" s="12">
        <v>3.4128625624912902E-2</v>
      </c>
      <c r="BW173" s="12">
        <v>0.25861178317831202</v>
      </c>
      <c r="BX173" s="12">
        <v>0.61022954599396495</v>
      </c>
      <c r="BY173" s="12">
        <v>8.9249049680338505E-2</v>
      </c>
      <c r="BZ173" s="12">
        <v>8.2901027362424995E-2</v>
      </c>
      <c r="CA173" s="14">
        <v>0.20611670565897</v>
      </c>
      <c r="CB173" s="86">
        <f>IF(SUM(CC173:CF173)=0,"",SUM(CC173:CF173))</f>
        <v>24134173.830237031</v>
      </c>
      <c r="CC173" s="83">
        <v>5562186.0716664903</v>
      </c>
      <c r="CD173" s="83">
        <v>13907498.4385706</v>
      </c>
      <c r="CE173" s="83">
        <v>2945408.5199999399</v>
      </c>
      <c r="CF173" s="83">
        <v>1719080.8</v>
      </c>
      <c r="CG173" s="90">
        <f t="shared" si="34"/>
        <v>0.23046929680674558</v>
      </c>
      <c r="CH173" s="90">
        <f t="shared" si="34"/>
        <v>0.57625749016302696</v>
      </c>
      <c r="CI173" s="90">
        <f t="shared" si="31"/>
        <v>0.12204306394402945</v>
      </c>
      <c r="CK173" s="86">
        <f t="shared" si="27"/>
        <v>24022207</v>
      </c>
      <c r="CL173" s="83">
        <v>5233092</v>
      </c>
      <c r="CM173" s="83">
        <v>14069811</v>
      </c>
      <c r="CN173" s="83">
        <v>2998005</v>
      </c>
      <c r="CO173" s="83">
        <v>1721299</v>
      </c>
      <c r="CP173" s="90">
        <f t="shared" si="28"/>
        <v>0.21784393082617262</v>
      </c>
      <c r="CQ173" s="90">
        <f t="shared" si="28"/>
        <v>0.58570018150289027</v>
      </c>
      <c r="CR173" s="90">
        <f t="shared" si="28"/>
        <v>0.12480139730708339</v>
      </c>
    </row>
    <row r="174" spans="1:97" ht="37.5" thickTop="1" thickBot="1" x14ac:dyDescent="0.3">
      <c r="A174" s="3" t="s">
        <v>303</v>
      </c>
      <c r="B174" s="3">
        <v>1704</v>
      </c>
      <c r="C174" s="3" t="s">
        <v>242</v>
      </c>
      <c r="D174" s="16">
        <v>42852</v>
      </c>
      <c r="E174" s="16" t="s">
        <v>568</v>
      </c>
      <c r="F174" s="16" t="s">
        <v>496</v>
      </c>
      <c r="G174" s="17">
        <v>22157</v>
      </c>
      <c r="H174" s="17">
        <v>28738</v>
      </c>
      <c r="I174" s="17" t="s">
        <v>585</v>
      </c>
      <c r="J174" s="18"/>
      <c r="K174" s="18" t="s">
        <v>598</v>
      </c>
      <c r="L174" s="18"/>
      <c r="M174" s="18" t="s">
        <v>598</v>
      </c>
      <c r="N174" s="10">
        <v>37987</v>
      </c>
      <c r="O174" s="11">
        <v>19800</v>
      </c>
      <c r="P174" s="11">
        <v>14149</v>
      </c>
      <c r="Q174" s="11">
        <v>7368</v>
      </c>
      <c r="R174" s="12">
        <v>0.52123094742938403</v>
      </c>
      <c r="S174" s="12">
        <v>0.372469529049412</v>
      </c>
      <c r="T174" s="12">
        <v>0.19396109195250999</v>
      </c>
      <c r="U174" s="12">
        <v>0.148761418379972</v>
      </c>
      <c r="V174" s="12">
        <v>0.17850843709690201</v>
      </c>
      <c r="W174" s="12">
        <v>9.3979519309237397E-2</v>
      </c>
      <c r="X174" s="12">
        <v>9.9981572643272704E-2</v>
      </c>
      <c r="Y174" s="13">
        <v>77716</v>
      </c>
      <c r="Z174" s="13">
        <v>100819</v>
      </c>
      <c r="AA174" s="13">
        <v>940967</v>
      </c>
      <c r="AB174" s="11">
        <v>90174</v>
      </c>
      <c r="AC174" s="11">
        <v>92016</v>
      </c>
      <c r="AD174" s="12">
        <v>2.04271741300153E-2</v>
      </c>
      <c r="AE174" s="12">
        <v>0.40771419257327401</v>
      </c>
      <c r="AF174" s="12">
        <v>0.12896178499345701</v>
      </c>
      <c r="AG174" s="12">
        <v>2.9919932574799801E-2</v>
      </c>
      <c r="AH174" s="12">
        <v>4.18413289861823E-2</v>
      </c>
      <c r="AI174" s="14">
        <v>0.26976733870073399</v>
      </c>
      <c r="AJ174" s="4">
        <v>80567</v>
      </c>
      <c r="AK174" s="5">
        <v>44851</v>
      </c>
      <c r="AL174" s="5">
        <v>32990</v>
      </c>
      <c r="AM174" s="5">
        <v>18341</v>
      </c>
      <c r="AN174" s="6">
        <v>0.55669194583390202</v>
      </c>
      <c r="AO174" s="6">
        <v>0.409472861096975</v>
      </c>
      <c r="AP174" s="6">
        <v>0.227649037447094</v>
      </c>
      <c r="AQ174" s="6">
        <v>0.14721908473692699</v>
      </c>
      <c r="AR174" s="6">
        <v>0.18182382364988101</v>
      </c>
      <c r="AS174" s="6">
        <v>0.103925925006516</v>
      </c>
      <c r="AT174" s="6">
        <v>0.123723112440577</v>
      </c>
      <c r="AU174" s="7">
        <v>82938</v>
      </c>
      <c r="AV174" s="7">
        <v>110329</v>
      </c>
      <c r="AW174" s="7">
        <v>1242551</v>
      </c>
      <c r="AX174" s="5">
        <v>198802</v>
      </c>
      <c r="AY174" s="5">
        <v>202497</v>
      </c>
      <c r="AZ174" s="6">
        <v>1.8586332129455398E-2</v>
      </c>
      <c r="BA174" s="6">
        <v>0.43615326225954498</v>
      </c>
      <c r="BB174" s="6">
        <v>0.14624601362159301</v>
      </c>
      <c r="BC174" s="6">
        <v>2.98085532338709E-2</v>
      </c>
      <c r="BD174" s="6">
        <v>4.7363708614601499E-2</v>
      </c>
      <c r="BE174" s="8">
        <v>0.272291023229143</v>
      </c>
      <c r="BF174" s="10">
        <v>137247</v>
      </c>
      <c r="BG174" s="11">
        <v>75337</v>
      </c>
      <c r="BH174" s="11">
        <v>55968</v>
      </c>
      <c r="BI174" s="11">
        <v>32813</v>
      </c>
      <c r="BJ174" s="12">
        <v>0.54891545898999605</v>
      </c>
      <c r="BK174" s="12">
        <v>0.40779033421495597</v>
      </c>
      <c r="BL174" s="12">
        <v>0.239079907028933</v>
      </c>
      <c r="BM174" s="12">
        <v>0.14112512477504099</v>
      </c>
      <c r="BN174" s="12">
        <v>0.168710427186022</v>
      </c>
      <c r="BO174" s="12">
        <v>0.100927524827501</v>
      </c>
      <c r="BP174" s="12">
        <v>0.138152382201432</v>
      </c>
      <c r="BQ174" s="13">
        <v>82091</v>
      </c>
      <c r="BR174" s="13">
        <v>114161</v>
      </c>
      <c r="BS174" s="13">
        <v>1354579</v>
      </c>
      <c r="BT174" s="11">
        <v>354511</v>
      </c>
      <c r="BU174" s="11">
        <v>361307</v>
      </c>
      <c r="BV174" s="12">
        <v>1.9170068065588901E-2</v>
      </c>
      <c r="BW174" s="12">
        <v>0.41820388927236801</v>
      </c>
      <c r="BX174" s="12">
        <v>0.205652292876667</v>
      </c>
      <c r="BY174" s="12">
        <v>3.8949426110896399E-2</v>
      </c>
      <c r="BZ174" s="12">
        <v>6.7219352855059505E-2</v>
      </c>
      <c r="CA174" s="14">
        <v>0.26514551029446198</v>
      </c>
      <c r="CB174" s="86">
        <f>IF(SUM(CC174:CF174)=0,"",SUM(CC174:CF174))</f>
        <v>37523274.489998579</v>
      </c>
      <c r="CC174" s="83">
        <v>16741525.919999501</v>
      </c>
      <c r="CD174" s="83">
        <v>12499766.2399993</v>
      </c>
      <c r="CE174" s="83">
        <v>6809921.8599997796</v>
      </c>
      <c r="CF174" s="83">
        <v>1472060.47</v>
      </c>
      <c r="CG174" s="90">
        <f t="shared" si="34"/>
        <v>0.44616377828277681</v>
      </c>
      <c r="CH174" s="90">
        <f t="shared" si="34"/>
        <v>0.3331203475680401</v>
      </c>
      <c r="CI174" s="90">
        <f t="shared" si="31"/>
        <v>0.18148527687302157</v>
      </c>
      <c r="CK174" s="86">
        <f t="shared" si="27"/>
        <v>36677016</v>
      </c>
      <c r="CL174" s="83">
        <v>16159824</v>
      </c>
      <c r="CM174" s="83">
        <v>12456342</v>
      </c>
      <c r="CN174" s="83">
        <v>6674102</v>
      </c>
      <c r="CO174" s="83">
        <v>1386748</v>
      </c>
      <c r="CP174" s="90">
        <f t="shared" si="28"/>
        <v>0.44059811190746817</v>
      </c>
      <c r="CQ174" s="90">
        <f t="shared" si="28"/>
        <v>0.33962255817103548</v>
      </c>
      <c r="CR174" s="90">
        <f t="shared" si="28"/>
        <v>0.18196960188909589</v>
      </c>
    </row>
    <row r="175" spans="1:97" ht="25.5" thickTop="1" thickBot="1" x14ac:dyDescent="0.3">
      <c r="A175" s="3" t="s">
        <v>302</v>
      </c>
      <c r="B175" s="3" t="s">
        <v>710</v>
      </c>
      <c r="C175" s="3" t="s">
        <v>710</v>
      </c>
      <c r="D175" s="16">
        <v>45547</v>
      </c>
      <c r="E175" s="39" t="s">
        <v>711</v>
      </c>
      <c r="F175" s="16" t="s">
        <v>712</v>
      </c>
      <c r="G175" s="17"/>
      <c r="H175" s="17">
        <v>30492</v>
      </c>
      <c r="I175" s="17" t="s">
        <v>585</v>
      </c>
      <c r="J175" s="18"/>
      <c r="K175" s="18"/>
      <c r="L175" s="18"/>
      <c r="M175" s="18" t="s">
        <v>598</v>
      </c>
      <c r="N175" s="42">
        <v>19135</v>
      </c>
      <c r="O175" s="43">
        <v>9802</v>
      </c>
      <c r="P175" s="43">
        <v>7529</v>
      </c>
      <c r="Q175" s="43">
        <v>4350</v>
      </c>
      <c r="R175" s="44">
        <v>0.51225503004964701</v>
      </c>
      <c r="S175" s="44">
        <v>0.39346746799059301</v>
      </c>
      <c r="T175" s="44">
        <v>0.227332113927358</v>
      </c>
      <c r="U175" s="44">
        <v>0.118787562059054</v>
      </c>
      <c r="V175" s="44">
        <v>0.16613535406323501</v>
      </c>
      <c r="W175" s="44">
        <v>9.1612228899921599E-2</v>
      </c>
      <c r="X175" s="44">
        <v>0.13571988502743701</v>
      </c>
      <c r="Y175" s="45">
        <v>77002</v>
      </c>
      <c r="Z175" s="45">
        <v>117923</v>
      </c>
      <c r="AA175" s="45">
        <v>1169042</v>
      </c>
      <c r="AB175" s="43">
        <v>45428</v>
      </c>
      <c r="AC175" s="43">
        <v>46314</v>
      </c>
      <c r="AD175" s="44">
        <v>1.9503389979748199E-2</v>
      </c>
      <c r="AE175" s="44">
        <v>0.448978298748614</v>
      </c>
      <c r="AF175" s="44">
        <v>9.1749581755745394E-2</v>
      </c>
      <c r="AG175" s="44">
        <v>6.8195826362595802E-2</v>
      </c>
      <c r="AH175" s="44">
        <v>8.1117372545566599E-2</v>
      </c>
      <c r="AI175" s="46">
        <v>0.23644008100730801</v>
      </c>
      <c r="AJ175" s="42">
        <v>38769</v>
      </c>
      <c r="AK175" s="43">
        <v>21146</v>
      </c>
      <c r="AL175" s="43">
        <v>16443</v>
      </c>
      <c r="AM175" s="43">
        <v>8918</v>
      </c>
      <c r="AN175" s="44">
        <v>0.54543578632412504</v>
      </c>
      <c r="AO175" s="44">
        <v>0.42412752456859898</v>
      </c>
      <c r="AP175" s="44">
        <v>0.23002914699889099</v>
      </c>
      <c r="AQ175" s="44">
        <v>0.121308261755526</v>
      </c>
      <c r="AR175" s="44">
        <v>0.19409837756970799</v>
      </c>
      <c r="AS175" s="44">
        <v>0.100131548402074</v>
      </c>
      <c r="AT175" s="44">
        <v>0.12989759859681699</v>
      </c>
      <c r="AU175" s="45">
        <v>82841</v>
      </c>
      <c r="AV175" s="45">
        <v>119269</v>
      </c>
      <c r="AW175" s="45">
        <v>1220198</v>
      </c>
      <c r="AX175" s="43">
        <v>92182</v>
      </c>
      <c r="AY175" s="43">
        <v>93948</v>
      </c>
      <c r="AZ175" s="44">
        <v>1.9157753140526399E-2</v>
      </c>
      <c r="BA175" s="44">
        <v>0.484457969754371</v>
      </c>
      <c r="BB175" s="44">
        <v>7.1738517281031006E-2</v>
      </c>
      <c r="BC175" s="44">
        <v>6.7930832483565101E-2</v>
      </c>
      <c r="BD175" s="44">
        <v>7.4743442320626602E-2</v>
      </c>
      <c r="BE175" s="46">
        <v>0.24203206699789501</v>
      </c>
      <c r="BF175" s="70">
        <v>49147</v>
      </c>
      <c r="BG175" s="71">
        <v>26777</v>
      </c>
      <c r="BH175" s="71">
        <v>20630</v>
      </c>
      <c r="BI175" s="71">
        <v>11055</v>
      </c>
      <c r="BJ175" s="72">
        <v>0.54483488310578498</v>
      </c>
      <c r="BK175" s="72">
        <v>0.41976112478889899</v>
      </c>
      <c r="BL175" s="72">
        <v>0.224937432600159</v>
      </c>
      <c r="BM175" s="72">
        <v>0.125073758316886</v>
      </c>
      <c r="BN175" s="72">
        <v>0.19482369218873999</v>
      </c>
      <c r="BO175" s="72">
        <v>0.10088103037825299</v>
      </c>
      <c r="BP175" s="72">
        <v>0.124056402221906</v>
      </c>
      <c r="BQ175" s="73">
        <v>82450</v>
      </c>
      <c r="BR175" s="73">
        <v>117693</v>
      </c>
      <c r="BS175" s="73">
        <v>1184456</v>
      </c>
      <c r="BT175" s="71">
        <v>118083</v>
      </c>
      <c r="BU175" s="71">
        <v>120438</v>
      </c>
      <c r="BV175" s="72">
        <v>1.9943598993927999E-2</v>
      </c>
      <c r="BW175" s="72">
        <v>0.48023019056560101</v>
      </c>
      <c r="BX175" s="72">
        <v>6.7782830720764201E-2</v>
      </c>
      <c r="BY175" s="72">
        <v>7.2389759745263904E-2</v>
      </c>
      <c r="BZ175" s="72">
        <v>8.3424370993284397E-2</v>
      </c>
      <c r="CA175" s="74">
        <v>0.23895056866780101</v>
      </c>
      <c r="CB175" s="98">
        <v>14000000</v>
      </c>
      <c r="CC175" s="100"/>
      <c r="CD175" s="100"/>
      <c r="CG175" s="99">
        <v>0.4</v>
      </c>
      <c r="CH175" s="99">
        <v>0.4</v>
      </c>
      <c r="CI175" s="90">
        <f t="shared" si="31"/>
        <v>0</v>
      </c>
      <c r="CK175" s="98">
        <v>14000000</v>
      </c>
      <c r="CL175" s="100"/>
      <c r="CM175" s="100"/>
      <c r="CN175" s="84"/>
      <c r="CO175" s="84"/>
      <c r="CP175" s="99">
        <v>0.4</v>
      </c>
      <c r="CQ175" s="99">
        <v>0.4</v>
      </c>
      <c r="CR175" s="90">
        <f t="shared" si="28"/>
        <v>0</v>
      </c>
    </row>
    <row r="176" spans="1:97" ht="37.5" thickTop="1" thickBot="1" x14ac:dyDescent="0.3">
      <c r="A176" s="3" t="s">
        <v>297</v>
      </c>
      <c r="B176" s="3">
        <v>1132</v>
      </c>
      <c r="C176" s="3" t="s">
        <v>198</v>
      </c>
      <c r="D176" s="16">
        <v>44728</v>
      </c>
      <c r="E176" s="16" t="s">
        <v>553</v>
      </c>
      <c r="F176" s="16" t="s">
        <v>661</v>
      </c>
      <c r="G176" s="17">
        <v>25598</v>
      </c>
      <c r="H176" s="17">
        <v>30000</v>
      </c>
      <c r="I176" s="17" t="s">
        <v>585</v>
      </c>
      <c r="J176" s="18"/>
      <c r="K176" s="18" t="s">
        <v>598</v>
      </c>
      <c r="L176" s="18" t="s">
        <v>589</v>
      </c>
      <c r="M176" s="18" t="s">
        <v>598</v>
      </c>
      <c r="N176" s="10">
        <v>34809</v>
      </c>
      <c r="O176" s="11">
        <v>21442</v>
      </c>
      <c r="P176" s="11">
        <v>16913</v>
      </c>
      <c r="Q176" s="11">
        <v>8536</v>
      </c>
      <c r="R176" s="12">
        <v>0.61599011749834798</v>
      </c>
      <c r="S176" s="12">
        <v>0.48588008848286401</v>
      </c>
      <c r="T176" s="12">
        <v>0.245223936338303</v>
      </c>
      <c r="U176" s="12">
        <v>0.13011002901548399</v>
      </c>
      <c r="V176" s="12">
        <v>0.24065615214455999</v>
      </c>
      <c r="W176" s="12">
        <v>0.120715906805711</v>
      </c>
      <c r="X176" s="12">
        <v>0.124508029532592</v>
      </c>
      <c r="Y176" s="13">
        <v>96586</v>
      </c>
      <c r="Z176" s="13">
        <v>116365</v>
      </c>
      <c r="AA176" s="13">
        <v>1442315</v>
      </c>
      <c r="AB176" s="11">
        <v>103046</v>
      </c>
      <c r="AC176" s="11">
        <v>103526</v>
      </c>
      <c r="AD176" s="12">
        <v>4.6581138520660698E-3</v>
      </c>
      <c r="AE176" s="12">
        <v>0.36361313230487802</v>
      </c>
      <c r="AF176" s="12">
        <v>0.38353744929449002</v>
      </c>
      <c r="AG176" s="12">
        <v>0.11308541816276201</v>
      </c>
      <c r="AH176" s="12">
        <v>3.0287444442287901E-2</v>
      </c>
      <c r="AI176" s="14">
        <v>0.26666731362692397</v>
      </c>
      <c r="AJ176" s="4">
        <v>95925</v>
      </c>
      <c r="AK176" s="5">
        <v>53265</v>
      </c>
      <c r="AL176" s="5">
        <v>40079</v>
      </c>
      <c r="AM176" s="5">
        <v>19566</v>
      </c>
      <c r="AN176" s="6">
        <v>0.55527756059421396</v>
      </c>
      <c r="AO176" s="6">
        <v>0.417816002084962</v>
      </c>
      <c r="AP176" s="6">
        <v>0.20397185301016399</v>
      </c>
      <c r="AQ176" s="6">
        <v>0.13746155850925201</v>
      </c>
      <c r="AR176" s="6">
        <v>0.21384414907479801</v>
      </c>
      <c r="AS176" s="6">
        <v>0.102288246025541</v>
      </c>
      <c r="AT176" s="6">
        <v>0.101683606984623</v>
      </c>
      <c r="AU176" s="7">
        <v>83396</v>
      </c>
      <c r="AV176" s="7">
        <v>105972</v>
      </c>
      <c r="AW176" s="7">
        <v>1163475</v>
      </c>
      <c r="AX176" s="5">
        <v>308197</v>
      </c>
      <c r="AY176" s="5">
        <v>310410</v>
      </c>
      <c r="AZ176" s="6">
        <v>7.1804722304240499E-3</v>
      </c>
      <c r="BA176" s="6">
        <v>0.32194238620538901</v>
      </c>
      <c r="BB176" s="6">
        <v>0.49161737460131</v>
      </c>
      <c r="BC176" s="6">
        <v>0.121007018238335</v>
      </c>
      <c r="BD176" s="6">
        <v>4.0136665833865999E-2</v>
      </c>
      <c r="BE176" s="8">
        <v>0.24011589989519699</v>
      </c>
      <c r="BF176" s="10">
        <v>172558</v>
      </c>
      <c r="BG176" s="11">
        <v>95222</v>
      </c>
      <c r="BH176" s="11">
        <v>71194</v>
      </c>
      <c r="BI176" s="11">
        <v>35068</v>
      </c>
      <c r="BJ176" s="12">
        <v>0.55182605268953</v>
      </c>
      <c r="BK176" s="12">
        <v>0.41258011798931399</v>
      </c>
      <c r="BL176" s="12">
        <v>0.203224423092525</v>
      </c>
      <c r="BM176" s="12">
        <v>0.13924593470021701</v>
      </c>
      <c r="BN176" s="12">
        <v>0.20935569489678801</v>
      </c>
      <c r="BO176" s="12">
        <v>0.103217468909005</v>
      </c>
      <c r="BP176" s="12">
        <v>0.100006954183521</v>
      </c>
      <c r="BQ176" s="13">
        <v>82689</v>
      </c>
      <c r="BR176" s="13">
        <v>105226</v>
      </c>
      <c r="BS176" s="13">
        <v>1095427</v>
      </c>
      <c r="BT176" s="11">
        <v>578562</v>
      </c>
      <c r="BU176" s="11">
        <v>583912</v>
      </c>
      <c r="BV176" s="12">
        <v>9.2470642731461803E-3</v>
      </c>
      <c r="BW176" s="12">
        <v>0.32292714812536799</v>
      </c>
      <c r="BX176" s="12">
        <v>0.52817848389628097</v>
      </c>
      <c r="BY176" s="12">
        <v>0.15657094658826501</v>
      </c>
      <c r="BZ176" s="12">
        <v>4.2230564745005701E-2</v>
      </c>
      <c r="CA176" s="14">
        <v>0.23052844811792</v>
      </c>
      <c r="CB176" s="86">
        <f t="shared" ref="CB176:CB188" si="35">IF(SUM(CC176:CF176)=0,"",SUM(CC176:CF176))</f>
        <v>12996846.813635901</v>
      </c>
      <c r="CC176" s="83">
        <v>3732066.72363627</v>
      </c>
      <c r="CD176" s="83">
        <v>6666277.0499996198</v>
      </c>
      <c r="CE176" s="83">
        <v>1693270.12</v>
      </c>
      <c r="CF176" s="83">
        <v>905232.92000001005</v>
      </c>
      <c r="CG176" s="90">
        <f t="shared" ref="CG176:CH191" si="36">IFERROR(CC176/$CB176,"")</f>
        <v>0.28715170511363558</v>
      </c>
      <c r="CH176" s="90">
        <f t="shared" si="36"/>
        <v>0.51291495126383746</v>
      </c>
      <c r="CI176" s="90">
        <f t="shared" si="31"/>
        <v>0.13028314823434498</v>
      </c>
      <c r="CK176" s="86">
        <f t="shared" si="27"/>
        <v>13566856</v>
      </c>
      <c r="CL176" s="83">
        <v>3725142</v>
      </c>
      <c r="CM176" s="83">
        <v>7069443</v>
      </c>
      <c r="CN176" s="83">
        <v>1792243</v>
      </c>
      <c r="CO176" s="83">
        <v>980028</v>
      </c>
      <c r="CP176" s="90">
        <f t="shared" si="28"/>
        <v>0.27457665947069831</v>
      </c>
      <c r="CQ176" s="90">
        <f t="shared" si="28"/>
        <v>0.52108189251806014</v>
      </c>
      <c r="CR176" s="90">
        <f t="shared" si="28"/>
        <v>0.13210452001554376</v>
      </c>
      <c r="CS176" s="153">
        <f>CK176/CB176-1</f>
        <v>4.3857498248426108E-2</v>
      </c>
    </row>
    <row r="177" spans="1:97" ht="49.5" thickTop="1" thickBot="1" x14ac:dyDescent="0.3">
      <c r="A177" s="3" t="s">
        <v>302</v>
      </c>
      <c r="B177" s="3">
        <v>1607</v>
      </c>
      <c r="C177" s="3" t="s">
        <v>236</v>
      </c>
      <c r="D177" s="16">
        <v>42677</v>
      </c>
      <c r="E177" s="16" t="s">
        <v>567</v>
      </c>
      <c r="F177" s="16" t="s">
        <v>491</v>
      </c>
      <c r="G177" s="17">
        <v>20834</v>
      </c>
      <c r="H177" s="17">
        <v>25000</v>
      </c>
      <c r="I177" s="17" t="s">
        <v>585</v>
      </c>
      <c r="J177" s="18"/>
      <c r="K177" s="18" t="s">
        <v>598</v>
      </c>
      <c r="L177" s="18"/>
      <c r="M177" s="18" t="s">
        <v>598</v>
      </c>
      <c r="N177" s="10">
        <v>20090</v>
      </c>
      <c r="O177" s="11">
        <v>11160</v>
      </c>
      <c r="P177" s="11">
        <v>8514</v>
      </c>
      <c r="Q177" s="11">
        <v>4481</v>
      </c>
      <c r="R177" s="12">
        <v>0.55550024888004002</v>
      </c>
      <c r="S177" s="12">
        <v>0.423792931806869</v>
      </c>
      <c r="T177" s="12">
        <v>0.223046291687407</v>
      </c>
      <c r="U177" s="12">
        <v>0.13170731707317099</v>
      </c>
      <c r="V177" s="12">
        <v>0.200746640119462</v>
      </c>
      <c r="W177" s="12">
        <v>9.5221503235440499E-2</v>
      </c>
      <c r="X177" s="12">
        <v>0.12782478845196599</v>
      </c>
      <c r="Y177" s="13">
        <v>83884</v>
      </c>
      <c r="Z177" s="13">
        <v>112484</v>
      </c>
      <c r="AA177" s="13">
        <v>1297843</v>
      </c>
      <c r="AB177" s="11">
        <v>47365</v>
      </c>
      <c r="AC177" s="11">
        <v>49710</v>
      </c>
      <c r="AD177" s="12">
        <v>4.9509131215032198E-2</v>
      </c>
      <c r="AE177" s="12">
        <v>0.53398923996076497</v>
      </c>
      <c r="AF177" s="12">
        <v>6.73704211970865E-2</v>
      </c>
      <c r="AG177" s="12">
        <v>0.101319539744537</v>
      </c>
      <c r="AH177" s="12">
        <v>0.112065871424047</v>
      </c>
      <c r="AI177" s="14">
        <v>0.254027235300327</v>
      </c>
      <c r="AJ177" s="4">
        <v>52640</v>
      </c>
      <c r="AK177" s="5">
        <v>30002</v>
      </c>
      <c r="AL177" s="5">
        <v>23006</v>
      </c>
      <c r="AM177" s="5">
        <v>12474</v>
      </c>
      <c r="AN177" s="6">
        <v>0.56994680851063795</v>
      </c>
      <c r="AO177" s="6">
        <v>0.43704407294832798</v>
      </c>
      <c r="AP177" s="6">
        <v>0.23696808510638301</v>
      </c>
      <c r="AQ177" s="6">
        <v>0.13290273556231</v>
      </c>
      <c r="AR177" s="6">
        <v>0.200075987841945</v>
      </c>
      <c r="AS177" s="6">
        <v>0.101044832826748</v>
      </c>
      <c r="AT177" s="6">
        <v>0.135923252279635</v>
      </c>
      <c r="AU177" s="7">
        <v>86430</v>
      </c>
      <c r="AV177" s="7">
        <v>116448</v>
      </c>
      <c r="AW177" s="7">
        <v>1499453</v>
      </c>
      <c r="AX177" s="5">
        <v>130565</v>
      </c>
      <c r="AY177" s="5">
        <v>136086</v>
      </c>
      <c r="AZ177" s="6">
        <v>4.2285451690728802E-2</v>
      </c>
      <c r="BA177" s="6">
        <v>0.501276688216439</v>
      </c>
      <c r="BB177" s="6">
        <v>8.81093708114732E-2</v>
      </c>
      <c r="BC177" s="6">
        <v>7.9186612032321094E-2</v>
      </c>
      <c r="BD177" s="6">
        <v>0.11878374755868699</v>
      </c>
      <c r="BE177" s="8">
        <v>0.26419025006701602</v>
      </c>
      <c r="BF177" s="10">
        <v>149311</v>
      </c>
      <c r="BG177" s="11">
        <v>82742</v>
      </c>
      <c r="BH177" s="11">
        <v>61424</v>
      </c>
      <c r="BI177" s="11">
        <v>31388</v>
      </c>
      <c r="BJ177" s="12">
        <v>0.554158769280227</v>
      </c>
      <c r="BK177" s="12">
        <v>0.411382952361179</v>
      </c>
      <c r="BL177" s="12">
        <v>0.21021893899310801</v>
      </c>
      <c r="BM177" s="12">
        <v>0.142775816919048</v>
      </c>
      <c r="BN177" s="12">
        <v>0.20116401336807099</v>
      </c>
      <c r="BO177" s="12">
        <v>0.100963760205209</v>
      </c>
      <c r="BP177" s="12">
        <v>0.109255178787899</v>
      </c>
      <c r="BQ177" s="13">
        <v>82830</v>
      </c>
      <c r="BR177" s="13">
        <v>108418</v>
      </c>
      <c r="BS177" s="13">
        <v>1267770</v>
      </c>
      <c r="BT177" s="11">
        <v>362375</v>
      </c>
      <c r="BU177" s="11">
        <v>375698</v>
      </c>
      <c r="BV177" s="12">
        <v>3.6765781303897897E-2</v>
      </c>
      <c r="BW177" s="12">
        <v>0.49667127098694602</v>
      </c>
      <c r="BX177" s="12">
        <v>9.8497412901000406E-2</v>
      </c>
      <c r="BY177" s="12">
        <v>6.1367368057950997E-2</v>
      </c>
      <c r="BZ177" s="12">
        <v>0.104579510175923</v>
      </c>
      <c r="CA177" s="14">
        <v>0.25746257330113798</v>
      </c>
      <c r="CB177" s="86">
        <f t="shared" si="35"/>
        <v>28593765.488760777</v>
      </c>
      <c r="CC177" s="83">
        <v>9339985.5233330093</v>
      </c>
      <c r="CD177" s="83">
        <v>11082085.983999399</v>
      </c>
      <c r="CE177" s="83">
        <v>7192650.2499997905</v>
      </c>
      <c r="CF177" s="83">
        <v>979043.73142857803</v>
      </c>
      <c r="CG177" s="90">
        <f t="shared" si="36"/>
        <v>0.32664412551764949</v>
      </c>
      <c r="CH177" s="90">
        <f t="shared" si="36"/>
        <v>0.38757001026518823</v>
      </c>
      <c r="CI177" s="90">
        <f t="shared" si="31"/>
        <v>0.2515461019930017</v>
      </c>
      <c r="CK177" s="86">
        <f t="shared" si="27"/>
        <v>28194719</v>
      </c>
      <c r="CL177" s="83">
        <v>9024179</v>
      </c>
      <c r="CM177" s="83">
        <v>10999409</v>
      </c>
      <c r="CN177" s="83">
        <v>7211916</v>
      </c>
      <c r="CO177" s="83">
        <v>959215</v>
      </c>
      <c r="CP177" s="90">
        <f t="shared" si="28"/>
        <v>0.32006628617224381</v>
      </c>
      <c r="CQ177" s="90">
        <f t="shared" si="28"/>
        <v>0.39012302268378701</v>
      </c>
      <c r="CR177" s="90">
        <f t="shared" si="28"/>
        <v>0.25578960371976045</v>
      </c>
    </row>
    <row r="178" spans="1:97" ht="49.5" thickTop="1" thickBot="1" x14ac:dyDescent="0.3">
      <c r="A178" s="3" t="s">
        <v>296</v>
      </c>
      <c r="B178" s="3">
        <v>1003</v>
      </c>
      <c r="C178" s="3" t="s">
        <v>156</v>
      </c>
      <c r="D178" s="16">
        <v>39652</v>
      </c>
      <c r="E178" s="16" t="s">
        <v>551</v>
      </c>
      <c r="F178" s="16" t="s">
        <v>427</v>
      </c>
      <c r="G178" s="17">
        <v>16727</v>
      </c>
      <c r="H178" s="17">
        <v>19000</v>
      </c>
      <c r="I178" s="17" t="s">
        <v>584</v>
      </c>
      <c r="J178" s="18"/>
      <c r="K178" s="18" t="s">
        <v>598</v>
      </c>
      <c r="L178" s="18"/>
      <c r="M178" s="18" t="s">
        <v>598</v>
      </c>
      <c r="N178" s="10">
        <v>25384</v>
      </c>
      <c r="O178" s="11">
        <v>15562</v>
      </c>
      <c r="P178" s="11">
        <v>11763</v>
      </c>
      <c r="Q178" s="11">
        <v>6125</v>
      </c>
      <c r="R178" s="12">
        <v>0.61306334699023002</v>
      </c>
      <c r="S178" s="12">
        <v>0.46340214308225702</v>
      </c>
      <c r="T178" s="12">
        <v>0.24129372833280799</v>
      </c>
      <c r="U178" s="12">
        <v>0.14966120390797399</v>
      </c>
      <c r="V178" s="12">
        <v>0.22210841474944801</v>
      </c>
      <c r="W178" s="12">
        <v>9.3759848723605405E-2</v>
      </c>
      <c r="X178" s="12">
        <v>0.147533879609203</v>
      </c>
      <c r="Y178" s="13">
        <v>92488</v>
      </c>
      <c r="Z178" s="13">
        <v>120847</v>
      </c>
      <c r="AA178" s="13">
        <v>1212588</v>
      </c>
      <c r="AB178" s="11">
        <v>59650</v>
      </c>
      <c r="AC178" s="11">
        <v>65045</v>
      </c>
      <c r="AD178" s="12">
        <v>9.0444258172673903E-2</v>
      </c>
      <c r="AE178" s="12">
        <v>0.54364153760029899</v>
      </c>
      <c r="AF178" s="12">
        <v>0.11456831517183599</v>
      </c>
      <c r="AG178" s="12">
        <v>8.95222129086337E-2</v>
      </c>
      <c r="AH178" s="12">
        <v>3.0343671416596801E-2</v>
      </c>
      <c r="AI178" s="14">
        <v>0.237334450963956</v>
      </c>
      <c r="AJ178" s="4">
        <v>83444</v>
      </c>
      <c r="AK178" s="5">
        <v>46207</v>
      </c>
      <c r="AL178" s="5">
        <v>34519</v>
      </c>
      <c r="AM178" s="5">
        <v>18651</v>
      </c>
      <c r="AN178" s="6">
        <v>0.55374862183020901</v>
      </c>
      <c r="AO178" s="6">
        <v>0.41367863477302103</v>
      </c>
      <c r="AP178" s="6">
        <v>0.22351517185178099</v>
      </c>
      <c r="AQ178" s="6">
        <v>0.14006998705718801</v>
      </c>
      <c r="AR178" s="6">
        <v>0.19016346292124101</v>
      </c>
      <c r="AS178" s="6">
        <v>9.6028474186280605E-2</v>
      </c>
      <c r="AT178" s="6">
        <v>0.1274866976655</v>
      </c>
      <c r="AU178" s="7">
        <v>82948</v>
      </c>
      <c r="AV178" s="7">
        <v>112567</v>
      </c>
      <c r="AW178" s="7">
        <v>1238293</v>
      </c>
      <c r="AX178" s="5">
        <v>202366</v>
      </c>
      <c r="AY178" s="5">
        <v>218159</v>
      </c>
      <c r="AZ178" s="6">
        <v>7.8041765909293098E-2</v>
      </c>
      <c r="BA178" s="6">
        <v>0.46919780227413199</v>
      </c>
      <c r="BB178" s="6">
        <v>0.18041568247630499</v>
      </c>
      <c r="BC178" s="6">
        <v>5.66053586076712E-2</v>
      </c>
      <c r="BD178" s="6">
        <v>3.0761096231580399E-2</v>
      </c>
      <c r="BE178" s="8">
        <v>0.25180119189982503</v>
      </c>
      <c r="BF178" s="10">
        <v>145776</v>
      </c>
      <c r="BG178" s="11">
        <v>80645</v>
      </c>
      <c r="BH178" s="11">
        <v>60215</v>
      </c>
      <c r="BI178" s="11">
        <v>33286</v>
      </c>
      <c r="BJ178" s="12">
        <v>0.55321177697289003</v>
      </c>
      <c r="BK178" s="12">
        <v>0.41306525079574102</v>
      </c>
      <c r="BL178" s="12">
        <v>0.228336626056415</v>
      </c>
      <c r="BM178" s="12">
        <v>0.14014652617714901</v>
      </c>
      <c r="BN178" s="12">
        <v>0.184728624739326</v>
      </c>
      <c r="BO178" s="12">
        <v>9.3684831522335602E-2</v>
      </c>
      <c r="BP178" s="12">
        <v>0.13465179453407999</v>
      </c>
      <c r="BQ178" s="13">
        <v>82853</v>
      </c>
      <c r="BR178" s="13">
        <v>115787</v>
      </c>
      <c r="BS178" s="13">
        <v>1379612</v>
      </c>
      <c r="BT178" s="11">
        <v>349928</v>
      </c>
      <c r="BU178" s="11">
        <v>376177</v>
      </c>
      <c r="BV178" s="12">
        <v>7.5012574015226E-2</v>
      </c>
      <c r="BW178" s="12">
        <v>0.470519274259665</v>
      </c>
      <c r="BX178" s="12">
        <v>0.161967604764409</v>
      </c>
      <c r="BY178" s="12">
        <v>4.9984568254040802E-2</v>
      </c>
      <c r="BZ178" s="12">
        <v>3.08034795729407E-2</v>
      </c>
      <c r="CA178" s="14">
        <v>0.26921252371916499</v>
      </c>
      <c r="CB178" s="86">
        <f t="shared" si="35"/>
        <v>28656103.122365758</v>
      </c>
      <c r="CC178" s="83">
        <v>11972112.8436164</v>
      </c>
      <c r="CD178" s="83">
        <v>12010364.016666099</v>
      </c>
      <c r="CE178" s="83">
        <v>3177671.8383332598</v>
      </c>
      <c r="CF178" s="83">
        <v>1495954.4237500001</v>
      </c>
      <c r="CG178" s="90">
        <f t="shared" si="36"/>
        <v>0.41778579566432061</v>
      </c>
      <c r="CH178" s="90">
        <f t="shared" si="36"/>
        <v>0.41912063079128681</v>
      </c>
      <c r="CI178" s="90">
        <f t="shared" si="31"/>
        <v>0.11088988006373846</v>
      </c>
      <c r="CK178" s="86">
        <f t="shared" si="27"/>
        <v>28027845</v>
      </c>
      <c r="CL178" s="83">
        <v>11740578</v>
      </c>
      <c r="CM178" s="83">
        <v>11674027</v>
      </c>
      <c r="CN178" s="83">
        <v>3131328</v>
      </c>
      <c r="CO178" s="83">
        <v>1481912</v>
      </c>
      <c r="CP178" s="90">
        <f t="shared" si="28"/>
        <v>0.41888978621082001</v>
      </c>
      <c r="CQ178" s="90">
        <f t="shared" si="28"/>
        <v>0.4165153260980286</v>
      </c>
      <c r="CR178" s="90">
        <f t="shared" si="28"/>
        <v>0.11172203927915257</v>
      </c>
    </row>
    <row r="179" spans="1:97" ht="37.5" thickTop="1" thickBot="1" x14ac:dyDescent="0.3">
      <c r="A179" s="3" t="s">
        <v>291</v>
      </c>
      <c r="B179" s="3">
        <v>502</v>
      </c>
      <c r="C179" s="3" t="s">
        <v>57</v>
      </c>
      <c r="D179" s="16">
        <v>41207</v>
      </c>
      <c r="E179" s="16" t="s">
        <v>529</v>
      </c>
      <c r="F179" s="16" t="s">
        <v>340</v>
      </c>
      <c r="G179" s="17">
        <v>21710</v>
      </c>
      <c r="H179" s="17">
        <v>27350</v>
      </c>
      <c r="I179" s="17" t="s">
        <v>585</v>
      </c>
      <c r="J179" s="18"/>
      <c r="K179" s="18" t="s">
        <v>598</v>
      </c>
      <c r="L179" s="18"/>
      <c r="M179" s="18" t="s">
        <v>598</v>
      </c>
      <c r="N179" s="10">
        <v>46292</v>
      </c>
      <c r="O179" s="11">
        <v>20156</v>
      </c>
      <c r="P179" s="11">
        <v>14412</v>
      </c>
      <c r="Q179" s="11">
        <v>7501</v>
      </c>
      <c r="R179" s="12">
        <v>0.435410006048561</v>
      </c>
      <c r="S179" s="12">
        <v>0.311328091246868</v>
      </c>
      <c r="T179" s="12">
        <v>0.162036636999914</v>
      </c>
      <c r="U179" s="12">
        <v>0.124081914801694</v>
      </c>
      <c r="V179" s="12">
        <v>0.149291454246954</v>
      </c>
      <c r="W179" s="12">
        <v>6.4827616002765098E-2</v>
      </c>
      <c r="X179" s="12">
        <v>9.7209020997148496E-2</v>
      </c>
      <c r="Y179" s="13">
        <v>64206</v>
      </c>
      <c r="Z179" s="13">
        <v>96431</v>
      </c>
      <c r="AA179" s="13">
        <v>1007298</v>
      </c>
      <c r="AB179" s="11">
        <v>107237</v>
      </c>
      <c r="AC179" s="11">
        <v>111657</v>
      </c>
      <c r="AD179" s="12">
        <v>4.1217117226330501E-2</v>
      </c>
      <c r="AE179" s="12">
        <v>0.433133652286951</v>
      </c>
      <c r="AF179" s="12">
        <v>0.251368464242752</v>
      </c>
      <c r="AG179" s="12">
        <v>4.1366319460633898E-2</v>
      </c>
      <c r="AH179" s="12">
        <v>0.188936654326399</v>
      </c>
      <c r="AI179" s="14">
        <v>0.227468131335267</v>
      </c>
      <c r="AJ179" s="4">
        <v>106636</v>
      </c>
      <c r="AK179" s="5">
        <v>45382</v>
      </c>
      <c r="AL179" s="5">
        <v>31227</v>
      </c>
      <c r="AM179" s="5">
        <v>15608</v>
      </c>
      <c r="AN179" s="6">
        <v>0.42557860384860602</v>
      </c>
      <c r="AO179" s="6">
        <v>0.29283731572827199</v>
      </c>
      <c r="AP179" s="6">
        <v>0.146367080535654</v>
      </c>
      <c r="AQ179" s="6">
        <v>0.132741288120335</v>
      </c>
      <c r="AR179" s="6">
        <v>0.14647023519261801</v>
      </c>
      <c r="AS179" s="6">
        <v>6.3168160846243299E-2</v>
      </c>
      <c r="AT179" s="6">
        <v>8.3198919689410705E-2</v>
      </c>
      <c r="AU179" s="7">
        <v>62719</v>
      </c>
      <c r="AV179" s="7">
        <v>90760</v>
      </c>
      <c r="AW179" s="7">
        <v>853693</v>
      </c>
      <c r="AX179" s="5">
        <v>277208</v>
      </c>
      <c r="AY179" s="5">
        <v>294692</v>
      </c>
      <c r="AZ179" s="6">
        <v>6.3071772820409197E-2</v>
      </c>
      <c r="BA179" s="6">
        <v>0.36735562545259598</v>
      </c>
      <c r="BB179" s="6">
        <v>0.33879613863957803</v>
      </c>
      <c r="BC179" s="6">
        <v>4.0518311159851099E-2</v>
      </c>
      <c r="BD179" s="6">
        <v>0.19849715736919599</v>
      </c>
      <c r="BE179" s="8">
        <v>0.21316845112695201</v>
      </c>
      <c r="BF179" s="10">
        <v>158629</v>
      </c>
      <c r="BG179" s="11">
        <v>63806</v>
      </c>
      <c r="BH179" s="11">
        <v>43031</v>
      </c>
      <c r="BI179" s="11">
        <v>21064</v>
      </c>
      <c r="BJ179" s="12">
        <v>0.402234143819856</v>
      </c>
      <c r="BK179" s="12">
        <v>0.27126817921061103</v>
      </c>
      <c r="BL179" s="12">
        <v>0.13278782568130701</v>
      </c>
      <c r="BM179" s="12">
        <v>0.13096596460924501</v>
      </c>
      <c r="BN179" s="12">
        <v>0.13848035352930399</v>
      </c>
      <c r="BO179" s="12">
        <v>5.8286946270858397E-2</v>
      </c>
      <c r="BP179" s="12">
        <v>7.4500879410448306E-2</v>
      </c>
      <c r="BQ179" s="13">
        <v>59314</v>
      </c>
      <c r="BR179" s="13">
        <v>85783</v>
      </c>
      <c r="BS179" s="13">
        <v>733497</v>
      </c>
      <c r="BT179" s="11">
        <v>415781</v>
      </c>
      <c r="BU179" s="11">
        <v>448376</v>
      </c>
      <c r="BV179" s="12">
        <v>7.8394635637511104E-2</v>
      </c>
      <c r="BW179" s="12">
        <v>0.33264298173138701</v>
      </c>
      <c r="BX179" s="12">
        <v>0.34642275621060098</v>
      </c>
      <c r="BY179" s="12">
        <v>3.6793408068189697E-2</v>
      </c>
      <c r="BZ179" s="12">
        <v>0.216212381037133</v>
      </c>
      <c r="CA179" s="14">
        <v>0.21292218740154101</v>
      </c>
      <c r="CB179" s="86">
        <f t="shared" si="35"/>
        <v>25148552.869241543</v>
      </c>
      <c r="CC179" s="83">
        <v>6519949.2259089202</v>
      </c>
      <c r="CD179" s="83">
        <v>15123447.3649993</v>
      </c>
      <c r="CE179" s="83">
        <v>2359860.1699999799</v>
      </c>
      <c r="CF179" s="83">
        <v>1145296.1083333399</v>
      </c>
      <c r="CG179" s="90">
        <f t="shared" si="36"/>
        <v>0.2592574316227666</v>
      </c>
      <c r="CH179" s="90">
        <f t="shared" si="36"/>
        <v>0.60136451761788423</v>
      </c>
      <c r="CI179" s="90">
        <f t="shared" si="31"/>
        <v>9.3836817659844585E-2</v>
      </c>
      <c r="CK179" s="86">
        <f t="shared" si="27"/>
        <v>24327217</v>
      </c>
      <c r="CL179" s="83">
        <v>6289267</v>
      </c>
      <c r="CM179" s="83">
        <v>14656002</v>
      </c>
      <c r="CN179" s="83">
        <v>2287326</v>
      </c>
      <c r="CO179" s="83">
        <v>1094622</v>
      </c>
      <c r="CP179" s="90">
        <f t="shared" si="28"/>
        <v>0.25852801000624115</v>
      </c>
      <c r="CQ179" s="90">
        <f t="shared" si="28"/>
        <v>0.60245288230051142</v>
      </c>
      <c r="CR179" s="90">
        <f t="shared" si="28"/>
        <v>9.4023331974224592E-2</v>
      </c>
    </row>
    <row r="180" spans="1:97" ht="37.5" thickTop="1" thickBot="1" x14ac:dyDescent="0.3">
      <c r="A180" s="3" t="s">
        <v>294</v>
      </c>
      <c r="B180" s="3">
        <v>805</v>
      </c>
      <c r="C180" s="3" t="s">
        <v>116</v>
      </c>
      <c r="D180" s="16">
        <v>43419</v>
      </c>
      <c r="E180" s="16" t="s">
        <v>542</v>
      </c>
      <c r="F180" s="16" t="s">
        <v>393</v>
      </c>
      <c r="G180" s="17">
        <v>17022</v>
      </c>
      <c r="H180" s="17">
        <v>18000</v>
      </c>
      <c r="I180" s="17" t="s">
        <v>585</v>
      </c>
      <c r="J180" s="18"/>
      <c r="K180" s="18" t="s">
        <v>598</v>
      </c>
      <c r="L180" s="18"/>
      <c r="M180" s="18" t="s">
        <v>598</v>
      </c>
      <c r="N180" s="10">
        <v>41820</v>
      </c>
      <c r="O180" s="11">
        <v>21067</v>
      </c>
      <c r="P180" s="11">
        <v>14669</v>
      </c>
      <c r="Q180" s="11">
        <v>8166</v>
      </c>
      <c r="R180" s="12">
        <v>0.50375418460067001</v>
      </c>
      <c r="S180" s="12">
        <v>0.35076518412242902</v>
      </c>
      <c r="T180" s="12">
        <v>0.19526542324246801</v>
      </c>
      <c r="U180" s="12">
        <v>0.15298900047823999</v>
      </c>
      <c r="V180" s="12">
        <v>0.15549976087996201</v>
      </c>
      <c r="W180" s="12">
        <v>7.1401243424198901E-2</v>
      </c>
      <c r="X180" s="12">
        <v>0.123864179818269</v>
      </c>
      <c r="Y180" s="13">
        <v>75447</v>
      </c>
      <c r="Z180" s="13">
        <v>110621</v>
      </c>
      <c r="AA180" s="13">
        <v>858696</v>
      </c>
      <c r="AB180" s="11">
        <v>82805</v>
      </c>
      <c r="AC180" s="11">
        <v>90235</v>
      </c>
      <c r="AD180" s="12">
        <v>8.9728881106213396E-2</v>
      </c>
      <c r="AE180" s="12">
        <v>0.65685676527396597</v>
      </c>
      <c r="AF180" s="12">
        <v>0.113978624479198</v>
      </c>
      <c r="AG180" s="12">
        <v>0.100440794638005</v>
      </c>
      <c r="AH180" s="12">
        <v>0.33425517782742598</v>
      </c>
      <c r="AI180" s="14">
        <v>0.195652436447074</v>
      </c>
      <c r="AJ180" s="4">
        <v>94937</v>
      </c>
      <c r="AK180" s="5">
        <v>51551</v>
      </c>
      <c r="AL180" s="5">
        <v>39285</v>
      </c>
      <c r="AM180" s="5">
        <v>24605</v>
      </c>
      <c r="AN180" s="6">
        <v>0.54300220145991596</v>
      </c>
      <c r="AO180" s="6">
        <v>0.41380073101109199</v>
      </c>
      <c r="AP180" s="6">
        <v>0.25917187187292601</v>
      </c>
      <c r="AQ180" s="6">
        <v>0.12920147044882399</v>
      </c>
      <c r="AR180" s="6">
        <v>0.15462885913816499</v>
      </c>
      <c r="AS180" s="6">
        <v>8.6699600787890893E-2</v>
      </c>
      <c r="AT180" s="6">
        <v>0.17247227108503499</v>
      </c>
      <c r="AU180" s="7">
        <v>81847</v>
      </c>
      <c r="AV180" s="7">
        <v>128779</v>
      </c>
      <c r="AW180" s="7">
        <v>1286339</v>
      </c>
      <c r="AX180" s="5">
        <v>212280</v>
      </c>
      <c r="AY180" s="5">
        <v>227854</v>
      </c>
      <c r="AZ180" s="6">
        <v>7.3365366497079296E-2</v>
      </c>
      <c r="BA180" s="6">
        <v>0.63556154857080305</v>
      </c>
      <c r="BB180" s="6">
        <v>0.14562370454117199</v>
      </c>
      <c r="BC180" s="6">
        <v>7.1933295647258297E-2</v>
      </c>
      <c r="BD180" s="6">
        <v>0.26667608818541499</v>
      </c>
      <c r="BE180" s="8">
        <v>0.210170529489354</v>
      </c>
      <c r="BF180" s="10">
        <v>205519</v>
      </c>
      <c r="BG180" s="11">
        <v>112756</v>
      </c>
      <c r="BH180" s="11">
        <v>87861</v>
      </c>
      <c r="BI180" s="11">
        <v>55187</v>
      </c>
      <c r="BJ180" s="12">
        <v>0.54864027170237295</v>
      </c>
      <c r="BK180" s="12">
        <v>0.42750791897586099</v>
      </c>
      <c r="BL180" s="12">
        <v>0.26852505121180997</v>
      </c>
      <c r="BM180" s="12">
        <v>0.121132352726512</v>
      </c>
      <c r="BN180" s="12">
        <v>0.15898286776405099</v>
      </c>
      <c r="BO180" s="12">
        <v>9.1699550893104803E-2</v>
      </c>
      <c r="BP180" s="12">
        <v>0.176825500318705</v>
      </c>
      <c r="BQ180" s="13">
        <v>83474</v>
      </c>
      <c r="BR180" s="13">
        <v>129200</v>
      </c>
      <c r="BS180" s="13">
        <v>1227562</v>
      </c>
      <c r="BT180" s="11">
        <v>460870</v>
      </c>
      <c r="BU180" s="11">
        <v>493676</v>
      </c>
      <c r="BV180" s="12">
        <v>7.1182763035129201E-2</v>
      </c>
      <c r="BW180" s="12">
        <v>0.62874057859257204</v>
      </c>
      <c r="BX180" s="12">
        <v>0.14678976717946501</v>
      </c>
      <c r="BY180" s="12">
        <v>7.3897194436608998E-2</v>
      </c>
      <c r="BZ180" s="12">
        <v>0.25118580076811198</v>
      </c>
      <c r="CA180" s="14">
        <v>0.208377633606006</v>
      </c>
      <c r="CB180" s="86">
        <f t="shared" si="35"/>
        <v>9369450.4899996854</v>
      </c>
      <c r="CC180" s="83">
        <v>7061185.7599996803</v>
      </c>
      <c r="CD180" s="83">
        <v>64134.679999999898</v>
      </c>
      <c r="CE180" s="83">
        <v>1456667.7</v>
      </c>
      <c r="CF180" s="83">
        <v>787462.35000000603</v>
      </c>
      <c r="CG180" s="90">
        <f t="shared" si="36"/>
        <v>0.75363926278668214</v>
      </c>
      <c r="CH180" s="90">
        <f t="shared" si="36"/>
        <v>6.8450844655674201E-3</v>
      </c>
      <c r="CI180" s="90">
        <f t="shared" si="31"/>
        <v>0.15546991806560567</v>
      </c>
      <c r="CK180" s="86">
        <f t="shared" si="27"/>
        <v>9098552</v>
      </c>
      <c r="CL180" s="83">
        <v>6850409</v>
      </c>
      <c r="CM180" s="83">
        <v>80147</v>
      </c>
      <c r="CN180" s="83">
        <v>1376358</v>
      </c>
      <c r="CO180" s="83">
        <v>791638</v>
      </c>
      <c r="CP180" s="90">
        <f t="shared" si="28"/>
        <v>0.75291200182182838</v>
      </c>
      <c r="CQ180" s="90">
        <f t="shared" si="28"/>
        <v>8.8087642956813355E-3</v>
      </c>
      <c r="CR180" s="90">
        <f t="shared" si="28"/>
        <v>0.15127220243396972</v>
      </c>
    </row>
    <row r="181" spans="1:97" ht="37.5" thickTop="1" thickBot="1" x14ac:dyDescent="0.3">
      <c r="A181" s="3" t="s">
        <v>291</v>
      </c>
      <c r="B181" s="3">
        <v>513</v>
      </c>
      <c r="C181" s="3" t="s">
        <v>68</v>
      </c>
      <c r="D181" s="16">
        <v>42915</v>
      </c>
      <c r="E181" s="16" t="s">
        <v>529</v>
      </c>
      <c r="F181" s="16" t="s">
        <v>350</v>
      </c>
      <c r="G181" s="17">
        <v>20582</v>
      </c>
      <c r="H181" s="17">
        <v>25040</v>
      </c>
      <c r="I181" s="17" t="s">
        <v>585</v>
      </c>
      <c r="J181" s="18"/>
      <c r="K181" s="18" t="s">
        <v>598</v>
      </c>
      <c r="L181" s="18" t="s">
        <v>587</v>
      </c>
      <c r="M181" s="18" t="s">
        <v>598</v>
      </c>
      <c r="N181" s="10">
        <v>63418</v>
      </c>
      <c r="O181" s="11">
        <v>31781</v>
      </c>
      <c r="P181" s="11">
        <v>24040</v>
      </c>
      <c r="Q181" s="11">
        <v>14495</v>
      </c>
      <c r="R181" s="12">
        <v>0.50113532435586094</v>
      </c>
      <c r="S181" s="12">
        <v>0.37907218770696</v>
      </c>
      <c r="T181" s="12">
        <v>0.228562868586206</v>
      </c>
      <c r="U181" s="12">
        <v>0.12206313664890101</v>
      </c>
      <c r="V181" s="12">
        <v>0.15050931912075399</v>
      </c>
      <c r="W181" s="12">
        <v>8.4187454665867703E-2</v>
      </c>
      <c r="X181" s="12">
        <v>0.14437541392033801</v>
      </c>
      <c r="Y181" s="13">
        <v>75176</v>
      </c>
      <c r="Z181" s="13">
        <v>117949</v>
      </c>
      <c r="AA181" s="13">
        <v>1127733</v>
      </c>
      <c r="AB181" s="11">
        <v>135010</v>
      </c>
      <c r="AC181" s="11">
        <v>147306</v>
      </c>
      <c r="AD181" s="12">
        <v>9.1074735204799598E-2</v>
      </c>
      <c r="AE181" s="12">
        <v>0.57922451918132301</v>
      </c>
      <c r="AF181" s="12">
        <v>0.149255610695504</v>
      </c>
      <c r="AG181" s="12">
        <v>0.17970520702170201</v>
      </c>
      <c r="AH181" s="12">
        <v>0.166209910377009</v>
      </c>
      <c r="AI181" s="14">
        <v>0.24340419228205301</v>
      </c>
      <c r="AJ181" s="4">
        <v>155581</v>
      </c>
      <c r="AK181" s="5">
        <v>84210</v>
      </c>
      <c r="AL181" s="5">
        <v>63202</v>
      </c>
      <c r="AM181" s="5">
        <v>35838</v>
      </c>
      <c r="AN181" s="6">
        <v>0.54126146508892503</v>
      </c>
      <c r="AO181" s="6">
        <v>0.40623212345980603</v>
      </c>
      <c r="AP181" s="6">
        <v>0.23034946426620201</v>
      </c>
      <c r="AQ181" s="6">
        <v>0.135029341629119</v>
      </c>
      <c r="AR181" s="6">
        <v>0.17588265919360299</v>
      </c>
      <c r="AS181" s="6">
        <v>9.2042087401417894E-2</v>
      </c>
      <c r="AT181" s="6">
        <v>0.138307376864784</v>
      </c>
      <c r="AU181" s="7">
        <v>81206</v>
      </c>
      <c r="AV181" s="7">
        <v>117029</v>
      </c>
      <c r="AW181" s="7">
        <v>1108685</v>
      </c>
      <c r="AX181" s="5">
        <v>355871</v>
      </c>
      <c r="AY181" s="5">
        <v>386059</v>
      </c>
      <c r="AZ181" s="6">
        <v>8.48284912229431E-2</v>
      </c>
      <c r="BA181" s="6">
        <v>0.57072853034529603</v>
      </c>
      <c r="BB181" s="6">
        <v>0.163941428214156</v>
      </c>
      <c r="BC181" s="6">
        <v>0.20779720741504601</v>
      </c>
      <c r="BD181" s="6">
        <v>0.129516032494921</v>
      </c>
      <c r="BE181" s="8">
        <v>0.24504104015219</v>
      </c>
      <c r="BF181" s="10">
        <v>267748</v>
      </c>
      <c r="BG181" s="11">
        <v>147588</v>
      </c>
      <c r="BH181" s="11">
        <v>111468</v>
      </c>
      <c r="BI181" s="11">
        <v>63171</v>
      </c>
      <c r="BJ181" s="12">
        <v>0.55121980369601298</v>
      </c>
      <c r="BK181" s="12">
        <v>0.41631683523313001</v>
      </c>
      <c r="BL181" s="12">
        <v>0.23593453545871501</v>
      </c>
      <c r="BM181" s="12">
        <v>0.13490296846288299</v>
      </c>
      <c r="BN181" s="12">
        <v>0.180382299774415</v>
      </c>
      <c r="BO181" s="12">
        <v>9.9302329055679206E-2</v>
      </c>
      <c r="BP181" s="12">
        <v>0.136632206403036</v>
      </c>
      <c r="BQ181" s="13">
        <v>82884</v>
      </c>
      <c r="BR181" s="13">
        <v>116503</v>
      </c>
      <c r="BS181" s="13">
        <v>1159154</v>
      </c>
      <c r="BT181" s="11">
        <v>647537</v>
      </c>
      <c r="BU181" s="11">
        <v>706649</v>
      </c>
      <c r="BV181" s="12">
        <v>9.1287447667083105E-2</v>
      </c>
      <c r="BW181" s="12">
        <v>0.55070605040753196</v>
      </c>
      <c r="BX181" s="12">
        <v>0.20274517131839601</v>
      </c>
      <c r="BY181" s="12">
        <v>0.197296834003308</v>
      </c>
      <c r="BZ181" s="12">
        <v>0.111849979228986</v>
      </c>
      <c r="CA181" s="14">
        <v>0.23769298125049201</v>
      </c>
      <c r="CB181" s="86">
        <f t="shared" si="35"/>
        <v>25608673.899313688</v>
      </c>
      <c r="CC181" s="83">
        <v>8356446.0826476803</v>
      </c>
      <c r="CD181" s="83">
        <v>14269294.486666</v>
      </c>
      <c r="CE181" s="83">
        <v>1994102.29</v>
      </c>
      <c r="CF181" s="83">
        <v>988831.04000001005</v>
      </c>
      <c r="CG181" s="90">
        <f t="shared" si="36"/>
        <v>0.32631311232682114</v>
      </c>
      <c r="CH181" s="90">
        <f t="shared" si="36"/>
        <v>0.55720552117493349</v>
      </c>
      <c r="CI181" s="90">
        <f t="shared" si="31"/>
        <v>7.7868237060625067E-2</v>
      </c>
      <c r="CK181" s="86">
        <f t="shared" si="27"/>
        <v>25364664</v>
      </c>
      <c r="CL181" s="83">
        <v>8092209</v>
      </c>
      <c r="CM181" s="83">
        <v>14309171</v>
      </c>
      <c r="CN181" s="83">
        <v>1999050</v>
      </c>
      <c r="CO181" s="83">
        <v>964234</v>
      </c>
      <c r="CP181" s="90">
        <f t="shared" si="28"/>
        <v>0.31903474061395015</v>
      </c>
      <c r="CQ181" s="90">
        <f t="shared" si="28"/>
        <v>0.56413800711099504</v>
      </c>
      <c r="CR181" s="90">
        <f t="shared" si="28"/>
        <v>7.8812398224553659E-2</v>
      </c>
    </row>
    <row r="182" spans="1:97" ht="49.5" thickTop="1" thickBot="1" x14ac:dyDescent="0.3">
      <c r="A182" s="3" t="s">
        <v>307</v>
      </c>
      <c r="B182" s="3">
        <v>2101</v>
      </c>
      <c r="C182" s="3" t="s">
        <v>257</v>
      </c>
      <c r="D182" s="16">
        <v>42649</v>
      </c>
      <c r="E182" s="16" t="s">
        <v>574</v>
      </c>
      <c r="F182" s="16" t="s">
        <v>507</v>
      </c>
      <c r="G182" s="17">
        <v>20509</v>
      </c>
      <c r="H182" s="17">
        <v>25174</v>
      </c>
      <c r="I182" s="17" t="s">
        <v>585</v>
      </c>
      <c r="J182" s="18"/>
      <c r="K182" s="18" t="s">
        <v>598</v>
      </c>
      <c r="L182" s="18"/>
      <c r="M182" s="18" t="s">
        <v>598</v>
      </c>
      <c r="N182" s="10">
        <v>23624</v>
      </c>
      <c r="O182" s="11">
        <v>13492</v>
      </c>
      <c r="P182" s="11">
        <v>10156</v>
      </c>
      <c r="Q182" s="11">
        <v>5513</v>
      </c>
      <c r="R182" s="12">
        <v>0.57111412123264504</v>
      </c>
      <c r="S182" s="12">
        <v>0.42990179478496399</v>
      </c>
      <c r="T182" s="12">
        <v>0.23336437521164899</v>
      </c>
      <c r="U182" s="12">
        <v>0.14121232644768</v>
      </c>
      <c r="V182" s="12">
        <v>0.196537419573315</v>
      </c>
      <c r="W182" s="12">
        <v>0.10137995259058601</v>
      </c>
      <c r="X182" s="12">
        <v>0.131984422621063</v>
      </c>
      <c r="Y182" s="13">
        <v>85817</v>
      </c>
      <c r="Z182" s="13">
        <v>117878</v>
      </c>
      <c r="AA182" s="13">
        <v>1528261</v>
      </c>
      <c r="AB182" s="11">
        <v>57937</v>
      </c>
      <c r="AC182" s="11">
        <v>60128</v>
      </c>
      <c r="AD182" s="12">
        <v>3.7816939089010501E-2</v>
      </c>
      <c r="AE182" s="12">
        <v>0.57926088013615396</v>
      </c>
      <c r="AF182" s="12">
        <v>5.55258297806238E-2</v>
      </c>
      <c r="AG182" s="12">
        <v>8.3987779829815104E-2</v>
      </c>
      <c r="AH182" s="12">
        <v>0.115107789495486</v>
      </c>
      <c r="AI182" s="14">
        <v>0.26818785922640098</v>
      </c>
      <c r="AJ182" s="4">
        <v>52455</v>
      </c>
      <c r="AK182" s="5">
        <v>30175</v>
      </c>
      <c r="AL182" s="5">
        <v>22881</v>
      </c>
      <c r="AM182" s="5">
        <v>12924</v>
      </c>
      <c r="AN182" s="6">
        <v>0.57525498045944101</v>
      </c>
      <c r="AO182" s="6">
        <v>0.43620245925078599</v>
      </c>
      <c r="AP182" s="6">
        <v>0.246382613668859</v>
      </c>
      <c r="AQ182" s="6">
        <v>0.13905252120865499</v>
      </c>
      <c r="AR182" s="6">
        <v>0.18981984558192699</v>
      </c>
      <c r="AS182" s="6">
        <v>9.9933276141454599E-2</v>
      </c>
      <c r="AT182" s="6">
        <v>0.14644933752740399</v>
      </c>
      <c r="AU182" s="7">
        <v>86768</v>
      </c>
      <c r="AV182" s="7">
        <v>123031</v>
      </c>
      <c r="AW182" s="7">
        <v>1696098</v>
      </c>
      <c r="AX182" s="5">
        <v>126701</v>
      </c>
      <c r="AY182" s="5">
        <v>131824</v>
      </c>
      <c r="AZ182" s="6">
        <v>4.04337771604013E-2</v>
      </c>
      <c r="BA182" s="6">
        <v>0.59222893958783795</v>
      </c>
      <c r="BB182" s="6">
        <v>5.4111648684698602E-2</v>
      </c>
      <c r="BC182" s="6">
        <v>6.5303351986172195E-2</v>
      </c>
      <c r="BD182" s="6">
        <v>9.7828746418733903E-2</v>
      </c>
      <c r="BE182" s="8">
        <v>0.26414156162934799</v>
      </c>
      <c r="BF182" s="10">
        <v>93215</v>
      </c>
      <c r="BG182" s="11">
        <v>52417</v>
      </c>
      <c r="BH182" s="11">
        <v>39045</v>
      </c>
      <c r="BI182" s="11">
        <v>21887</v>
      </c>
      <c r="BJ182" s="12">
        <v>0.56232366035509296</v>
      </c>
      <c r="BK182" s="12">
        <v>0.41887035348388102</v>
      </c>
      <c r="BL182" s="12">
        <v>0.23480126589068301</v>
      </c>
      <c r="BM182" s="12">
        <v>0.14345330687121199</v>
      </c>
      <c r="BN182" s="12">
        <v>0.18406908759319901</v>
      </c>
      <c r="BO182" s="12">
        <v>9.8975486777879096E-2</v>
      </c>
      <c r="BP182" s="12">
        <v>0.135825779112804</v>
      </c>
      <c r="BQ182" s="13">
        <v>84120</v>
      </c>
      <c r="BR182" s="13">
        <v>119416</v>
      </c>
      <c r="BS182" s="13">
        <v>1555618</v>
      </c>
      <c r="BT182" s="11">
        <v>223079</v>
      </c>
      <c r="BU182" s="11">
        <v>231767</v>
      </c>
      <c r="BV182" s="12">
        <v>3.8945844297311703E-2</v>
      </c>
      <c r="BW182" s="12">
        <v>0.57423303678047399</v>
      </c>
      <c r="BX182" s="12">
        <v>5.0919181097279401E-2</v>
      </c>
      <c r="BY182" s="12">
        <v>5.6240166039833402E-2</v>
      </c>
      <c r="BZ182" s="12">
        <v>8.7296428619457703E-2</v>
      </c>
      <c r="CA182" s="14">
        <v>0.26240031558326898</v>
      </c>
      <c r="CB182" s="86">
        <f t="shared" si="35"/>
        <v>23066736.539999381</v>
      </c>
      <c r="CC182" s="83">
        <v>9340154.3799997903</v>
      </c>
      <c r="CD182" s="83">
        <v>9781962.8999996092</v>
      </c>
      <c r="CE182" s="83">
        <v>2660507.6899999701</v>
      </c>
      <c r="CF182" s="83">
        <v>1284111.5700000101</v>
      </c>
      <c r="CG182" s="90">
        <f t="shared" si="36"/>
        <v>0.4049187609960902</v>
      </c>
      <c r="CH182" s="90">
        <f t="shared" si="36"/>
        <v>0.42407225153141981</v>
      </c>
      <c r="CI182" s="90">
        <f t="shared" si="31"/>
        <v>0.11533957937164013</v>
      </c>
      <c r="CK182" s="86">
        <f t="shared" si="27"/>
        <v>22091167</v>
      </c>
      <c r="CL182" s="83">
        <v>8720030</v>
      </c>
      <c r="CM182" s="83">
        <v>9600870</v>
      </c>
      <c r="CN182" s="83">
        <v>2568439</v>
      </c>
      <c r="CO182" s="83">
        <v>1201828</v>
      </c>
      <c r="CP182" s="90">
        <f t="shared" si="28"/>
        <v>0.394729259889258</v>
      </c>
      <c r="CQ182" s="90">
        <f t="shared" si="28"/>
        <v>0.43460221001452753</v>
      </c>
      <c r="CR182" s="90">
        <f t="shared" si="28"/>
        <v>0.11626542862131277</v>
      </c>
    </row>
    <row r="183" spans="1:97" ht="37.5" thickTop="1" thickBot="1" x14ac:dyDescent="0.3">
      <c r="A183" s="3" t="s">
        <v>291</v>
      </c>
      <c r="B183" s="3">
        <v>531</v>
      </c>
      <c r="C183" s="3" t="s">
        <v>86</v>
      </c>
      <c r="D183" s="16">
        <v>43923</v>
      </c>
      <c r="E183" s="16" t="s">
        <v>529</v>
      </c>
      <c r="F183" s="16" t="s">
        <v>368</v>
      </c>
      <c r="G183" s="17">
        <v>8281</v>
      </c>
      <c r="H183" s="17">
        <v>10330</v>
      </c>
      <c r="I183" s="17" t="s">
        <v>583</v>
      </c>
      <c r="J183" s="18"/>
      <c r="K183" s="18" t="s">
        <v>598</v>
      </c>
      <c r="L183" s="18"/>
      <c r="M183" s="18" t="s">
        <v>598</v>
      </c>
      <c r="N183" s="10">
        <v>102742</v>
      </c>
      <c r="O183" s="11">
        <v>54306</v>
      </c>
      <c r="P183" s="11">
        <v>40058</v>
      </c>
      <c r="Q183" s="11">
        <v>22256</v>
      </c>
      <c r="R183" s="12">
        <v>0.52856670105701697</v>
      </c>
      <c r="S183" s="12">
        <v>0.38988923711821799</v>
      </c>
      <c r="T183" s="12">
        <v>0.21662027213797699</v>
      </c>
      <c r="U183" s="12">
        <v>0.13867746393879801</v>
      </c>
      <c r="V183" s="12">
        <v>0.173268964980242</v>
      </c>
      <c r="W183" s="12">
        <v>7.3708901909637706E-2</v>
      </c>
      <c r="X183" s="12">
        <v>0.142911370228339</v>
      </c>
      <c r="Y183" s="13">
        <v>79047</v>
      </c>
      <c r="Z183" s="13">
        <v>117170</v>
      </c>
      <c r="AA183" s="13">
        <v>627269</v>
      </c>
      <c r="AB183" s="11">
        <v>217104</v>
      </c>
      <c r="AC183" s="11">
        <v>246565</v>
      </c>
      <c r="AD183" s="12">
        <v>0.135699941042081</v>
      </c>
      <c r="AE183" s="12">
        <v>0.59570092635100702</v>
      </c>
      <c r="AF183" s="12">
        <v>0.354747033679711</v>
      </c>
      <c r="AG183" s="12">
        <v>5.88243422507186E-2</v>
      </c>
      <c r="AH183" s="12">
        <v>0.154483565480139</v>
      </c>
      <c r="AI183" s="14">
        <v>0.18576811113567701</v>
      </c>
      <c r="AJ183" s="4">
        <v>181332</v>
      </c>
      <c r="AK183" s="5">
        <v>90199</v>
      </c>
      <c r="AL183" s="5">
        <v>67594</v>
      </c>
      <c r="AM183" s="5">
        <v>39782</v>
      </c>
      <c r="AN183" s="6">
        <v>0.49742461341627497</v>
      </c>
      <c r="AO183" s="6">
        <v>0.37276377032184099</v>
      </c>
      <c r="AP183" s="6">
        <v>0.219387642556195</v>
      </c>
      <c r="AQ183" s="6">
        <v>0.12466084309443499</v>
      </c>
      <c r="AR183" s="6">
        <v>0.15337612776564499</v>
      </c>
      <c r="AS183" s="6">
        <v>6.5112611122140604E-2</v>
      </c>
      <c r="AT183" s="6">
        <v>0.15427503143405499</v>
      </c>
      <c r="AU183" s="7">
        <v>74464</v>
      </c>
      <c r="AV183" s="7">
        <v>118200</v>
      </c>
      <c r="AW183" s="7">
        <v>864068</v>
      </c>
      <c r="AX183" s="5">
        <v>415104</v>
      </c>
      <c r="AY183" s="5">
        <v>458176</v>
      </c>
      <c r="AZ183" s="6">
        <v>0.10376194881282801</v>
      </c>
      <c r="BA183" s="6">
        <v>0.53861564659921901</v>
      </c>
      <c r="BB183" s="6">
        <v>0.38363157184705499</v>
      </c>
      <c r="BC183" s="6">
        <v>4.4155199660807901E-2</v>
      </c>
      <c r="BD183" s="6">
        <v>0.16404322772124599</v>
      </c>
      <c r="BE183" s="8">
        <v>0.19961262719704001</v>
      </c>
      <c r="BF183" s="10">
        <v>277157</v>
      </c>
      <c r="BG183" s="11">
        <v>125632</v>
      </c>
      <c r="BH183" s="11">
        <v>92065</v>
      </c>
      <c r="BI183" s="11">
        <v>53905</v>
      </c>
      <c r="BJ183" s="12">
        <v>0.45328820848833001</v>
      </c>
      <c r="BK183" s="12">
        <v>0.33217634770184401</v>
      </c>
      <c r="BL183" s="12">
        <v>0.19449265217909001</v>
      </c>
      <c r="BM183" s="12">
        <v>0.121111860786486</v>
      </c>
      <c r="BN183" s="12">
        <v>0.137683695522754</v>
      </c>
      <c r="BO183" s="12">
        <v>5.83820722550756E-2</v>
      </c>
      <c r="BP183" s="12">
        <v>0.13611057992401401</v>
      </c>
      <c r="BQ183" s="13">
        <v>66167</v>
      </c>
      <c r="BR183" s="13">
        <v>109646</v>
      </c>
      <c r="BS183" s="13">
        <v>900658</v>
      </c>
      <c r="BT183" s="11">
        <v>701352</v>
      </c>
      <c r="BU183" s="11">
        <v>756937</v>
      </c>
      <c r="BV183" s="12">
        <v>7.9254069283327094E-2</v>
      </c>
      <c r="BW183" s="12">
        <v>0.44610873219915598</v>
      </c>
      <c r="BX183" s="12">
        <v>0.46467251822194799</v>
      </c>
      <c r="BY183" s="12">
        <v>3.6342663883470801E-2</v>
      </c>
      <c r="BZ183" s="12">
        <v>0.16126994718771701</v>
      </c>
      <c r="CA183" s="14">
        <v>0.19915106822251899</v>
      </c>
      <c r="CB183" s="86">
        <f t="shared" si="35"/>
        <v>25928456.643094368</v>
      </c>
      <c r="CC183" s="83">
        <v>8633167.0080949701</v>
      </c>
      <c r="CD183" s="83">
        <v>13965155.774999401</v>
      </c>
      <c r="CE183" s="83">
        <v>2200701.6899999902</v>
      </c>
      <c r="CF183" s="83">
        <v>1129432.1700000099</v>
      </c>
      <c r="CG183" s="90">
        <f t="shared" si="36"/>
        <v>0.33296108314238121</v>
      </c>
      <c r="CH183" s="90">
        <f t="shared" si="36"/>
        <v>0.53860343356451945</v>
      </c>
      <c r="CI183" s="90">
        <f t="shared" si="31"/>
        <v>8.4875923017427732E-2</v>
      </c>
      <c r="CK183" s="86">
        <f t="shared" si="27"/>
        <v>26325264</v>
      </c>
      <c r="CL183" s="83">
        <v>8687244</v>
      </c>
      <c r="CM183" s="83">
        <v>14224383</v>
      </c>
      <c r="CN183" s="83">
        <v>2261004</v>
      </c>
      <c r="CO183" s="83">
        <v>1152633</v>
      </c>
      <c r="CP183" s="90">
        <f t="shared" si="28"/>
        <v>0.32999646271353633</v>
      </c>
      <c r="CQ183" s="90">
        <f t="shared" si="28"/>
        <v>0.54033201718318946</v>
      </c>
      <c r="CR183" s="90">
        <f t="shared" si="28"/>
        <v>8.5887229848863059E-2</v>
      </c>
    </row>
    <row r="184" spans="1:97" ht="37.5" thickTop="1" thickBot="1" x14ac:dyDescent="0.3">
      <c r="A184" s="3" t="s">
        <v>300</v>
      </c>
      <c r="B184" s="3">
        <v>1410</v>
      </c>
      <c r="C184" s="3" t="s">
        <v>222</v>
      </c>
      <c r="D184" s="16">
        <v>41718</v>
      </c>
      <c r="E184" s="16" t="s">
        <v>561</v>
      </c>
      <c r="F184" s="16" t="s">
        <v>480</v>
      </c>
      <c r="G184" s="17">
        <v>23215</v>
      </c>
      <c r="H184" s="17">
        <v>32383</v>
      </c>
      <c r="I184" s="17" t="s">
        <v>585</v>
      </c>
      <c r="J184" s="18"/>
      <c r="K184" s="18" t="s">
        <v>598</v>
      </c>
      <c r="L184" s="18"/>
      <c r="M184" s="18" t="s">
        <v>598</v>
      </c>
      <c r="N184" s="10">
        <v>32032</v>
      </c>
      <c r="O184" s="11">
        <v>17593</v>
      </c>
      <c r="P184" s="11">
        <v>12859</v>
      </c>
      <c r="Q184" s="11">
        <v>5140</v>
      </c>
      <c r="R184" s="12">
        <v>0.54923201798201804</v>
      </c>
      <c r="S184" s="12">
        <v>0.40144230769230799</v>
      </c>
      <c r="T184" s="12">
        <v>0.16046453546453501</v>
      </c>
      <c r="U184" s="12">
        <v>0.14778971028971</v>
      </c>
      <c r="V184" s="12">
        <v>0.240977772227772</v>
      </c>
      <c r="W184" s="12">
        <v>8.4072177822177796E-2</v>
      </c>
      <c r="X184" s="12">
        <v>7.6392357642357606E-2</v>
      </c>
      <c r="Y184" s="13">
        <v>81753</v>
      </c>
      <c r="Z184" s="13">
        <v>99329</v>
      </c>
      <c r="AA184" s="13">
        <v>942980</v>
      </c>
      <c r="AB184" s="11">
        <v>83405</v>
      </c>
      <c r="AC184" s="11">
        <v>88496</v>
      </c>
      <c r="AD184" s="12">
        <v>6.1039506024818703E-2</v>
      </c>
      <c r="AE184" s="12">
        <v>0.27397330420236898</v>
      </c>
      <c r="AF184" s="12">
        <v>9.7560098315448707E-2</v>
      </c>
      <c r="AG184" s="12">
        <v>5.1567651819435303E-2</v>
      </c>
      <c r="AH184" s="12">
        <v>3.3655056651279901E-2</v>
      </c>
      <c r="AI184" s="14">
        <v>0.25169953839697901</v>
      </c>
      <c r="AJ184" s="4">
        <v>64808</v>
      </c>
      <c r="AK184" s="5">
        <v>38232</v>
      </c>
      <c r="AL184" s="5">
        <v>27674</v>
      </c>
      <c r="AM184" s="5">
        <v>11054</v>
      </c>
      <c r="AN184" s="6">
        <v>0.58992716948524904</v>
      </c>
      <c r="AO184" s="6">
        <v>0.42701518331070198</v>
      </c>
      <c r="AP184" s="6">
        <v>0.17056536230095101</v>
      </c>
      <c r="AQ184" s="6">
        <v>0.162911986174546</v>
      </c>
      <c r="AR184" s="6">
        <v>0.256449821009752</v>
      </c>
      <c r="AS184" s="6">
        <v>8.8445870880138194E-2</v>
      </c>
      <c r="AT184" s="6">
        <v>8.2119491420812193E-2</v>
      </c>
      <c r="AU184" s="7">
        <v>86894</v>
      </c>
      <c r="AV184" s="7">
        <v>103556</v>
      </c>
      <c r="AW184" s="7">
        <v>1012832</v>
      </c>
      <c r="AX184" s="5">
        <v>174858</v>
      </c>
      <c r="AY184" s="5">
        <v>188087</v>
      </c>
      <c r="AZ184" s="6">
        <v>7.5655674890482597E-2</v>
      </c>
      <c r="BA184" s="6">
        <v>0.28043074637950199</v>
      </c>
      <c r="BB184" s="6">
        <v>0.107281336856192</v>
      </c>
      <c r="BC184" s="6">
        <v>5.6708872342128999E-2</v>
      </c>
      <c r="BD184" s="6">
        <v>3.7121550057761202E-2</v>
      </c>
      <c r="BE184" s="8">
        <v>0.24676594722574899</v>
      </c>
      <c r="BF184" s="10">
        <v>124793</v>
      </c>
      <c r="BG184" s="11">
        <v>71834</v>
      </c>
      <c r="BH184" s="11">
        <v>51168</v>
      </c>
      <c r="BI184" s="11">
        <v>19349</v>
      </c>
      <c r="BJ184" s="12">
        <v>0.57562523538980503</v>
      </c>
      <c r="BK184" s="12">
        <v>0.41002299808482801</v>
      </c>
      <c r="BL184" s="12">
        <v>0.155048760747798</v>
      </c>
      <c r="BM184" s="12">
        <v>0.165602237304977</v>
      </c>
      <c r="BN184" s="12">
        <v>0.25497423733703001</v>
      </c>
      <c r="BO184" s="12">
        <v>8.1110318687746902E-2</v>
      </c>
      <c r="BP184" s="12">
        <v>7.3938442060051401E-2</v>
      </c>
      <c r="BQ184" s="13">
        <v>84515</v>
      </c>
      <c r="BR184" s="13">
        <v>100007</v>
      </c>
      <c r="BS184" s="13">
        <v>906185</v>
      </c>
      <c r="BT184" s="11">
        <v>347834</v>
      </c>
      <c r="BU184" s="11">
        <v>375367</v>
      </c>
      <c r="BV184" s="12">
        <v>7.9155574210686697E-2</v>
      </c>
      <c r="BW184" s="12">
        <v>0.25022377011279701</v>
      </c>
      <c r="BX184" s="12">
        <v>0.119410408413209</v>
      </c>
      <c r="BY184" s="12">
        <v>7.0162778796782399E-2</v>
      </c>
      <c r="BZ184" s="12">
        <v>5.6233720682854503E-2</v>
      </c>
      <c r="CA184" s="14">
        <v>0.236552493430774</v>
      </c>
      <c r="CB184" s="86">
        <f t="shared" si="35"/>
        <v>20398972.054999191</v>
      </c>
      <c r="CC184" s="83">
        <v>4013948.7049999</v>
      </c>
      <c r="CD184" s="83">
        <v>11174287.5799994</v>
      </c>
      <c r="CE184" s="83">
        <v>3919368.9799998798</v>
      </c>
      <c r="CF184" s="83">
        <v>1291366.79000001</v>
      </c>
      <c r="CG184" s="90">
        <f t="shared" si="36"/>
        <v>0.1967721066619236</v>
      </c>
      <c r="CH184" s="90">
        <f t="shared" si="36"/>
        <v>0.54778679777939643</v>
      </c>
      <c r="CI184" s="90">
        <f t="shared" si="31"/>
        <v>0.19213561200204485</v>
      </c>
      <c r="CK184" s="86">
        <f t="shared" si="27"/>
        <v>20274624</v>
      </c>
      <c r="CL184" s="83">
        <v>3897639</v>
      </c>
      <c r="CM184" s="83">
        <v>11235696</v>
      </c>
      <c r="CN184" s="83">
        <v>3845796</v>
      </c>
      <c r="CO184" s="83">
        <v>1295493</v>
      </c>
      <c r="CP184" s="90">
        <f t="shared" si="28"/>
        <v>0.19224223344413194</v>
      </c>
      <c r="CQ184" s="90">
        <f t="shared" si="28"/>
        <v>0.5541753080106443</v>
      </c>
      <c r="CR184" s="90">
        <f t="shared" si="28"/>
        <v>0.18968519465515118</v>
      </c>
    </row>
    <row r="185" spans="1:97" ht="49.5" thickTop="1" thickBot="1" x14ac:dyDescent="0.3">
      <c r="A185" s="3" t="s">
        <v>302</v>
      </c>
      <c r="B185" s="3">
        <v>1601</v>
      </c>
      <c r="C185" s="3" t="s">
        <v>230</v>
      </c>
      <c r="D185" s="16">
        <v>41957</v>
      </c>
      <c r="E185" s="16" t="s">
        <v>567</v>
      </c>
      <c r="F185" s="16" t="s">
        <v>656</v>
      </c>
      <c r="G185" s="17">
        <v>16739</v>
      </c>
      <c r="H185" s="17">
        <v>19322</v>
      </c>
      <c r="I185" s="17" t="s">
        <v>584</v>
      </c>
      <c r="J185" s="18"/>
      <c r="K185" s="18" t="s">
        <v>598</v>
      </c>
      <c r="L185" s="18"/>
      <c r="M185" s="18" t="s">
        <v>598</v>
      </c>
      <c r="N185" s="10">
        <v>40329</v>
      </c>
      <c r="O185" s="11">
        <v>22804</v>
      </c>
      <c r="P185" s="11">
        <v>17251</v>
      </c>
      <c r="Q185" s="11">
        <v>9742</v>
      </c>
      <c r="R185" s="12">
        <v>0.565449180490466</v>
      </c>
      <c r="S185" s="12">
        <v>0.42775670113317998</v>
      </c>
      <c r="T185" s="12">
        <v>0.24156314314761099</v>
      </c>
      <c r="U185" s="12">
        <v>0.13769247935728601</v>
      </c>
      <c r="V185" s="12">
        <v>0.186193557985569</v>
      </c>
      <c r="W185" s="12">
        <v>0.106201492722359</v>
      </c>
      <c r="X185" s="12">
        <v>0.135361650425252</v>
      </c>
      <c r="Y185" s="13">
        <v>85142</v>
      </c>
      <c r="Z185" s="13">
        <v>119119</v>
      </c>
      <c r="AA185" s="13">
        <v>1490117</v>
      </c>
      <c r="AB185" s="11">
        <v>90329</v>
      </c>
      <c r="AC185" s="11">
        <v>94430</v>
      </c>
      <c r="AD185" s="12">
        <v>4.5400701878687902E-2</v>
      </c>
      <c r="AE185" s="12">
        <v>0.57405235260055498</v>
      </c>
      <c r="AF185" s="12">
        <v>6.8494060600693005E-2</v>
      </c>
      <c r="AG185" s="12">
        <v>8.4314007683025397E-2</v>
      </c>
      <c r="AH185" s="12">
        <v>8.3649769177119193E-2</v>
      </c>
      <c r="AI185" s="14">
        <v>0.26055862458346701</v>
      </c>
      <c r="AJ185" s="4">
        <v>103796</v>
      </c>
      <c r="AK185" s="5">
        <v>62481</v>
      </c>
      <c r="AL185" s="5">
        <v>47999</v>
      </c>
      <c r="AM185" s="5">
        <v>28620</v>
      </c>
      <c r="AN185" s="6">
        <v>0.60195961308721002</v>
      </c>
      <c r="AO185" s="6">
        <v>0.46243593202050198</v>
      </c>
      <c r="AP185" s="6">
        <v>0.27573316890824301</v>
      </c>
      <c r="AQ185" s="6">
        <v>0.13952368106670801</v>
      </c>
      <c r="AR185" s="6">
        <v>0.186702763112259</v>
      </c>
      <c r="AS185" s="6">
        <v>0.107961771166519</v>
      </c>
      <c r="AT185" s="6">
        <v>0.167771397741724</v>
      </c>
      <c r="AU185" s="7">
        <v>91831</v>
      </c>
      <c r="AV185" s="7">
        <v>130407</v>
      </c>
      <c r="AW185" s="7">
        <v>1754024</v>
      </c>
      <c r="AX185" s="5">
        <v>244477</v>
      </c>
      <c r="AY185" s="5">
        <v>252589</v>
      </c>
      <c r="AZ185" s="6">
        <v>3.31810354348262E-2</v>
      </c>
      <c r="BA185" s="6">
        <v>0.56840035584163895</v>
      </c>
      <c r="BB185" s="6">
        <v>7.5872167933997897E-2</v>
      </c>
      <c r="BC185" s="6">
        <v>6.9200783713805405E-2</v>
      </c>
      <c r="BD185" s="6">
        <v>8.6580741746667397E-2</v>
      </c>
      <c r="BE185" s="8">
        <v>0.26664676022693301</v>
      </c>
      <c r="BF185" s="10">
        <v>203670</v>
      </c>
      <c r="BG185" s="11">
        <v>115478</v>
      </c>
      <c r="BH185" s="11">
        <v>85601</v>
      </c>
      <c r="BI185" s="11">
        <v>47478</v>
      </c>
      <c r="BJ185" s="12">
        <v>0.56698581037953599</v>
      </c>
      <c r="BK185" s="12">
        <v>0.42029263023518398</v>
      </c>
      <c r="BL185" s="12">
        <v>0.23311238768596301</v>
      </c>
      <c r="BM185" s="12">
        <v>0.14669318014435101</v>
      </c>
      <c r="BN185" s="12">
        <v>0.187180242549222</v>
      </c>
      <c r="BO185" s="12">
        <v>0.10098689055825601</v>
      </c>
      <c r="BP185" s="12">
        <v>0.13212549712770699</v>
      </c>
      <c r="BQ185" s="13">
        <v>84631</v>
      </c>
      <c r="BR185" s="13">
        <v>116998</v>
      </c>
      <c r="BS185" s="13">
        <v>1285391</v>
      </c>
      <c r="BT185" s="11">
        <v>468648</v>
      </c>
      <c r="BU185" s="11">
        <v>486458</v>
      </c>
      <c r="BV185" s="12">
        <v>3.8002936105563198E-2</v>
      </c>
      <c r="BW185" s="12">
        <v>0.56221303675508505</v>
      </c>
      <c r="BX185" s="12">
        <v>9.2199262559532993E-2</v>
      </c>
      <c r="BY185" s="12">
        <v>6.5535327153855294E-2</v>
      </c>
      <c r="BZ185" s="12">
        <v>0.11539364299004801</v>
      </c>
      <c r="CA185" s="14">
        <v>0.241637647018658</v>
      </c>
      <c r="CB185" s="86">
        <f t="shared" si="35"/>
        <v>38408617.244224794</v>
      </c>
      <c r="CC185" s="83">
        <v>15086010.9579161</v>
      </c>
      <c r="CD185" s="83">
        <v>14061800.7633327</v>
      </c>
      <c r="CE185" s="83">
        <v>8151593.1958331401</v>
      </c>
      <c r="CF185" s="83">
        <v>1109212.32714286</v>
      </c>
      <c r="CG185" s="90">
        <f t="shared" si="36"/>
        <v>0.39277672669105174</v>
      </c>
      <c r="CH185" s="90">
        <f t="shared" si="36"/>
        <v>0.36611057028998001</v>
      </c>
      <c r="CI185" s="90">
        <f t="shared" si="31"/>
        <v>0.212233446051975</v>
      </c>
      <c r="CK185" s="86">
        <f t="shared" si="27"/>
        <v>36733540</v>
      </c>
      <c r="CL185" s="83">
        <v>14092419</v>
      </c>
      <c r="CM185" s="83">
        <v>13637956</v>
      </c>
      <c r="CN185" s="83">
        <v>7902565</v>
      </c>
      <c r="CO185" s="83">
        <v>1100600</v>
      </c>
      <c r="CP185" s="90">
        <f t="shared" si="28"/>
        <v>0.38363901219430524</v>
      </c>
      <c r="CQ185" s="90">
        <f t="shared" si="28"/>
        <v>0.37126713080198642</v>
      </c>
      <c r="CR185" s="90">
        <f t="shared" si="28"/>
        <v>0.21513213809504883</v>
      </c>
    </row>
    <row r="186" spans="1:97" ht="37.5" thickTop="1" thickBot="1" x14ac:dyDescent="0.3">
      <c r="A186" s="3" t="s">
        <v>289</v>
      </c>
      <c r="B186" s="3">
        <v>306</v>
      </c>
      <c r="C186" s="3" t="s">
        <v>53</v>
      </c>
      <c r="D186" s="16">
        <v>44819</v>
      </c>
      <c r="E186" s="16" t="s">
        <v>526</v>
      </c>
      <c r="F186" s="16" t="s">
        <v>666</v>
      </c>
      <c r="G186" s="17">
        <v>25433</v>
      </c>
      <c r="H186" s="17">
        <v>30091</v>
      </c>
      <c r="I186" s="17" t="s">
        <v>585</v>
      </c>
      <c r="J186" s="18" t="s">
        <v>581</v>
      </c>
      <c r="K186" s="18" t="s">
        <v>598</v>
      </c>
      <c r="L186" s="18"/>
      <c r="M186" s="18" t="s">
        <v>598</v>
      </c>
      <c r="N186" s="10">
        <v>31773</v>
      </c>
      <c r="O186" s="11">
        <v>20156</v>
      </c>
      <c r="P186" s="11">
        <v>15842</v>
      </c>
      <c r="Q186" s="11">
        <v>9777</v>
      </c>
      <c r="R186" s="12">
        <v>0.63437509835394801</v>
      </c>
      <c r="S186" s="12">
        <v>0.49859943977590998</v>
      </c>
      <c r="T186" s="12">
        <v>0.30771409687470502</v>
      </c>
      <c r="U186" s="12">
        <v>0.135775658578038</v>
      </c>
      <c r="V186" s="12">
        <v>0.19088534290120501</v>
      </c>
      <c r="W186" s="12">
        <v>0.127592610077739</v>
      </c>
      <c r="X186" s="12">
        <v>0.18012148679696599</v>
      </c>
      <c r="Y186" s="13">
        <v>99699</v>
      </c>
      <c r="Z186" s="13">
        <v>134063</v>
      </c>
      <c r="AA186" s="13">
        <v>1882394</v>
      </c>
      <c r="AB186" s="11">
        <v>91423</v>
      </c>
      <c r="AC186" s="11">
        <v>92047</v>
      </c>
      <c r="AD186" s="12">
        <v>6.8254159237828597E-3</v>
      </c>
      <c r="AE186" s="12">
        <v>0.40469530783494101</v>
      </c>
      <c r="AF186" s="12">
        <v>0.27152904630125901</v>
      </c>
      <c r="AG186" s="12">
        <v>8.1281515592356399E-2</v>
      </c>
      <c r="AH186" s="12">
        <v>5.9394244336764303E-2</v>
      </c>
      <c r="AI186" s="14">
        <v>0.25865482427835401</v>
      </c>
      <c r="AJ186" s="4">
        <v>125089</v>
      </c>
      <c r="AK186" s="5">
        <v>67587</v>
      </c>
      <c r="AL186" s="5">
        <v>52042</v>
      </c>
      <c r="AM186" s="5">
        <v>30952</v>
      </c>
      <c r="AN186" s="6">
        <v>0.54031129835557101</v>
      </c>
      <c r="AO186" s="6">
        <v>0.41603977967687</v>
      </c>
      <c r="AP186" s="6">
        <v>0.247439822846134</v>
      </c>
      <c r="AQ186" s="6">
        <v>0.124271518678701</v>
      </c>
      <c r="AR186" s="6">
        <v>0.168599956830737</v>
      </c>
      <c r="AS186" s="6">
        <v>0.101343843183653</v>
      </c>
      <c r="AT186" s="6">
        <v>0.14609597966248</v>
      </c>
      <c r="AU186" s="7">
        <v>81688</v>
      </c>
      <c r="AV186" s="7">
        <v>117621</v>
      </c>
      <c r="AW186" s="7">
        <v>1403105</v>
      </c>
      <c r="AX186" s="5">
        <v>364735</v>
      </c>
      <c r="AY186" s="5">
        <v>367450</v>
      </c>
      <c r="AZ186" s="6">
        <v>7.44376053847314E-3</v>
      </c>
      <c r="BA186" s="6">
        <v>0.36830914301562401</v>
      </c>
      <c r="BB186" s="6">
        <v>0.372149642891414</v>
      </c>
      <c r="BC186" s="6">
        <v>6.3317202900736197E-2</v>
      </c>
      <c r="BD186" s="6">
        <v>0.131934143967538</v>
      </c>
      <c r="BE186" s="8">
        <v>0.245309608345785</v>
      </c>
      <c r="BF186" s="10">
        <v>253337</v>
      </c>
      <c r="BG186" s="11">
        <v>141442</v>
      </c>
      <c r="BH186" s="11">
        <v>110658</v>
      </c>
      <c r="BI186" s="11">
        <v>65539</v>
      </c>
      <c r="BJ186" s="12">
        <v>0.55831560332679397</v>
      </c>
      <c r="BK186" s="12">
        <v>0.43680157260881802</v>
      </c>
      <c r="BL186" s="12">
        <v>0.25870283456423698</v>
      </c>
      <c r="BM186" s="12">
        <v>0.12151403071797599</v>
      </c>
      <c r="BN186" s="12">
        <v>0.17809873804458101</v>
      </c>
      <c r="BO186" s="12">
        <v>0.10671161338454301</v>
      </c>
      <c r="BP186" s="12">
        <v>0.15199122117969299</v>
      </c>
      <c r="BQ186" s="13">
        <v>85356</v>
      </c>
      <c r="BR186" s="13">
        <v>120784</v>
      </c>
      <c r="BS186" s="13">
        <v>1418614</v>
      </c>
      <c r="BT186" s="11">
        <v>728280</v>
      </c>
      <c r="BU186" s="11">
        <v>733760</v>
      </c>
      <c r="BV186" s="12">
        <v>7.52457845883451E-3</v>
      </c>
      <c r="BW186" s="12">
        <v>0.38887998782334199</v>
      </c>
      <c r="BX186" s="12">
        <v>0.35951969022903302</v>
      </c>
      <c r="BY186" s="12">
        <v>7.0387762948316598E-2</v>
      </c>
      <c r="BZ186" s="12">
        <v>0.114137419673752</v>
      </c>
      <c r="CA186" s="14">
        <v>0.24533833141099601</v>
      </c>
      <c r="CB186" s="86">
        <f t="shared" si="35"/>
        <v>22609523.877499118</v>
      </c>
      <c r="CC186" s="83">
        <v>9645949.3793329298</v>
      </c>
      <c r="CD186" s="83">
        <v>8522334.7283329293</v>
      </c>
      <c r="CE186" s="83">
        <v>3441214.2899999199</v>
      </c>
      <c r="CF186" s="83">
        <v>1000025.47983334</v>
      </c>
      <c r="CG186" s="90">
        <f t="shared" si="36"/>
        <v>0.42663213217561513</v>
      </c>
      <c r="CH186" s="90">
        <f t="shared" si="36"/>
        <v>0.37693561237768092</v>
      </c>
      <c r="CI186" s="90">
        <f t="shared" si="31"/>
        <v>0.15220197951291661</v>
      </c>
      <c r="CK186" s="86">
        <f t="shared" si="27"/>
        <v>25165048</v>
      </c>
      <c r="CL186" s="83">
        <v>10622618</v>
      </c>
      <c r="CM186" s="83">
        <v>9683734</v>
      </c>
      <c r="CN186" s="83">
        <v>3800699</v>
      </c>
      <c r="CO186" s="83">
        <v>1057997</v>
      </c>
      <c r="CP186" s="90">
        <f t="shared" si="28"/>
        <v>0.42211793118773311</v>
      </c>
      <c r="CQ186" s="90">
        <f t="shared" si="28"/>
        <v>0.38480888254216722</v>
      </c>
      <c r="CR186" s="90">
        <f t="shared" si="28"/>
        <v>0.151030866303136</v>
      </c>
      <c r="CS186" s="153">
        <f t="shared" ref="CS186:CS187" si="37">CK186/CB186-1</f>
        <v>0.11302865714231713</v>
      </c>
    </row>
    <row r="187" spans="1:97" ht="37.5" thickTop="1" thickBot="1" x14ac:dyDescent="0.3">
      <c r="A187" s="3" t="s">
        <v>302</v>
      </c>
      <c r="B187" s="3">
        <v>1609</v>
      </c>
      <c r="C187" s="3" t="s">
        <v>238</v>
      </c>
      <c r="D187" s="16">
        <v>44805</v>
      </c>
      <c r="E187" s="16" t="s">
        <v>567</v>
      </c>
      <c r="F187" s="16" t="s">
        <v>654</v>
      </c>
      <c r="G187" s="17">
        <v>20387</v>
      </c>
      <c r="H187" s="17">
        <v>23584</v>
      </c>
      <c r="I187" s="17" t="s">
        <v>585</v>
      </c>
      <c r="J187" s="18"/>
      <c r="K187" s="18" t="s">
        <v>598</v>
      </c>
      <c r="L187" s="18"/>
      <c r="M187" s="18" t="s">
        <v>598</v>
      </c>
      <c r="N187" s="10">
        <v>30018</v>
      </c>
      <c r="O187" s="11">
        <v>15747</v>
      </c>
      <c r="P187" s="11">
        <v>10776</v>
      </c>
      <c r="Q187" s="11">
        <v>4741</v>
      </c>
      <c r="R187" s="12">
        <v>0.52458524885069002</v>
      </c>
      <c r="S187" s="12">
        <v>0.35898460923445902</v>
      </c>
      <c r="T187" s="12">
        <v>0.15793857019121901</v>
      </c>
      <c r="U187" s="12">
        <v>0.16560063961623001</v>
      </c>
      <c r="V187" s="12">
        <v>0.201046039043241</v>
      </c>
      <c r="W187" s="12">
        <v>9.1645012992204705E-2</v>
      </c>
      <c r="X187" s="12">
        <v>6.6293557199013906E-2</v>
      </c>
      <c r="Y187" s="13">
        <v>77779</v>
      </c>
      <c r="Z187" s="13">
        <v>94995</v>
      </c>
      <c r="AA187" s="13">
        <v>909518</v>
      </c>
      <c r="AB187" s="11">
        <v>78718</v>
      </c>
      <c r="AC187" s="11">
        <v>80895</v>
      </c>
      <c r="AD187" s="12">
        <v>2.7655682309001801E-2</v>
      </c>
      <c r="AE187" s="12">
        <v>0.31271755122546402</v>
      </c>
      <c r="AF187" s="12">
        <v>4.3890850885439203E-2</v>
      </c>
      <c r="AG187" s="12">
        <v>3.93810818364288E-2</v>
      </c>
      <c r="AH187" s="12">
        <v>9.1110038364795906E-2</v>
      </c>
      <c r="AI187" s="14">
        <v>0.25990243654564399</v>
      </c>
      <c r="AJ187" s="4">
        <v>62136</v>
      </c>
      <c r="AK187" s="5">
        <v>36507</v>
      </c>
      <c r="AL187" s="5">
        <v>26079</v>
      </c>
      <c r="AM187" s="5">
        <v>12157</v>
      </c>
      <c r="AN187" s="6">
        <v>0.58753379683275397</v>
      </c>
      <c r="AO187" s="6">
        <v>0.41970838161452301</v>
      </c>
      <c r="AP187" s="6">
        <v>0.19565147418565701</v>
      </c>
      <c r="AQ187" s="6">
        <v>0.16782541521823099</v>
      </c>
      <c r="AR187" s="6">
        <v>0.224056907428866</v>
      </c>
      <c r="AS187" s="6">
        <v>0.10958220677224199</v>
      </c>
      <c r="AT187" s="6">
        <v>8.6069267413415695E-2</v>
      </c>
      <c r="AU187" s="7">
        <v>86096</v>
      </c>
      <c r="AV187" s="7">
        <v>104996</v>
      </c>
      <c r="AW187" s="7">
        <v>1108287</v>
      </c>
      <c r="AX187" s="5">
        <v>171122</v>
      </c>
      <c r="AY187" s="5">
        <v>178024</v>
      </c>
      <c r="AZ187" s="6">
        <v>4.0333796940194698E-2</v>
      </c>
      <c r="BA187" s="6">
        <v>0.33825338253382498</v>
      </c>
      <c r="BB187" s="6">
        <v>4.2308995921038803E-2</v>
      </c>
      <c r="BC187" s="6">
        <v>5.2833650845595499E-2</v>
      </c>
      <c r="BD187" s="6">
        <v>8.8924860625752403E-2</v>
      </c>
      <c r="BE187" s="8">
        <v>0.25166255653861003</v>
      </c>
      <c r="BF187" s="10">
        <v>104256</v>
      </c>
      <c r="BG187" s="11">
        <v>61069</v>
      </c>
      <c r="BH187" s="11">
        <v>43019</v>
      </c>
      <c r="BI187" s="11">
        <v>19774</v>
      </c>
      <c r="BJ187" s="12">
        <v>0.58576005217925098</v>
      </c>
      <c r="BK187" s="12">
        <v>0.41262852977286701</v>
      </c>
      <c r="BL187" s="12">
        <v>0.18966774094536501</v>
      </c>
      <c r="BM187" s="12">
        <v>0.17313152240638399</v>
      </c>
      <c r="BN187" s="12">
        <v>0.222960788827502</v>
      </c>
      <c r="BO187" s="12">
        <v>0.106813996316759</v>
      </c>
      <c r="BP187" s="12">
        <v>8.2853744628606493E-2</v>
      </c>
      <c r="BQ187" s="13">
        <v>85409</v>
      </c>
      <c r="BR187" s="13">
        <v>103938</v>
      </c>
      <c r="BS187" s="13">
        <v>1091342</v>
      </c>
      <c r="BT187" s="11">
        <v>288304</v>
      </c>
      <c r="BU187" s="11">
        <v>300175</v>
      </c>
      <c r="BV187" s="12">
        <v>4.11752871968478E-2</v>
      </c>
      <c r="BW187" s="12">
        <v>0.34354815234902403</v>
      </c>
      <c r="BX187" s="12">
        <v>4.4088878406126901E-2</v>
      </c>
      <c r="BY187" s="12">
        <v>7.6242438537099694E-2</v>
      </c>
      <c r="BZ187" s="12">
        <v>0.110886425439814</v>
      </c>
      <c r="CA187" s="14">
        <v>0.25116890504467498</v>
      </c>
      <c r="CB187" s="86">
        <f t="shared" si="35"/>
        <v>20174430.014999334</v>
      </c>
      <c r="CC187" s="83">
        <v>5079617.28499984</v>
      </c>
      <c r="CD187" s="83">
        <v>8608947.4199996497</v>
      </c>
      <c r="CE187" s="83">
        <v>5850829.48999984</v>
      </c>
      <c r="CF187" s="83">
        <v>635035.82000000298</v>
      </c>
      <c r="CG187" s="90">
        <f t="shared" si="36"/>
        <v>0.25178492186511509</v>
      </c>
      <c r="CH187" s="90">
        <f t="shared" si="36"/>
        <v>0.42672568263881799</v>
      </c>
      <c r="CI187" s="90">
        <f t="shared" si="31"/>
        <v>0.29001213346051669</v>
      </c>
      <c r="CK187" s="86">
        <f t="shared" si="27"/>
        <v>20101650</v>
      </c>
      <c r="CL187" s="83">
        <v>4861426</v>
      </c>
      <c r="CM187" s="83">
        <v>8740594</v>
      </c>
      <c r="CN187" s="83">
        <v>5870046</v>
      </c>
      <c r="CO187" s="83">
        <v>629584</v>
      </c>
      <c r="CP187" s="90">
        <f t="shared" si="28"/>
        <v>0.24184213733698479</v>
      </c>
      <c r="CQ187" s="90">
        <f t="shared" si="28"/>
        <v>0.4348197287287362</v>
      </c>
      <c r="CR187" s="90">
        <f t="shared" si="28"/>
        <v>0.29201811791569349</v>
      </c>
      <c r="CS187" s="153">
        <f t="shared" si="37"/>
        <v>-3.6075376080129118E-3</v>
      </c>
    </row>
    <row r="188" spans="1:97" ht="37.5" thickTop="1" thickBot="1" x14ac:dyDescent="0.3">
      <c r="A188" s="3" t="s">
        <v>289</v>
      </c>
      <c r="B188" s="3">
        <v>303</v>
      </c>
      <c r="C188" s="3" t="s">
        <v>50</v>
      </c>
      <c r="D188" s="16">
        <v>37325</v>
      </c>
      <c r="E188" s="16" t="s">
        <v>525</v>
      </c>
      <c r="F188" s="16" t="s">
        <v>335</v>
      </c>
      <c r="G188" s="17">
        <v>23019</v>
      </c>
      <c r="H188" s="17">
        <v>28763</v>
      </c>
      <c r="I188" s="17" t="s">
        <v>585</v>
      </c>
      <c r="J188" s="18"/>
      <c r="K188" s="18" t="s">
        <v>519</v>
      </c>
      <c r="L188" s="18"/>
      <c r="M188" s="18" t="s">
        <v>598</v>
      </c>
      <c r="N188" s="10">
        <v>70168</v>
      </c>
      <c r="O188" s="11">
        <v>43883</v>
      </c>
      <c r="P188" s="11">
        <v>34852</v>
      </c>
      <c r="Q188" s="11">
        <v>21033</v>
      </c>
      <c r="R188" s="12">
        <v>0.62539904229848398</v>
      </c>
      <c r="S188" s="12">
        <v>0.49669364952685002</v>
      </c>
      <c r="T188" s="12">
        <v>0.29975202371451398</v>
      </c>
      <c r="U188" s="12">
        <v>0.12870539277163401</v>
      </c>
      <c r="V188" s="12">
        <v>0.19694162581233601</v>
      </c>
      <c r="W188" s="12">
        <v>0.12484323338273901</v>
      </c>
      <c r="X188" s="12">
        <v>0.174908790331775</v>
      </c>
      <c r="Y188" s="13">
        <v>99175</v>
      </c>
      <c r="Z188" s="13">
        <v>129279</v>
      </c>
      <c r="AA188" s="13">
        <v>1567661</v>
      </c>
      <c r="AB188" s="11">
        <v>192713</v>
      </c>
      <c r="AC188" s="11">
        <v>199280</v>
      </c>
      <c r="AD188" s="12">
        <v>3.4076580199571403E-2</v>
      </c>
      <c r="AE188" s="12">
        <v>0.48191425317869602</v>
      </c>
      <c r="AF188" s="12">
        <v>0.28480694089137698</v>
      </c>
      <c r="AG188" s="12">
        <v>0.15921603628193201</v>
      </c>
      <c r="AH188" s="12">
        <v>0.160035908319626</v>
      </c>
      <c r="AI188" s="14">
        <v>0.26203733012303299</v>
      </c>
      <c r="AJ188" s="4">
        <v>174536</v>
      </c>
      <c r="AK188" s="5">
        <v>108385</v>
      </c>
      <c r="AL188" s="5">
        <v>86671</v>
      </c>
      <c r="AM188" s="5">
        <v>52050</v>
      </c>
      <c r="AN188" s="6">
        <v>0.62098936609066302</v>
      </c>
      <c r="AO188" s="6">
        <v>0.49657950222303698</v>
      </c>
      <c r="AP188" s="6">
        <v>0.29821927854425501</v>
      </c>
      <c r="AQ188" s="6">
        <v>0.12440986386762599</v>
      </c>
      <c r="AR188" s="6">
        <v>0.198360223678783</v>
      </c>
      <c r="AS188" s="6">
        <v>0.12162533803914399</v>
      </c>
      <c r="AT188" s="6">
        <v>0.17659394050511101</v>
      </c>
      <c r="AU188" s="7">
        <v>99120</v>
      </c>
      <c r="AV188" s="7">
        <v>131217</v>
      </c>
      <c r="AW188" s="7">
        <v>1561975</v>
      </c>
      <c r="AX188" s="5">
        <v>477791</v>
      </c>
      <c r="AY188" s="5">
        <v>487852</v>
      </c>
      <c r="AZ188" s="6">
        <v>2.1057324227538799E-2</v>
      </c>
      <c r="BA188" s="6">
        <v>0.46786433779690301</v>
      </c>
      <c r="BB188" s="6">
        <v>0.27246222720813101</v>
      </c>
      <c r="BC188" s="6">
        <v>0.16734095033183999</v>
      </c>
      <c r="BD188" s="6">
        <v>0.105579636284484</v>
      </c>
      <c r="BE188" s="8">
        <v>0.26551148933320201</v>
      </c>
      <c r="BF188" s="10">
        <v>383133</v>
      </c>
      <c r="BG188" s="11">
        <v>214196</v>
      </c>
      <c r="BH188" s="11">
        <v>167376</v>
      </c>
      <c r="BI188" s="11">
        <v>96843</v>
      </c>
      <c r="BJ188" s="12">
        <v>0.55906434580158804</v>
      </c>
      <c r="BK188" s="12">
        <v>0.43686135101909801</v>
      </c>
      <c r="BL188" s="12">
        <v>0.252766010758666</v>
      </c>
      <c r="BM188" s="12">
        <v>0.122202994782491</v>
      </c>
      <c r="BN188" s="12">
        <v>0.18409534026043201</v>
      </c>
      <c r="BO188" s="12">
        <v>0.101533932081027</v>
      </c>
      <c r="BP188" s="12">
        <v>0.15123207867763899</v>
      </c>
      <c r="BQ188" s="13">
        <v>85432</v>
      </c>
      <c r="BR188" s="13">
        <v>119522</v>
      </c>
      <c r="BS188" s="13">
        <v>1273300</v>
      </c>
      <c r="BT188" s="11">
        <v>1057212</v>
      </c>
      <c r="BU188" s="11">
        <v>1073072</v>
      </c>
      <c r="BV188" s="12">
        <v>1.50017215090256E-2</v>
      </c>
      <c r="BW188" s="12">
        <v>0.43300157403394202</v>
      </c>
      <c r="BX188" s="12">
        <v>0.37241064233096099</v>
      </c>
      <c r="BY188" s="12">
        <v>0.13651188219581301</v>
      </c>
      <c r="BZ188" s="12">
        <v>0.105424456022066</v>
      </c>
      <c r="CA188" s="14">
        <v>0.25157962641362402</v>
      </c>
      <c r="CB188" s="86">
        <f t="shared" si="35"/>
        <v>48364402.704884678</v>
      </c>
      <c r="CC188" s="83">
        <v>22508191.9232185</v>
      </c>
      <c r="CD188" s="83">
        <v>17704767.389999699</v>
      </c>
      <c r="CE188" s="83">
        <v>6445143.4849998103</v>
      </c>
      <c r="CF188" s="83">
        <v>1706299.90666667</v>
      </c>
      <c r="CG188" s="90">
        <f t="shared" si="36"/>
        <v>0.46538757152779292</v>
      </c>
      <c r="CH188" s="90">
        <f t="shared" si="36"/>
        <v>0.36607021693274344</v>
      </c>
      <c r="CI188" s="90">
        <f t="shared" si="31"/>
        <v>0.13326213339855569</v>
      </c>
      <c r="CK188" s="86">
        <f t="shared" si="27"/>
        <v>48080212</v>
      </c>
      <c r="CL188" s="83">
        <v>21620581</v>
      </c>
      <c r="CM188" s="83">
        <v>18439752</v>
      </c>
      <c r="CN188" s="83">
        <v>6367577</v>
      </c>
      <c r="CO188" s="83">
        <v>1652302</v>
      </c>
      <c r="CP188" s="90">
        <f t="shared" si="28"/>
        <v>0.44967732255423498</v>
      </c>
      <c r="CQ188" s="90">
        <f t="shared" si="28"/>
        <v>0.38352060510881275</v>
      </c>
      <c r="CR188" s="90">
        <f t="shared" si="28"/>
        <v>0.13243654166915902</v>
      </c>
    </row>
    <row r="189" spans="1:97" ht="25.5" thickTop="1" thickBot="1" x14ac:dyDescent="0.3">
      <c r="A189" s="3" t="s">
        <v>292</v>
      </c>
      <c r="B189" s="3" t="s">
        <v>619</v>
      </c>
      <c r="C189" s="3" t="s">
        <v>719</v>
      </c>
      <c r="D189" s="16">
        <v>45435</v>
      </c>
      <c r="E189" s="16" t="s">
        <v>536</v>
      </c>
      <c r="F189" s="16" t="s">
        <v>620</v>
      </c>
      <c r="G189" s="17">
        <f>0.8*H189</f>
        <v>12400</v>
      </c>
      <c r="H189" s="17">
        <v>15500</v>
      </c>
      <c r="I189" s="17" t="s">
        <v>584</v>
      </c>
      <c r="J189" s="18"/>
      <c r="K189" s="18"/>
      <c r="L189" s="18"/>
      <c r="M189" s="18" t="s">
        <v>598</v>
      </c>
      <c r="N189" s="47">
        <v>19195</v>
      </c>
      <c r="O189" s="48">
        <v>11949</v>
      </c>
      <c r="P189" s="48">
        <v>8980</v>
      </c>
      <c r="Q189" s="48">
        <v>4515</v>
      </c>
      <c r="R189" s="49">
        <v>0.62250586090127602</v>
      </c>
      <c r="S189" s="49">
        <v>0.46783016410523598</v>
      </c>
      <c r="T189" s="49">
        <v>0.23521750455847901</v>
      </c>
      <c r="U189" s="49">
        <v>0.15467569679604101</v>
      </c>
      <c r="V189" s="49">
        <v>0.232612659546757</v>
      </c>
      <c r="W189" s="49">
        <v>0.11346704871060199</v>
      </c>
      <c r="X189" s="49">
        <v>0.121750455847877</v>
      </c>
      <c r="Y189" s="50">
        <v>93527</v>
      </c>
      <c r="Z189" s="50">
        <v>123290</v>
      </c>
      <c r="AA189" s="50">
        <v>1078624</v>
      </c>
      <c r="AB189" s="48">
        <v>50124</v>
      </c>
      <c r="AC189" s="48">
        <v>52531</v>
      </c>
      <c r="AD189" s="49">
        <v>4.8020908147793501E-2</v>
      </c>
      <c r="AE189" s="49">
        <v>0.47502008510131799</v>
      </c>
      <c r="AF189" s="49">
        <v>0.14897055302848899</v>
      </c>
      <c r="AG189" s="49">
        <v>7.2899209959300895E-2</v>
      </c>
      <c r="AH189" s="49">
        <v>0.26885324395499199</v>
      </c>
      <c r="AI189" s="104">
        <v>0.23056819088660099</v>
      </c>
      <c r="AJ189" s="105">
        <v>50373</v>
      </c>
      <c r="AK189" s="51">
        <v>31069</v>
      </c>
      <c r="AL189" s="51">
        <v>23349</v>
      </c>
      <c r="AM189" s="51">
        <v>12750</v>
      </c>
      <c r="AN189" s="52">
        <v>0.61677882992873201</v>
      </c>
      <c r="AO189" s="52">
        <v>0.46352212494788902</v>
      </c>
      <c r="AP189" s="52">
        <v>0.25311178607587398</v>
      </c>
      <c r="AQ189" s="52">
        <v>0.15325670498084301</v>
      </c>
      <c r="AR189" s="52">
        <v>0.21041033887201499</v>
      </c>
      <c r="AS189" s="52">
        <v>0.12181128779306399</v>
      </c>
      <c r="AT189" s="52">
        <v>0.13130049828281001</v>
      </c>
      <c r="AU189" s="53">
        <v>92656</v>
      </c>
      <c r="AV189" s="53">
        <v>125133</v>
      </c>
      <c r="AW189" s="53">
        <v>1119212</v>
      </c>
      <c r="AX189" s="51">
        <v>128810</v>
      </c>
      <c r="AY189" s="51">
        <v>135841</v>
      </c>
      <c r="AZ189" s="52">
        <v>5.4584271407499399E-2</v>
      </c>
      <c r="BA189" s="52">
        <v>0.48596782755198598</v>
      </c>
      <c r="BB189" s="52">
        <v>0.142993556400901</v>
      </c>
      <c r="BC189" s="52">
        <v>8.2020029500815106E-2</v>
      </c>
      <c r="BD189" s="52">
        <v>0.232815775172735</v>
      </c>
      <c r="BE189" s="54">
        <v>0.22834407266516599</v>
      </c>
      <c r="BF189" s="106">
        <v>88251</v>
      </c>
      <c r="BG189" s="55">
        <v>50708</v>
      </c>
      <c r="BH189" s="55">
        <v>37328</v>
      </c>
      <c r="BI189" s="55">
        <v>20030</v>
      </c>
      <c r="BJ189" s="56">
        <v>0.574588389933259</v>
      </c>
      <c r="BK189" s="56">
        <v>0.42297537704955201</v>
      </c>
      <c r="BL189" s="56">
        <v>0.22696626667119901</v>
      </c>
      <c r="BM189" s="56">
        <v>0.15161301288370699</v>
      </c>
      <c r="BN189" s="56">
        <v>0.196009110378353</v>
      </c>
      <c r="BO189" s="56">
        <v>0.10990243736614901</v>
      </c>
      <c r="BP189" s="56">
        <v>0.11706382930504999</v>
      </c>
      <c r="BQ189" s="57">
        <v>85461</v>
      </c>
      <c r="BR189" s="57">
        <v>117407</v>
      </c>
      <c r="BS189" s="57">
        <v>1024359</v>
      </c>
      <c r="BT189" s="55">
        <v>226802</v>
      </c>
      <c r="BU189" s="55">
        <v>239288</v>
      </c>
      <c r="BV189" s="56">
        <v>5.5052424581793803E-2</v>
      </c>
      <c r="BW189" s="56">
        <v>0.46196790876541599</v>
      </c>
      <c r="BX189" s="56">
        <v>0.1772294776942</v>
      </c>
      <c r="BY189" s="56">
        <v>6.7702224848105397E-2</v>
      </c>
      <c r="BZ189" s="56">
        <v>0.215020149734129</v>
      </c>
      <c r="CA189" s="58">
        <v>0.22219380781474601</v>
      </c>
      <c r="CB189" s="98">
        <v>9000000</v>
      </c>
      <c r="CC189" s="83" t="s">
        <v>598</v>
      </c>
      <c r="CD189" s="83" t="s">
        <v>598</v>
      </c>
      <c r="CE189" s="83" t="s">
        <v>598</v>
      </c>
      <c r="CF189" s="83" t="s">
        <v>598</v>
      </c>
      <c r="CG189" s="99">
        <v>0.78</v>
      </c>
      <c r="CH189" s="99" t="str">
        <f t="shared" si="36"/>
        <v/>
      </c>
      <c r="CI189" s="90" t="str">
        <f t="shared" si="31"/>
        <v/>
      </c>
      <c r="CK189" s="98">
        <v>9000000</v>
      </c>
      <c r="CL189" s="83" t="s">
        <v>598</v>
      </c>
      <c r="CM189" s="83" t="s">
        <v>598</v>
      </c>
      <c r="CN189" s="83" t="s">
        <v>598</v>
      </c>
      <c r="CO189" s="83" t="s">
        <v>598</v>
      </c>
      <c r="CP189" s="99">
        <v>0.78</v>
      </c>
      <c r="CQ189" s="99" t="str">
        <f t="shared" ref="CQ189" si="38">IFERROR(CM189/$CB189,"")</f>
        <v/>
      </c>
      <c r="CR189" s="90" t="str">
        <f t="shared" si="28"/>
        <v/>
      </c>
    </row>
    <row r="190" spans="1:97" ht="25.5" thickTop="1" thickBot="1" x14ac:dyDescent="0.3">
      <c r="A190" s="3" t="s">
        <v>303</v>
      </c>
      <c r="B190" s="3">
        <v>1707</v>
      </c>
      <c r="C190" s="3" t="s">
        <v>245</v>
      </c>
      <c r="D190" s="16">
        <v>44987</v>
      </c>
      <c r="E190" s="16" t="s">
        <v>568</v>
      </c>
      <c r="F190" s="16" t="s">
        <v>609</v>
      </c>
      <c r="G190" s="17">
        <v>19336</v>
      </c>
      <c r="H190" s="17">
        <v>23400</v>
      </c>
      <c r="I190" s="17" t="s">
        <v>584</v>
      </c>
      <c r="J190" s="18"/>
      <c r="K190" s="18" t="s">
        <v>598</v>
      </c>
      <c r="L190" s="18"/>
      <c r="M190" s="18" t="s">
        <v>598</v>
      </c>
      <c r="N190" s="10">
        <v>173685</v>
      </c>
      <c r="O190" s="11">
        <v>89256</v>
      </c>
      <c r="P190" s="11">
        <v>73827</v>
      </c>
      <c r="Q190" s="11">
        <v>48707</v>
      </c>
      <c r="R190" s="12">
        <v>0.51389584592797299</v>
      </c>
      <c r="S190" s="12">
        <v>0.42506261335175699</v>
      </c>
      <c r="T190" s="12">
        <v>0.280432967728935</v>
      </c>
      <c r="U190" s="12">
        <v>8.8833232576215601E-2</v>
      </c>
      <c r="V190" s="12">
        <v>0.14462964562282299</v>
      </c>
      <c r="W190" s="12">
        <v>0.107412845093128</v>
      </c>
      <c r="X190" s="12">
        <v>0.17302012263580599</v>
      </c>
      <c r="Y190" s="13">
        <v>78189</v>
      </c>
      <c r="Z190" s="13">
        <v>121747</v>
      </c>
      <c r="AA190" s="13">
        <v>535857</v>
      </c>
      <c r="AB190" s="11">
        <v>415800</v>
      </c>
      <c r="AC190" s="11">
        <v>437692</v>
      </c>
      <c r="AD190" s="12">
        <v>5.26503126503126E-2</v>
      </c>
      <c r="AE190" s="12">
        <v>0.55514114404209802</v>
      </c>
      <c r="AF190" s="12">
        <v>0.19181577681577699</v>
      </c>
      <c r="AG190" s="12">
        <v>0.126750841750842</v>
      </c>
      <c r="AH190" s="12">
        <v>0.23631794131794101</v>
      </c>
      <c r="AI190" s="14">
        <v>0.18075036075036099</v>
      </c>
      <c r="AJ190" s="4">
        <v>353454</v>
      </c>
      <c r="AK190" s="5">
        <v>191754</v>
      </c>
      <c r="AL190" s="5">
        <v>155589</v>
      </c>
      <c r="AM190" s="5">
        <v>96849</v>
      </c>
      <c r="AN190" s="6">
        <v>0.54251472610297202</v>
      </c>
      <c r="AO190" s="6">
        <v>0.44019589536403603</v>
      </c>
      <c r="AP190" s="6">
        <v>0.27400736729531999</v>
      </c>
      <c r="AQ190" s="6">
        <v>0.102318830738936</v>
      </c>
      <c r="AR190" s="6">
        <v>0.16618852806871601</v>
      </c>
      <c r="AS190" s="6">
        <v>0.11194667481482699</v>
      </c>
      <c r="AT190" s="6">
        <v>0.16206069248049301</v>
      </c>
      <c r="AU190" s="7">
        <v>83926</v>
      </c>
      <c r="AV190" s="7">
        <v>122115</v>
      </c>
      <c r="AW190" s="7">
        <v>634488</v>
      </c>
      <c r="AX190" s="5">
        <v>859700</v>
      </c>
      <c r="AY190" s="5">
        <v>899003</v>
      </c>
      <c r="AZ190" s="6">
        <v>4.5717110619983702E-2</v>
      </c>
      <c r="BA190" s="6">
        <v>0.575029229743236</v>
      </c>
      <c r="BB190" s="6">
        <v>0.197570082586949</v>
      </c>
      <c r="BC190" s="6">
        <v>0.13800511806444099</v>
      </c>
      <c r="BD190" s="6">
        <v>0.19333372106548799</v>
      </c>
      <c r="BE190" s="8">
        <v>0.185406537164127</v>
      </c>
      <c r="BF190" s="10">
        <v>544701</v>
      </c>
      <c r="BG190" s="11">
        <v>300577</v>
      </c>
      <c r="BH190" s="11">
        <v>242484</v>
      </c>
      <c r="BI190" s="11">
        <v>148811</v>
      </c>
      <c r="BJ190" s="12">
        <v>0.55182017290219798</v>
      </c>
      <c r="BK190" s="12">
        <v>0.44516900097484702</v>
      </c>
      <c r="BL190" s="12">
        <v>0.27319758913605802</v>
      </c>
      <c r="BM190" s="12">
        <v>0.106651171927351</v>
      </c>
      <c r="BN190" s="12">
        <v>0.171971411838789</v>
      </c>
      <c r="BO190" s="12">
        <v>0.11382758614359099</v>
      </c>
      <c r="BP190" s="12">
        <v>0.15937000299246701</v>
      </c>
      <c r="BQ190" s="13">
        <v>85600</v>
      </c>
      <c r="BR190" s="13">
        <v>122657</v>
      </c>
      <c r="BS190" s="13">
        <v>736744</v>
      </c>
      <c r="BT190" s="11">
        <v>1342563</v>
      </c>
      <c r="BU190" s="11">
        <v>1400711</v>
      </c>
      <c r="BV190" s="12">
        <v>4.3311189121106403E-2</v>
      </c>
      <c r="BW190" s="12">
        <v>0.55111354469823304</v>
      </c>
      <c r="BX190" s="12">
        <v>0.185971905973872</v>
      </c>
      <c r="BY190" s="12">
        <v>0.134078624243332</v>
      </c>
      <c r="BZ190" s="12">
        <v>0.16572555626812299</v>
      </c>
      <c r="CA190" s="14">
        <v>0.200241627394767</v>
      </c>
      <c r="CB190" s="98">
        <v>25800000</v>
      </c>
      <c r="CC190" s="83" t="s">
        <v>598</v>
      </c>
      <c r="CD190" s="83" t="s">
        <v>598</v>
      </c>
      <c r="CE190" s="83" t="s">
        <v>598</v>
      </c>
      <c r="CF190" s="83" t="s">
        <v>598</v>
      </c>
      <c r="CG190" s="90" t="str">
        <f t="shared" ref="CG190:CI225" si="39">IFERROR(CC190/$CB190,"")</f>
        <v/>
      </c>
      <c r="CH190" s="90" t="str">
        <f t="shared" si="36"/>
        <v/>
      </c>
      <c r="CI190" s="90" t="str">
        <f t="shared" si="31"/>
        <v/>
      </c>
      <c r="CK190" s="86">
        <f t="shared" si="27"/>
        <v>19683911</v>
      </c>
      <c r="CL190" s="83">
        <v>7512165</v>
      </c>
      <c r="CM190" s="83">
        <v>7698284</v>
      </c>
      <c r="CN190" s="83">
        <v>3525424</v>
      </c>
      <c r="CO190" s="83">
        <v>948038</v>
      </c>
      <c r="CP190" s="90">
        <f t="shared" si="28"/>
        <v>0.38163985805463152</v>
      </c>
      <c r="CQ190" s="90">
        <f t="shared" si="28"/>
        <v>0.39109524524877193</v>
      </c>
      <c r="CR190" s="90">
        <f t="shared" si="28"/>
        <v>0.17910180553041516</v>
      </c>
    </row>
    <row r="191" spans="1:97" ht="37.5" thickTop="1" thickBot="1" x14ac:dyDescent="0.3">
      <c r="A191" s="3" t="s">
        <v>312</v>
      </c>
      <c r="B191" s="3">
        <v>2602</v>
      </c>
      <c r="C191" s="3" t="s">
        <v>586</v>
      </c>
      <c r="D191" s="16">
        <v>44523</v>
      </c>
      <c r="E191" s="16" t="s">
        <v>579</v>
      </c>
      <c r="F191" s="16" t="s">
        <v>653</v>
      </c>
      <c r="G191" s="17">
        <v>23826</v>
      </c>
      <c r="H191" s="17">
        <v>30010</v>
      </c>
      <c r="I191" s="17" t="s">
        <v>585</v>
      </c>
      <c r="J191" s="18" t="s">
        <v>581</v>
      </c>
      <c r="K191" s="18" t="s">
        <v>519</v>
      </c>
      <c r="L191" s="18" t="s">
        <v>587</v>
      </c>
      <c r="M191" s="18" t="s">
        <v>519</v>
      </c>
      <c r="N191" s="10">
        <v>33852</v>
      </c>
      <c r="O191" s="11">
        <v>20284</v>
      </c>
      <c r="P191" s="11">
        <v>15260</v>
      </c>
      <c r="Q191" s="11">
        <v>8476</v>
      </c>
      <c r="R191" s="12">
        <v>0.59919650242230904</v>
      </c>
      <c r="S191" s="12">
        <v>0.45078577336641901</v>
      </c>
      <c r="T191" s="12">
        <v>0.25038402457757297</v>
      </c>
      <c r="U191" s="12">
        <v>0.14841072905589001</v>
      </c>
      <c r="V191" s="12">
        <v>0.20040174878884601</v>
      </c>
      <c r="W191" s="12">
        <v>0.123478671865769</v>
      </c>
      <c r="X191" s="12">
        <v>0.126905352711804</v>
      </c>
      <c r="Y191" s="13">
        <v>90056</v>
      </c>
      <c r="Z191" s="13">
        <v>117036</v>
      </c>
      <c r="AA191" s="13">
        <v>1420967</v>
      </c>
      <c r="AB191" s="11">
        <v>76173</v>
      </c>
      <c r="AC191" s="11">
        <v>76822</v>
      </c>
      <c r="AD191" s="12">
        <v>8.5200792931878697E-3</v>
      </c>
      <c r="AE191" s="12">
        <v>0.592735035195738</v>
      </c>
      <c r="AF191" s="12">
        <v>2.9236081026085398E-2</v>
      </c>
      <c r="AG191" s="12">
        <v>0.17286965197642201</v>
      </c>
      <c r="AH191" s="12">
        <v>9.2552479224922199E-2</v>
      </c>
      <c r="AI191" s="14">
        <v>0.27466425111259901</v>
      </c>
      <c r="AJ191" s="4">
        <v>74390</v>
      </c>
      <c r="AK191" s="5">
        <v>45935</v>
      </c>
      <c r="AL191" s="5">
        <v>35780</v>
      </c>
      <c r="AM191" s="5">
        <v>20381</v>
      </c>
      <c r="AN191" s="6">
        <v>0.61748890979970406</v>
      </c>
      <c r="AO191" s="6">
        <v>0.48097862615942999</v>
      </c>
      <c r="AP191" s="6">
        <v>0.273974996639333</v>
      </c>
      <c r="AQ191" s="6">
        <v>0.13651028364027401</v>
      </c>
      <c r="AR191" s="6">
        <v>0.20700362952009699</v>
      </c>
      <c r="AS191" s="6">
        <v>0.122261056593628</v>
      </c>
      <c r="AT191" s="6">
        <v>0.15171394004570499</v>
      </c>
      <c r="AU191" s="7">
        <v>95634</v>
      </c>
      <c r="AV191" s="7">
        <v>125992</v>
      </c>
      <c r="AW191" s="7">
        <v>1714835</v>
      </c>
      <c r="AX191" s="5">
        <v>176945</v>
      </c>
      <c r="AY191" s="5">
        <v>178296</v>
      </c>
      <c r="AZ191" s="6">
        <v>7.6351408629800202E-3</v>
      </c>
      <c r="BA191" s="6">
        <v>0.57055102507430799</v>
      </c>
      <c r="BB191" s="6">
        <v>2.8754697787448099E-2</v>
      </c>
      <c r="BC191" s="6">
        <v>0.15001271581564901</v>
      </c>
      <c r="BD191" s="6">
        <v>6.9699624177004094E-2</v>
      </c>
      <c r="BE191" s="8">
        <v>0.29217553477069103</v>
      </c>
      <c r="BF191" s="10">
        <v>144796</v>
      </c>
      <c r="BG191" s="11">
        <v>82751</v>
      </c>
      <c r="BH191" s="11">
        <v>62649</v>
      </c>
      <c r="BI191" s="11">
        <v>34536</v>
      </c>
      <c r="BJ191" s="12">
        <v>0.57150059393905905</v>
      </c>
      <c r="BK191" s="12">
        <v>0.43267079201082898</v>
      </c>
      <c r="BL191" s="12">
        <v>0.23851487610155001</v>
      </c>
      <c r="BM191" s="12">
        <v>0.13882980192823</v>
      </c>
      <c r="BN191" s="12">
        <v>0.194155915909279</v>
      </c>
      <c r="BO191" s="12">
        <v>0.106059559656344</v>
      </c>
      <c r="BP191" s="12">
        <v>0.132455316445206</v>
      </c>
      <c r="BQ191" s="13">
        <v>86113</v>
      </c>
      <c r="BR191" s="13">
        <v>116746</v>
      </c>
      <c r="BS191" s="13">
        <v>1528898</v>
      </c>
      <c r="BT191" s="11">
        <v>347029</v>
      </c>
      <c r="BU191" s="11">
        <v>349341</v>
      </c>
      <c r="BV191" s="12">
        <v>6.6622674185730897E-3</v>
      </c>
      <c r="BW191" s="12">
        <v>0.52039958555705401</v>
      </c>
      <c r="BX191" s="12">
        <v>3.1936812197251502E-2</v>
      </c>
      <c r="BY191" s="12">
        <v>0.122906154817033</v>
      </c>
      <c r="BZ191" s="12">
        <v>9.4323529157505595E-2</v>
      </c>
      <c r="CA191" s="14">
        <v>0.28437969161078802</v>
      </c>
      <c r="CB191" s="86">
        <f>IF(SUM(CC191:CF191)=0,"",SUM(CC191:CF191))</f>
        <v>30877766.489998188</v>
      </c>
      <c r="CC191" s="83">
        <v>11680518.169999201</v>
      </c>
      <c r="CD191" s="83">
        <v>13941375.7699991</v>
      </c>
      <c r="CE191" s="83">
        <v>3646239.7299998901</v>
      </c>
      <c r="CF191" s="83">
        <v>1609632.82</v>
      </c>
      <c r="CG191" s="90">
        <f t="shared" si="39"/>
        <v>0.37828248276256349</v>
      </c>
      <c r="CH191" s="90">
        <f t="shared" si="36"/>
        <v>0.45150207915831408</v>
      </c>
      <c r="CI191" s="90">
        <f t="shared" si="31"/>
        <v>0.1180862524878853</v>
      </c>
      <c r="CK191" s="86">
        <f t="shared" si="27"/>
        <v>31821252</v>
      </c>
      <c r="CL191" s="83">
        <v>11794941</v>
      </c>
      <c r="CM191" s="83">
        <v>14663221</v>
      </c>
      <c r="CN191" s="83">
        <v>3798568</v>
      </c>
      <c r="CO191" s="83">
        <v>1564522</v>
      </c>
      <c r="CP191" s="90">
        <f t="shared" si="28"/>
        <v>0.37066237997172458</v>
      </c>
      <c r="CQ191" s="90">
        <f t="shared" si="28"/>
        <v>0.46079962535729269</v>
      </c>
      <c r="CR191" s="90">
        <f t="shared" si="28"/>
        <v>0.11937204733490688</v>
      </c>
    </row>
    <row r="192" spans="1:97" ht="49.5" thickTop="1" thickBot="1" x14ac:dyDescent="0.3">
      <c r="A192" s="3" t="s">
        <v>291</v>
      </c>
      <c r="B192" s="3">
        <v>524</v>
      </c>
      <c r="C192" s="3" t="s">
        <v>79</v>
      </c>
      <c r="D192" s="16">
        <v>43363</v>
      </c>
      <c r="E192" s="16" t="s">
        <v>532</v>
      </c>
      <c r="F192" s="16" t="s">
        <v>361</v>
      </c>
      <c r="G192" s="17">
        <v>20925</v>
      </c>
      <c r="H192" s="17">
        <v>25000</v>
      </c>
      <c r="I192" s="17" t="s">
        <v>585</v>
      </c>
      <c r="J192" s="18"/>
      <c r="K192" s="18" t="s">
        <v>598</v>
      </c>
      <c r="L192" s="18"/>
      <c r="M192" s="18" t="s">
        <v>598</v>
      </c>
      <c r="N192" s="10">
        <v>28089</v>
      </c>
      <c r="O192" s="11">
        <v>16853</v>
      </c>
      <c r="P192" s="11">
        <v>13687</v>
      </c>
      <c r="Q192" s="11">
        <v>8854</v>
      </c>
      <c r="R192" s="12">
        <v>0.599985759550002</v>
      </c>
      <c r="S192" s="12">
        <v>0.48727259781409099</v>
      </c>
      <c r="T192" s="12">
        <v>0.31521236071059799</v>
      </c>
      <c r="U192" s="12">
        <v>0.112713161735911</v>
      </c>
      <c r="V192" s="12">
        <v>0.172060237103492</v>
      </c>
      <c r="W192" s="12">
        <v>0.12944569048381899</v>
      </c>
      <c r="X192" s="12">
        <v>0.18576667022677901</v>
      </c>
      <c r="Y192" s="13">
        <v>96493</v>
      </c>
      <c r="Z192" s="13">
        <v>135023</v>
      </c>
      <c r="AA192" s="13">
        <v>1623377</v>
      </c>
      <c r="AB192" s="11">
        <v>65467</v>
      </c>
      <c r="AC192" s="11">
        <v>72861</v>
      </c>
      <c r="AD192" s="12">
        <v>0.112942398460293</v>
      </c>
      <c r="AE192" s="12">
        <v>0.52116302436573703</v>
      </c>
      <c r="AF192" s="12">
        <v>0.20211709716345599</v>
      </c>
      <c r="AG192" s="12">
        <v>5.6165701803962298E-2</v>
      </c>
      <c r="AH192" s="12">
        <v>5.5340858753264999E-2</v>
      </c>
      <c r="AI192" s="14">
        <v>0.27395481693066698</v>
      </c>
      <c r="AJ192" s="4">
        <v>65602</v>
      </c>
      <c r="AK192" s="5">
        <v>42648</v>
      </c>
      <c r="AL192" s="5">
        <v>35123</v>
      </c>
      <c r="AM192" s="5">
        <v>22408</v>
      </c>
      <c r="AN192" s="6">
        <v>0.65010213103259096</v>
      </c>
      <c r="AO192" s="6">
        <v>0.53539526233956303</v>
      </c>
      <c r="AP192" s="6">
        <v>0.341574951983171</v>
      </c>
      <c r="AQ192" s="6">
        <v>0.114706868693028</v>
      </c>
      <c r="AR192" s="6">
        <v>0.19382031035639199</v>
      </c>
      <c r="AS192" s="6">
        <v>0.136733636169629</v>
      </c>
      <c r="AT192" s="6">
        <v>0.20484131581354201</v>
      </c>
      <c r="AU192" s="7">
        <v>106365</v>
      </c>
      <c r="AV192" s="7">
        <v>141021</v>
      </c>
      <c r="AW192" s="7">
        <v>1703161</v>
      </c>
      <c r="AX192" s="5">
        <v>169809</v>
      </c>
      <c r="AY192" s="5">
        <v>191314</v>
      </c>
      <c r="AZ192" s="6">
        <v>0.126642286333469</v>
      </c>
      <c r="BA192" s="6">
        <v>0.53264336671697099</v>
      </c>
      <c r="BB192" s="6">
        <v>0.21523005258849601</v>
      </c>
      <c r="BC192" s="6">
        <v>5.8306685746927399E-2</v>
      </c>
      <c r="BD192" s="6">
        <v>6.0350158118827602E-2</v>
      </c>
      <c r="BE192" s="8">
        <v>0.25392647032842802</v>
      </c>
      <c r="BF192" s="10">
        <v>107372</v>
      </c>
      <c r="BG192" s="11">
        <v>71752</v>
      </c>
      <c r="BH192" s="11">
        <v>58005</v>
      </c>
      <c r="BI192" s="11">
        <v>36250</v>
      </c>
      <c r="BJ192" s="12">
        <v>0.66825615616734302</v>
      </c>
      <c r="BK192" s="12">
        <v>0.54022463957083799</v>
      </c>
      <c r="BL192" s="12">
        <v>0.33761129530976403</v>
      </c>
      <c r="BM192" s="12">
        <v>0.128031516596506</v>
      </c>
      <c r="BN192" s="12">
        <v>0.202613344261074</v>
      </c>
      <c r="BO192" s="12">
        <v>0.138127258503148</v>
      </c>
      <c r="BP192" s="12">
        <v>0.199484036806616</v>
      </c>
      <c r="BQ192" s="13">
        <v>106902</v>
      </c>
      <c r="BR192" s="13">
        <v>139898</v>
      </c>
      <c r="BS192" s="13">
        <v>1693561</v>
      </c>
      <c r="BT192" s="11">
        <v>296632</v>
      </c>
      <c r="BU192" s="11">
        <v>336248</v>
      </c>
      <c r="BV192" s="12">
        <v>0.133552684808112</v>
      </c>
      <c r="BW192" s="12">
        <v>0.511114133309156</v>
      </c>
      <c r="BX192" s="12">
        <v>0.22894360689338999</v>
      </c>
      <c r="BY192" s="12">
        <v>5.6841473610399401E-2</v>
      </c>
      <c r="BZ192" s="12">
        <v>7.0865584292995998E-2</v>
      </c>
      <c r="CA192" s="14">
        <v>0.24038202216888299</v>
      </c>
      <c r="CB192" s="86">
        <f>IF(SUM(CC192:CF192)=0,"",SUM(CC192:CF192))</f>
        <v>26346972.921245046</v>
      </c>
      <c r="CC192" s="83">
        <v>9319156.9309124202</v>
      </c>
      <c r="CD192" s="83">
        <v>13385302.4769993</v>
      </c>
      <c r="CE192" s="83">
        <v>2314969.4633333199</v>
      </c>
      <c r="CF192" s="83">
        <v>1327544.0500000101</v>
      </c>
      <c r="CG192" s="90">
        <f t="shared" si="39"/>
        <v>0.35370882866767056</v>
      </c>
      <c r="CH192" s="90">
        <f t="shared" si="39"/>
        <v>0.50803948206915173</v>
      </c>
      <c r="CI192" s="90">
        <f t="shared" si="31"/>
        <v>8.7864722457987945E-2</v>
      </c>
      <c r="CK192" s="86">
        <f t="shared" si="27"/>
        <v>26747553</v>
      </c>
      <c r="CL192" s="83">
        <v>9232620</v>
      </c>
      <c r="CM192" s="83">
        <v>13847786</v>
      </c>
      <c r="CN192" s="83">
        <v>2370291</v>
      </c>
      <c r="CO192" s="83">
        <v>1296856</v>
      </c>
      <c r="CP192" s="90">
        <f t="shared" si="28"/>
        <v>0.34517624845906464</v>
      </c>
      <c r="CQ192" s="90">
        <f t="shared" si="28"/>
        <v>0.51772160242097665</v>
      </c>
      <c r="CR192" s="90">
        <f t="shared" si="28"/>
        <v>8.8617115741391375E-2</v>
      </c>
    </row>
    <row r="193" spans="1:97" ht="37.5" thickTop="1" thickBot="1" x14ac:dyDescent="0.3">
      <c r="A193" s="3" t="s">
        <v>297</v>
      </c>
      <c r="B193" s="3">
        <v>1137</v>
      </c>
      <c r="C193" s="3" t="s">
        <v>203</v>
      </c>
      <c r="D193" s="16">
        <v>44879</v>
      </c>
      <c r="E193" s="16" t="s">
        <v>557</v>
      </c>
      <c r="F193" s="16" t="s">
        <v>675</v>
      </c>
      <c r="G193" s="17">
        <v>17753</v>
      </c>
      <c r="H193" s="17">
        <v>20388</v>
      </c>
      <c r="I193" s="17" t="s">
        <v>584</v>
      </c>
      <c r="J193" s="18"/>
      <c r="K193" s="18" t="s">
        <v>598</v>
      </c>
      <c r="L193" s="18"/>
      <c r="M193" s="18" t="s">
        <v>598</v>
      </c>
      <c r="N193" s="10">
        <v>31495</v>
      </c>
      <c r="O193" s="11">
        <v>17140</v>
      </c>
      <c r="P193" s="11">
        <v>13823</v>
      </c>
      <c r="Q193" s="11">
        <v>7289</v>
      </c>
      <c r="R193" s="12">
        <v>0.54421336720114299</v>
      </c>
      <c r="S193" s="12">
        <v>0.43889506270836598</v>
      </c>
      <c r="T193" s="12">
        <v>0.23143356088268</v>
      </c>
      <c r="U193" s="12">
        <v>0.105318304492777</v>
      </c>
      <c r="V193" s="12">
        <v>0.20746150182568701</v>
      </c>
      <c r="W193" s="12">
        <v>0.10617558342594099</v>
      </c>
      <c r="X193" s="12">
        <v>0.125257977456739</v>
      </c>
      <c r="Y193" s="13">
        <v>84004</v>
      </c>
      <c r="Z193" s="13">
        <v>109280</v>
      </c>
      <c r="AA193" s="13">
        <v>1025151</v>
      </c>
      <c r="AB193" s="11">
        <v>95507</v>
      </c>
      <c r="AC193" s="11">
        <v>100083</v>
      </c>
      <c r="AD193" s="12">
        <v>4.79127184394861E-2</v>
      </c>
      <c r="AE193" s="12">
        <v>0.38240996789676102</v>
      </c>
      <c r="AF193" s="12">
        <v>0.40041044111949903</v>
      </c>
      <c r="AG193" s="12">
        <v>9.6254724784570797E-2</v>
      </c>
      <c r="AH193" s="12">
        <v>2.43437653784539E-2</v>
      </c>
      <c r="AI193" s="14">
        <v>0.200561215408295</v>
      </c>
      <c r="AJ193" s="4">
        <v>69461</v>
      </c>
      <c r="AK193" s="5">
        <v>39968</v>
      </c>
      <c r="AL193" s="5">
        <v>31575</v>
      </c>
      <c r="AM193" s="5">
        <v>17451</v>
      </c>
      <c r="AN193" s="6">
        <v>0.57540202415744102</v>
      </c>
      <c r="AO193" s="6">
        <v>0.45457163012337898</v>
      </c>
      <c r="AP193" s="6">
        <v>0.25123450569384298</v>
      </c>
      <c r="AQ193" s="6">
        <v>0.120830394034062</v>
      </c>
      <c r="AR193" s="6">
        <v>0.203337124429536</v>
      </c>
      <c r="AS193" s="6">
        <v>0.117188062365932</v>
      </c>
      <c r="AT193" s="6">
        <v>0.13404644332791099</v>
      </c>
      <c r="AU193" s="7">
        <v>89025</v>
      </c>
      <c r="AV193" s="7">
        <v>115220</v>
      </c>
      <c r="AW193" s="7">
        <v>1157668</v>
      </c>
      <c r="AX193" s="5">
        <v>200614</v>
      </c>
      <c r="AY193" s="5">
        <v>208005</v>
      </c>
      <c r="AZ193" s="6">
        <v>3.6841895381179803E-2</v>
      </c>
      <c r="BA193" s="6">
        <v>0.40493213366478198</v>
      </c>
      <c r="BB193" s="6">
        <v>0.34051960481322302</v>
      </c>
      <c r="BC193" s="6">
        <v>9.1494113072866298E-2</v>
      </c>
      <c r="BD193" s="6">
        <v>2.5053087022839898E-2</v>
      </c>
      <c r="BE193" s="8">
        <v>0.220129203345729</v>
      </c>
      <c r="BF193" s="10">
        <v>135246</v>
      </c>
      <c r="BG193" s="11">
        <v>76155</v>
      </c>
      <c r="BH193" s="11">
        <v>59652</v>
      </c>
      <c r="BI193" s="11">
        <v>33318</v>
      </c>
      <c r="BJ193" s="12">
        <v>0.56308504502905798</v>
      </c>
      <c r="BK193" s="12">
        <v>0.44106295195421702</v>
      </c>
      <c r="BL193" s="12">
        <v>0.24635109356284099</v>
      </c>
      <c r="BM193" s="12">
        <v>0.12202209307484101</v>
      </c>
      <c r="BN193" s="12">
        <v>0.194711858391376</v>
      </c>
      <c r="BO193" s="12">
        <v>0.11145616136521599</v>
      </c>
      <c r="BP193" s="12">
        <v>0.13489493219762499</v>
      </c>
      <c r="BQ193" s="13">
        <v>86267</v>
      </c>
      <c r="BR193" s="13">
        <v>115520</v>
      </c>
      <c r="BS193" s="13">
        <v>1240739</v>
      </c>
      <c r="BT193" s="11">
        <v>407279</v>
      </c>
      <c r="BU193" s="11">
        <v>422034</v>
      </c>
      <c r="BV193" s="12">
        <v>3.6228236663319299E-2</v>
      </c>
      <c r="BW193" s="12">
        <v>0.37691482167534002</v>
      </c>
      <c r="BX193" s="12">
        <v>0.401970148227628</v>
      </c>
      <c r="BY193" s="12">
        <v>7.3922298964591807E-2</v>
      </c>
      <c r="BZ193" s="12">
        <v>2.3998291097748699E-2</v>
      </c>
      <c r="CA193" s="14">
        <v>0.220706198944704</v>
      </c>
      <c r="CB193" s="98">
        <v>20000000</v>
      </c>
      <c r="CC193" s="83" t="s">
        <v>598</v>
      </c>
      <c r="CD193" s="83" t="s">
        <v>598</v>
      </c>
      <c r="CE193" s="83" t="s">
        <v>598</v>
      </c>
      <c r="CF193" s="83" t="s">
        <v>598</v>
      </c>
      <c r="CG193" s="90" t="str">
        <f t="shared" si="39"/>
        <v/>
      </c>
      <c r="CH193" s="90" t="str">
        <f t="shared" si="39"/>
        <v/>
      </c>
      <c r="CI193" s="90" t="str">
        <f t="shared" si="31"/>
        <v/>
      </c>
      <c r="CK193" s="86">
        <f t="shared" si="27"/>
        <v>11284114</v>
      </c>
      <c r="CL193" s="83">
        <v>3699422</v>
      </c>
      <c r="CM193" s="83">
        <v>5249220</v>
      </c>
      <c r="CN193" s="83">
        <v>1717671</v>
      </c>
      <c r="CO193" s="83">
        <v>617801</v>
      </c>
      <c r="CP193" s="90">
        <f t="shared" si="28"/>
        <v>0.32784337343631942</v>
      </c>
      <c r="CQ193" s="90">
        <f t="shared" si="28"/>
        <v>0.46518672179313325</v>
      </c>
      <c r="CR193" s="90">
        <f t="shared" si="28"/>
        <v>0.15222028065296045</v>
      </c>
      <c r="CS193" s="153">
        <f>CK193/CB193-1</f>
        <v>-0.43579429999999997</v>
      </c>
    </row>
    <row r="194" spans="1:97" ht="49.5" thickTop="1" thickBot="1" x14ac:dyDescent="0.3">
      <c r="A194" s="3" t="s">
        <v>297</v>
      </c>
      <c r="B194" s="3">
        <v>1131</v>
      </c>
      <c r="C194" s="3" t="s">
        <v>197</v>
      </c>
      <c r="D194" s="16">
        <v>44546</v>
      </c>
      <c r="E194" s="16" t="s">
        <v>555</v>
      </c>
      <c r="F194" s="16" t="s">
        <v>672</v>
      </c>
      <c r="G194" s="17">
        <v>13542</v>
      </c>
      <c r="H194" s="17">
        <v>15610</v>
      </c>
      <c r="I194" s="17" t="s">
        <v>583</v>
      </c>
      <c r="J194" s="18"/>
      <c r="K194" s="18" t="s">
        <v>598</v>
      </c>
      <c r="L194" s="18"/>
      <c r="M194" s="18" t="s">
        <v>598</v>
      </c>
      <c r="N194" s="10">
        <v>15763</v>
      </c>
      <c r="O194" s="11">
        <v>8026</v>
      </c>
      <c r="P194" s="11">
        <v>5540</v>
      </c>
      <c r="Q194" s="11">
        <v>2352</v>
      </c>
      <c r="R194" s="12">
        <v>0.50916703673158703</v>
      </c>
      <c r="S194" s="12">
        <v>0.35145594112795803</v>
      </c>
      <c r="T194" s="12">
        <v>0.14921017572797099</v>
      </c>
      <c r="U194" s="12">
        <v>0.157711095603629</v>
      </c>
      <c r="V194" s="12">
        <v>0.20224576539998701</v>
      </c>
      <c r="W194" s="12">
        <v>7.4795406965679101E-2</v>
      </c>
      <c r="X194" s="12">
        <v>7.4414768762291403E-2</v>
      </c>
      <c r="Y194" s="13">
        <v>76057</v>
      </c>
      <c r="Z194" s="13">
        <v>93650</v>
      </c>
      <c r="AA194" s="13">
        <v>636205</v>
      </c>
      <c r="AB194" s="11">
        <v>44586</v>
      </c>
      <c r="AC194" s="11">
        <v>45301</v>
      </c>
      <c r="AD194" s="12">
        <v>1.6036423989593099E-2</v>
      </c>
      <c r="AE194" s="12">
        <v>0.32161041238156302</v>
      </c>
      <c r="AF194" s="12">
        <v>0.433701161799668</v>
      </c>
      <c r="AG194" s="12">
        <v>9.2248687928946305E-2</v>
      </c>
      <c r="AH194" s="12">
        <v>6.1970125151392802E-2</v>
      </c>
      <c r="AI194" s="14">
        <v>0.20270937065446601</v>
      </c>
      <c r="AJ194" s="4">
        <v>34185</v>
      </c>
      <c r="AK194" s="5">
        <v>19271</v>
      </c>
      <c r="AL194" s="5">
        <v>13964</v>
      </c>
      <c r="AM194" s="5">
        <v>6864</v>
      </c>
      <c r="AN194" s="6">
        <v>0.56372678075179194</v>
      </c>
      <c r="AO194" s="6">
        <v>0.40848325288869403</v>
      </c>
      <c r="AP194" s="6">
        <v>0.20078982009653401</v>
      </c>
      <c r="AQ194" s="6">
        <v>0.155243527863098</v>
      </c>
      <c r="AR194" s="6">
        <v>0.20769343279215999</v>
      </c>
      <c r="AS194" s="6">
        <v>8.5680854175808105E-2</v>
      </c>
      <c r="AT194" s="6">
        <v>0.115108965920725</v>
      </c>
      <c r="AU194" s="7">
        <v>83481</v>
      </c>
      <c r="AV194" s="7">
        <v>109743</v>
      </c>
      <c r="AW194" s="7">
        <v>1050191</v>
      </c>
      <c r="AX194" s="5">
        <v>88720</v>
      </c>
      <c r="AY194" s="5">
        <v>90230</v>
      </c>
      <c r="AZ194" s="6">
        <v>1.7019837691614099E-2</v>
      </c>
      <c r="BA194" s="6">
        <v>0.43539321266231101</v>
      </c>
      <c r="BB194" s="6">
        <v>0.30436203787195698</v>
      </c>
      <c r="BC194" s="6">
        <v>9.2436880072137101E-2</v>
      </c>
      <c r="BD194" s="6">
        <v>4.8343101893597799E-2</v>
      </c>
      <c r="BE194" s="8">
        <v>0.22461677186654599</v>
      </c>
      <c r="BF194" s="10">
        <v>49958</v>
      </c>
      <c r="BG194" s="11">
        <v>29028</v>
      </c>
      <c r="BH194" s="11">
        <v>21395</v>
      </c>
      <c r="BI194" s="11">
        <v>11134</v>
      </c>
      <c r="BJ194" s="12">
        <v>0.58104808038752598</v>
      </c>
      <c r="BK194" s="12">
        <v>0.42825973818007101</v>
      </c>
      <c r="BL194" s="12">
        <v>0.22286720845510199</v>
      </c>
      <c r="BM194" s="12">
        <v>0.15278834220745399</v>
      </c>
      <c r="BN194" s="12">
        <v>0.20539252972496899</v>
      </c>
      <c r="BO194" s="12">
        <v>9.0435966211617799E-2</v>
      </c>
      <c r="BP194" s="12">
        <v>0.13243124224348499</v>
      </c>
      <c r="BQ194" s="13">
        <v>86414</v>
      </c>
      <c r="BR194" s="13">
        <v>116536</v>
      </c>
      <c r="BS194" s="13">
        <v>1337591</v>
      </c>
      <c r="BT194" s="11">
        <v>126167</v>
      </c>
      <c r="BU194" s="11">
        <v>128602</v>
      </c>
      <c r="BV194" s="12">
        <v>1.9299816909334501E-2</v>
      </c>
      <c r="BW194" s="12">
        <v>0.45665530540855698</v>
      </c>
      <c r="BX194" s="12">
        <v>0.27389888005579899</v>
      </c>
      <c r="BY194" s="12">
        <v>0.10070779205339001</v>
      </c>
      <c r="BZ194" s="12">
        <v>4.5859852417827203E-2</v>
      </c>
      <c r="CA194" s="14">
        <v>0.24136263840782499</v>
      </c>
      <c r="CB194" s="86">
        <f>IF(SUM(CC194:CF194)=0,"",SUM(CC194:CF194))</f>
        <v>10079740.022499753</v>
      </c>
      <c r="CC194" s="83">
        <v>3799005.9049999099</v>
      </c>
      <c r="CD194" s="83">
        <v>4404674.3699998297</v>
      </c>
      <c r="CE194" s="83">
        <v>1288728.22750001</v>
      </c>
      <c r="CF194" s="83">
        <v>587331.52000000305</v>
      </c>
      <c r="CG194" s="90">
        <f t="shared" si="39"/>
        <v>0.37689522711100287</v>
      </c>
      <c r="CH194" s="90">
        <f t="shared" si="39"/>
        <v>0.43698293410026662</v>
      </c>
      <c r="CI194" s="90">
        <f t="shared" si="31"/>
        <v>0.12785332008795286</v>
      </c>
      <c r="CK194" s="86">
        <f t="shared" si="27"/>
        <v>10128648</v>
      </c>
      <c r="CL194" s="83">
        <v>3684306</v>
      </c>
      <c r="CM194" s="83">
        <v>4553853</v>
      </c>
      <c r="CN194" s="83">
        <v>1310817</v>
      </c>
      <c r="CO194" s="83">
        <v>579672</v>
      </c>
      <c r="CP194" s="90">
        <f t="shared" si="28"/>
        <v>0.36375101593026038</v>
      </c>
      <c r="CQ194" s="90">
        <f t="shared" si="28"/>
        <v>0.44960126958701696</v>
      </c>
      <c r="CR194" s="90">
        <f t="shared" si="28"/>
        <v>0.12941677902124746</v>
      </c>
    </row>
    <row r="195" spans="1:97" ht="25.5" thickTop="1" thickBot="1" x14ac:dyDescent="0.3">
      <c r="A195" s="3" t="s">
        <v>302</v>
      </c>
      <c r="B195" s="3">
        <v>1610</v>
      </c>
      <c r="C195" s="3" t="s">
        <v>631</v>
      </c>
      <c r="D195" s="16">
        <v>45183</v>
      </c>
      <c r="E195" s="16" t="s">
        <v>567</v>
      </c>
      <c r="F195" s="16" t="s">
        <v>632</v>
      </c>
      <c r="G195" s="17">
        <v>7306</v>
      </c>
      <c r="H195" s="17">
        <v>8891</v>
      </c>
      <c r="I195" s="17" t="s">
        <v>583</v>
      </c>
      <c r="J195" s="18"/>
      <c r="K195" s="18"/>
      <c r="L195" s="18"/>
      <c r="M195" s="18" t="s">
        <v>598</v>
      </c>
      <c r="N195" s="42">
        <v>50075</v>
      </c>
      <c r="O195" s="43">
        <v>30112</v>
      </c>
      <c r="P195" s="43">
        <v>22682</v>
      </c>
      <c r="Q195" s="43">
        <v>13156</v>
      </c>
      <c r="R195" s="76">
        <v>0.60133799301048396</v>
      </c>
      <c r="S195" s="76">
        <v>0.45296055916125799</v>
      </c>
      <c r="T195" s="76">
        <v>0.26272591113330002</v>
      </c>
      <c r="U195" s="76">
        <v>0.148377433849226</v>
      </c>
      <c r="V195" s="76">
        <v>0.190234648027958</v>
      </c>
      <c r="W195" s="76">
        <v>0.10769845232151801</v>
      </c>
      <c r="X195" s="76">
        <v>0.15502745881178201</v>
      </c>
      <c r="Y195" s="43">
        <v>90454</v>
      </c>
      <c r="Z195" s="43">
        <v>132726</v>
      </c>
      <c r="AA195" s="43">
        <v>1296823</v>
      </c>
      <c r="AB195" s="43">
        <v>107985</v>
      </c>
      <c r="AC195" s="43">
        <v>110292</v>
      </c>
      <c r="AD195" s="76">
        <v>2.1364078344214499E-2</v>
      </c>
      <c r="AE195" s="76">
        <v>0.62087219561381402</v>
      </c>
      <c r="AF195" s="76">
        <v>5.2868453951937802E-2</v>
      </c>
      <c r="AG195" s="76">
        <v>4.6932444320970497E-2</v>
      </c>
      <c r="AH195" s="76">
        <v>8.7669583738482201E-2</v>
      </c>
      <c r="AI195" s="77">
        <v>0.242116960688985</v>
      </c>
      <c r="AJ195" s="42">
        <v>122476</v>
      </c>
      <c r="AK195" s="43">
        <v>77905</v>
      </c>
      <c r="AL195" s="43">
        <v>60819</v>
      </c>
      <c r="AM195" s="43">
        <v>38354</v>
      </c>
      <c r="AN195" s="76">
        <v>0.636083804173879</v>
      </c>
      <c r="AO195" s="76">
        <v>0.49657892158463701</v>
      </c>
      <c r="AP195" s="76">
        <v>0.31315523041248899</v>
      </c>
      <c r="AQ195" s="76">
        <v>0.13950488258924201</v>
      </c>
      <c r="AR195" s="76">
        <v>0.18342369117214799</v>
      </c>
      <c r="AS195" s="76">
        <v>0.11910904993631399</v>
      </c>
      <c r="AT195" s="76">
        <v>0.194046180476175</v>
      </c>
      <c r="AU195" s="43">
        <v>99210</v>
      </c>
      <c r="AV195" s="43">
        <v>148299</v>
      </c>
      <c r="AW195" s="43">
        <v>1641588</v>
      </c>
      <c r="AX195" s="43">
        <v>265396</v>
      </c>
      <c r="AY195" s="43">
        <v>270176</v>
      </c>
      <c r="AZ195" s="76">
        <v>1.8010821564756099E-2</v>
      </c>
      <c r="BA195" s="76">
        <v>0.66300709190993201</v>
      </c>
      <c r="BB195" s="76">
        <v>5.0426532427014698E-2</v>
      </c>
      <c r="BC195" s="76">
        <v>4.7246378995915501E-2</v>
      </c>
      <c r="BD195" s="76">
        <v>7.2985274834586805E-2</v>
      </c>
      <c r="BE195" s="77">
        <v>0.25090807698684198</v>
      </c>
      <c r="BF195" s="75">
        <v>270014</v>
      </c>
      <c r="BG195" s="78">
        <v>155533</v>
      </c>
      <c r="BH195" s="78">
        <v>116753</v>
      </c>
      <c r="BI195" s="78">
        <v>68962</v>
      </c>
      <c r="BJ195" s="79">
        <v>0.57601828053360205</v>
      </c>
      <c r="BK195" s="79">
        <v>0.43239609798010498</v>
      </c>
      <c r="BL195" s="79">
        <v>0.255401571770353</v>
      </c>
      <c r="BM195" s="79">
        <v>0.14362218255349701</v>
      </c>
      <c r="BN195" s="79">
        <v>0.17699452620975201</v>
      </c>
      <c r="BO195" s="79">
        <v>0.10413163761879</v>
      </c>
      <c r="BP195" s="79">
        <v>0.15126993415156301</v>
      </c>
      <c r="BQ195" s="78">
        <v>86446</v>
      </c>
      <c r="BR195" s="78">
        <v>128091</v>
      </c>
      <c r="BS195" s="78">
        <v>1264230</v>
      </c>
      <c r="BT195" s="78">
        <v>605946</v>
      </c>
      <c r="BU195" s="78">
        <v>618066</v>
      </c>
      <c r="BV195" s="79">
        <v>2.0001782337039899E-2</v>
      </c>
      <c r="BW195" s="79">
        <v>0.57456389760543702</v>
      </c>
      <c r="BX195" s="79">
        <v>8.2386879358886805E-2</v>
      </c>
      <c r="BY195" s="79">
        <v>5.7193215237001299E-2</v>
      </c>
      <c r="BZ195" s="79">
        <v>0.143994679393873</v>
      </c>
      <c r="CA195" s="80">
        <v>0.23419248579906499</v>
      </c>
      <c r="CB195" s="98">
        <v>12000000</v>
      </c>
      <c r="CC195" s="83" t="s">
        <v>598</v>
      </c>
      <c r="CD195" s="83" t="s">
        <v>598</v>
      </c>
      <c r="CE195" s="83" t="s">
        <v>598</v>
      </c>
      <c r="CF195" s="83" t="s">
        <v>598</v>
      </c>
      <c r="CG195" s="90" t="str">
        <f t="shared" si="39"/>
        <v/>
      </c>
      <c r="CH195" s="90" t="str">
        <f t="shared" si="39"/>
        <v/>
      </c>
      <c r="CI195" s="90" t="str">
        <f t="shared" si="31"/>
        <v/>
      </c>
      <c r="CK195" s="98">
        <v>12000000</v>
      </c>
      <c r="CL195" s="83">
        <v>2830267</v>
      </c>
      <c r="CM195" s="83">
        <v>3566664</v>
      </c>
      <c r="CN195" s="83">
        <v>2145896</v>
      </c>
      <c r="CO195" s="83">
        <v>186399</v>
      </c>
      <c r="CP195" s="90">
        <f t="shared" si="28"/>
        <v>0.23585558333333334</v>
      </c>
      <c r="CQ195" s="90">
        <f t="shared" si="28"/>
        <v>0.29722199999999999</v>
      </c>
      <c r="CR195" s="90">
        <f t="shared" si="28"/>
        <v>0.17882466666666666</v>
      </c>
    </row>
    <row r="196" spans="1:97" ht="37.5" thickTop="1" thickBot="1" x14ac:dyDescent="0.3">
      <c r="A196" s="3" t="s">
        <v>303</v>
      </c>
      <c r="B196" s="3">
        <v>1706</v>
      </c>
      <c r="C196" s="3" t="s">
        <v>244</v>
      </c>
      <c r="D196" s="16">
        <v>43608</v>
      </c>
      <c r="E196" s="16" t="s">
        <v>568</v>
      </c>
      <c r="F196" s="16" t="s">
        <v>498</v>
      </c>
      <c r="G196" s="17">
        <v>23077</v>
      </c>
      <c r="H196" s="17">
        <v>26350</v>
      </c>
      <c r="I196" s="17" t="s">
        <v>585</v>
      </c>
      <c r="J196" s="18"/>
      <c r="K196" s="18" t="s">
        <v>519</v>
      </c>
      <c r="L196" s="18" t="s">
        <v>587</v>
      </c>
      <c r="M196" s="18" t="s">
        <v>598</v>
      </c>
      <c r="N196" s="10">
        <v>36367</v>
      </c>
      <c r="O196" s="11">
        <v>21206</v>
      </c>
      <c r="P196" s="11">
        <v>15859</v>
      </c>
      <c r="Q196" s="11">
        <v>7729</v>
      </c>
      <c r="R196" s="12">
        <v>0.58311106222674403</v>
      </c>
      <c r="S196" s="12">
        <v>0.43608216239997799</v>
      </c>
      <c r="T196" s="12">
        <v>0.21252784117469101</v>
      </c>
      <c r="U196" s="12">
        <v>0.14702889982676601</v>
      </c>
      <c r="V196" s="12">
        <v>0.22355432122528701</v>
      </c>
      <c r="W196" s="12">
        <v>0.11012731322352701</v>
      </c>
      <c r="X196" s="12">
        <v>0.102400527951165</v>
      </c>
      <c r="Y196" s="13">
        <v>87332</v>
      </c>
      <c r="Z196" s="13">
        <v>105714</v>
      </c>
      <c r="AA196" s="13">
        <v>990705</v>
      </c>
      <c r="AB196" s="11">
        <v>88319</v>
      </c>
      <c r="AC196" s="11">
        <v>90478</v>
      </c>
      <c r="AD196" s="12">
        <v>2.4445476058379299E-2</v>
      </c>
      <c r="AE196" s="12">
        <v>0.439203305631645</v>
      </c>
      <c r="AF196" s="12">
        <v>5.7111153885347397E-2</v>
      </c>
      <c r="AG196" s="12">
        <v>0.160656257430451</v>
      </c>
      <c r="AH196" s="12">
        <v>9.3660480757254999E-2</v>
      </c>
      <c r="AI196" s="14">
        <v>0.25529048109693298</v>
      </c>
      <c r="AJ196" s="4">
        <v>95581</v>
      </c>
      <c r="AK196" s="5">
        <v>53811</v>
      </c>
      <c r="AL196" s="5">
        <v>41088</v>
      </c>
      <c r="AM196" s="5">
        <v>20733</v>
      </c>
      <c r="AN196" s="6">
        <v>0.56298846004959102</v>
      </c>
      <c r="AO196" s="6">
        <v>0.42987623063161101</v>
      </c>
      <c r="AP196" s="6">
        <v>0.216915495757525</v>
      </c>
      <c r="AQ196" s="6">
        <v>0.13311222941798101</v>
      </c>
      <c r="AR196" s="6">
        <v>0.21296073487408601</v>
      </c>
      <c r="AS196" s="6">
        <v>0.10764691727435401</v>
      </c>
      <c r="AT196" s="6">
        <v>0.10926857848317099</v>
      </c>
      <c r="AU196" s="7">
        <v>85117</v>
      </c>
      <c r="AV196" s="7">
        <v>107071</v>
      </c>
      <c r="AW196" s="7">
        <v>1006511</v>
      </c>
      <c r="AX196" s="5">
        <v>235943</v>
      </c>
      <c r="AY196" s="5">
        <v>241086</v>
      </c>
      <c r="AZ196" s="6">
        <v>2.17976375650051E-2</v>
      </c>
      <c r="BA196" s="6">
        <v>0.43024566148298399</v>
      </c>
      <c r="BB196" s="6">
        <v>5.6683181954963698E-2</v>
      </c>
      <c r="BC196" s="6">
        <v>0.17207969721500499</v>
      </c>
      <c r="BD196" s="6">
        <v>0.119834027710083</v>
      </c>
      <c r="BE196" s="8">
        <v>0.26302115341417198</v>
      </c>
      <c r="BF196" s="10">
        <v>161466</v>
      </c>
      <c r="BG196" s="11">
        <v>91492</v>
      </c>
      <c r="BH196" s="11">
        <v>71085</v>
      </c>
      <c r="BI196" s="11">
        <v>38034</v>
      </c>
      <c r="BJ196" s="12">
        <v>0.56663322309340702</v>
      </c>
      <c r="BK196" s="12">
        <v>0.44024748244212403</v>
      </c>
      <c r="BL196" s="12">
        <v>0.23555423432797001</v>
      </c>
      <c r="BM196" s="12">
        <v>0.126385740651283</v>
      </c>
      <c r="BN196" s="12">
        <v>0.20469324811415399</v>
      </c>
      <c r="BO196" s="12">
        <v>0.108344790853802</v>
      </c>
      <c r="BP196" s="12">
        <v>0.12720944347416799</v>
      </c>
      <c r="BQ196" s="13">
        <v>86496</v>
      </c>
      <c r="BR196" s="13">
        <v>113232</v>
      </c>
      <c r="BS196" s="13">
        <v>1115794</v>
      </c>
      <c r="BT196" s="11">
        <v>409348</v>
      </c>
      <c r="BU196" s="11">
        <v>419792</v>
      </c>
      <c r="BV196" s="12">
        <v>2.5513743807225101E-2</v>
      </c>
      <c r="BW196" s="12">
        <v>0.427787989679421</v>
      </c>
      <c r="BX196" s="12">
        <v>6.9339535065518806E-2</v>
      </c>
      <c r="BY196" s="12">
        <v>0.13511975140955901</v>
      </c>
      <c r="BZ196" s="12">
        <v>0.190515160694568</v>
      </c>
      <c r="CA196" s="14">
        <v>0.263162394832758</v>
      </c>
      <c r="CB196" s="86">
        <f>IF(SUM(CC196:CF196)=0,"",SUM(CC196:CF196))</f>
        <v>37331581.088887729</v>
      </c>
      <c r="CC196" s="83">
        <v>17590186.575555202</v>
      </c>
      <c r="CD196" s="83">
        <v>11615833.5199994</v>
      </c>
      <c r="CE196" s="83">
        <v>6751148.3199997898</v>
      </c>
      <c r="CF196" s="83">
        <v>1374412.6733333401</v>
      </c>
      <c r="CG196" s="90">
        <f t="shared" si="39"/>
        <v>0.47118782710200208</v>
      </c>
      <c r="CH196" s="90">
        <f t="shared" si="39"/>
        <v>0.3111530018603208</v>
      </c>
      <c r="CI196" s="90">
        <f t="shared" si="31"/>
        <v>0.18084281787918605</v>
      </c>
      <c r="CK196" s="86">
        <f t="shared" ref="CK196:CK259" si="40">IF(SUM(CL196:CO196)=0,"",SUM(CL196:CO196))</f>
        <v>34265270</v>
      </c>
      <c r="CL196" s="83">
        <v>15776950</v>
      </c>
      <c r="CM196" s="83">
        <v>10852528</v>
      </c>
      <c r="CN196" s="83">
        <v>6359318</v>
      </c>
      <c r="CO196" s="83">
        <v>1276474</v>
      </c>
      <c r="CP196" s="90">
        <f t="shared" ref="CP196:CR259" si="41">IFERROR(CL196/$CK196,"")</f>
        <v>0.46043559557534497</v>
      </c>
      <c r="CQ196" s="90">
        <f t="shared" si="41"/>
        <v>0.31672092471473301</v>
      </c>
      <c r="CR196" s="90">
        <f t="shared" si="41"/>
        <v>0.18559077456561701</v>
      </c>
    </row>
    <row r="197" spans="1:97" ht="49.5" thickTop="1" thickBot="1" x14ac:dyDescent="0.3">
      <c r="A197" s="3" t="s">
        <v>291</v>
      </c>
      <c r="B197" s="3">
        <v>510</v>
      </c>
      <c r="C197" s="3" t="s">
        <v>65</v>
      </c>
      <c r="D197" s="16">
        <v>42264</v>
      </c>
      <c r="E197" s="16" t="s">
        <v>531</v>
      </c>
      <c r="F197" s="16" t="s">
        <v>347</v>
      </c>
      <c r="G197" s="17">
        <v>24262</v>
      </c>
      <c r="H197" s="17">
        <v>31595</v>
      </c>
      <c r="I197" s="17" t="s">
        <v>585</v>
      </c>
      <c r="J197" s="18" t="s">
        <v>737</v>
      </c>
      <c r="K197" s="18" t="s">
        <v>598</v>
      </c>
      <c r="L197" s="18" t="s">
        <v>587</v>
      </c>
      <c r="M197" s="18" t="s">
        <v>598</v>
      </c>
      <c r="N197" s="10">
        <v>44844</v>
      </c>
      <c r="O197" s="11">
        <v>25998</v>
      </c>
      <c r="P197" s="11">
        <v>20638</v>
      </c>
      <c r="Q197" s="11">
        <v>11024</v>
      </c>
      <c r="R197" s="12">
        <v>0.57974310944607998</v>
      </c>
      <c r="S197" s="12">
        <v>0.46021764338596</v>
      </c>
      <c r="T197" s="12">
        <v>0.245829988404246</v>
      </c>
      <c r="U197" s="12">
        <v>0.11952546606012</v>
      </c>
      <c r="V197" s="12">
        <v>0.214387654981714</v>
      </c>
      <c r="W197" s="12">
        <v>0.13986263491213999</v>
      </c>
      <c r="X197" s="12">
        <v>0.105967353492106</v>
      </c>
      <c r="Y197" s="13">
        <v>90185</v>
      </c>
      <c r="Z197" s="13">
        <v>112963</v>
      </c>
      <c r="AA197" s="13">
        <v>905684</v>
      </c>
      <c r="AB197" s="11">
        <v>108227</v>
      </c>
      <c r="AC197" s="11">
        <v>119964</v>
      </c>
      <c r="AD197" s="12">
        <v>0.108447984329234</v>
      </c>
      <c r="AE197" s="12">
        <v>0.53702305514358895</v>
      </c>
      <c r="AF197" s="12">
        <v>0.20927310190617901</v>
      </c>
      <c r="AG197" s="12">
        <v>0.195071470150702</v>
      </c>
      <c r="AH197" s="12">
        <v>6.88829959252312E-2</v>
      </c>
      <c r="AI197" s="14">
        <v>0.21726556219797299</v>
      </c>
      <c r="AJ197" s="4">
        <v>89768</v>
      </c>
      <c r="AK197" s="5">
        <v>55992</v>
      </c>
      <c r="AL197" s="5">
        <v>45357</v>
      </c>
      <c r="AM197" s="5">
        <v>25981</v>
      </c>
      <c r="AN197" s="6">
        <v>0.62374119953658302</v>
      </c>
      <c r="AO197" s="6">
        <v>0.50526913822297503</v>
      </c>
      <c r="AP197" s="6">
        <v>0.28942384814187699</v>
      </c>
      <c r="AQ197" s="6">
        <v>0.118472061313608</v>
      </c>
      <c r="AR197" s="6">
        <v>0.21584529008109801</v>
      </c>
      <c r="AS197" s="6">
        <v>0.15076642010516</v>
      </c>
      <c r="AT197" s="6">
        <v>0.13865742803671699</v>
      </c>
      <c r="AU197" s="7">
        <v>100766</v>
      </c>
      <c r="AV197" s="7">
        <v>123527</v>
      </c>
      <c r="AW197" s="7">
        <v>1102354</v>
      </c>
      <c r="AX197" s="5">
        <v>221717</v>
      </c>
      <c r="AY197" s="5">
        <v>246408</v>
      </c>
      <c r="AZ197" s="6">
        <v>0.111362683059937</v>
      </c>
      <c r="BA197" s="6">
        <v>0.57663207811063899</v>
      </c>
      <c r="BB197" s="6">
        <v>0.19037782398282499</v>
      </c>
      <c r="BC197" s="6">
        <v>0.19220447687818301</v>
      </c>
      <c r="BD197" s="6">
        <v>5.7807926320489603E-2</v>
      </c>
      <c r="BE197" s="8">
        <v>0.21808882494350901</v>
      </c>
      <c r="BF197" s="10">
        <v>148769</v>
      </c>
      <c r="BG197" s="11">
        <v>93154</v>
      </c>
      <c r="BH197" s="11">
        <v>74768</v>
      </c>
      <c r="BI197" s="11">
        <v>42197</v>
      </c>
      <c r="BJ197" s="12">
        <v>0.62616539736100896</v>
      </c>
      <c r="BK197" s="12">
        <v>0.50257782199248502</v>
      </c>
      <c r="BL197" s="12">
        <v>0.28364108113921599</v>
      </c>
      <c r="BM197" s="12">
        <v>0.12358757536852399</v>
      </c>
      <c r="BN197" s="12">
        <v>0.218936740853269</v>
      </c>
      <c r="BO197" s="12">
        <v>0.14593766174404599</v>
      </c>
      <c r="BP197" s="12">
        <v>0.13770341939517</v>
      </c>
      <c r="BQ197" s="13">
        <v>100366</v>
      </c>
      <c r="BR197" s="13">
        <v>123529</v>
      </c>
      <c r="BS197" s="13">
        <v>1113585</v>
      </c>
      <c r="BT197" s="11">
        <v>363264</v>
      </c>
      <c r="BU197" s="11">
        <v>403120</v>
      </c>
      <c r="BV197" s="12">
        <v>0.109716349541931</v>
      </c>
      <c r="BW197" s="12">
        <v>0.57503306089270501</v>
      </c>
      <c r="BX197" s="12">
        <v>0.199408694503171</v>
      </c>
      <c r="BY197" s="12">
        <v>0.16258698907681499</v>
      </c>
      <c r="BZ197" s="12">
        <v>6.0314261804087402E-2</v>
      </c>
      <c r="CA197" s="14">
        <v>0.21547414552501801</v>
      </c>
      <c r="CB197" s="86">
        <f>IF(SUM(CC197:CF197)=0,"",SUM(CC197:CF197))</f>
        <v>26398518.285832461</v>
      </c>
      <c r="CC197" s="83">
        <v>7242235.6774998</v>
      </c>
      <c r="CD197" s="83">
        <v>15176672.778332699</v>
      </c>
      <c r="CE197" s="83">
        <v>2819970.83999995</v>
      </c>
      <c r="CF197" s="83">
        <v>1159638.99000001</v>
      </c>
      <c r="CG197" s="90">
        <f t="shared" si="39"/>
        <v>0.27434250661661408</v>
      </c>
      <c r="CH197" s="90">
        <f t="shared" si="39"/>
        <v>0.57490623579724565</v>
      </c>
      <c r="CI197" s="90">
        <f t="shared" si="31"/>
        <v>0.10682307277501139</v>
      </c>
      <c r="CK197" s="86">
        <f t="shared" si="40"/>
        <v>26086197</v>
      </c>
      <c r="CL197" s="83">
        <v>6936563</v>
      </c>
      <c r="CM197" s="83">
        <v>15309678</v>
      </c>
      <c r="CN197" s="83">
        <v>2728906</v>
      </c>
      <c r="CO197" s="83">
        <v>1111050</v>
      </c>
      <c r="CP197" s="90">
        <f t="shared" si="41"/>
        <v>0.26590932361662378</v>
      </c>
      <c r="CQ197" s="90">
        <f t="shared" si="41"/>
        <v>0.58688807724636904</v>
      </c>
      <c r="CR197" s="90">
        <f t="shared" si="41"/>
        <v>0.10461110908577437</v>
      </c>
    </row>
    <row r="198" spans="1:97" ht="25.5" thickTop="1" thickBot="1" x14ac:dyDescent="0.3">
      <c r="A198" s="3" t="s">
        <v>591</v>
      </c>
      <c r="B198" s="3">
        <v>2802</v>
      </c>
      <c r="C198" s="3" t="s">
        <v>725</v>
      </c>
      <c r="D198" s="16">
        <v>45135</v>
      </c>
      <c r="E198" s="16" t="s">
        <v>592</v>
      </c>
      <c r="F198" s="16" t="s">
        <v>605</v>
      </c>
      <c r="G198" s="17">
        <v>30000</v>
      </c>
      <c r="H198" s="17">
        <v>46380</v>
      </c>
      <c r="I198" s="17" t="s">
        <v>585</v>
      </c>
      <c r="J198" s="18"/>
      <c r="K198" s="18" t="s">
        <v>598</v>
      </c>
      <c r="L198" s="18"/>
      <c r="M198" s="18" t="s">
        <v>598</v>
      </c>
      <c r="N198" s="10">
        <v>37568</v>
      </c>
      <c r="O198" s="11">
        <v>24216</v>
      </c>
      <c r="P198" s="11">
        <v>18422</v>
      </c>
      <c r="Q198" s="11">
        <v>11290</v>
      </c>
      <c r="R198" s="12">
        <v>0.64459114139693396</v>
      </c>
      <c r="S198" s="12">
        <v>0.49036413969335602</v>
      </c>
      <c r="T198" s="12">
        <v>0.30052172061328802</v>
      </c>
      <c r="U198" s="12">
        <v>0.154227001703578</v>
      </c>
      <c r="V198" s="12">
        <v>0.18984241908006799</v>
      </c>
      <c r="W198" s="12">
        <v>0.123296422487223</v>
      </c>
      <c r="X198" s="12">
        <v>0.177225298126065</v>
      </c>
      <c r="Y198" s="13">
        <v>97971</v>
      </c>
      <c r="Z198" s="13">
        <v>134702</v>
      </c>
      <c r="AA198" s="13">
        <v>1679145</v>
      </c>
      <c r="AB198" s="11">
        <v>88184</v>
      </c>
      <c r="AC198" s="11">
        <v>93356</v>
      </c>
      <c r="AD198" s="12">
        <v>5.8650095255375102E-2</v>
      </c>
      <c r="AE198" s="12">
        <v>0.68475496813487002</v>
      </c>
      <c r="AF198" s="12">
        <v>5.2810033566179797E-2</v>
      </c>
      <c r="AG198" s="12">
        <v>0.103737639481085</v>
      </c>
      <c r="AH198" s="12">
        <v>4.3704073301279102E-2</v>
      </c>
      <c r="AI198" s="14">
        <v>0.271613898212828</v>
      </c>
      <c r="AJ198" s="4">
        <v>100194</v>
      </c>
      <c r="AK198" s="5">
        <v>62469</v>
      </c>
      <c r="AL198" s="5">
        <v>47456</v>
      </c>
      <c r="AM198" s="5">
        <v>29706</v>
      </c>
      <c r="AN198" s="6">
        <v>0.62348044793101398</v>
      </c>
      <c r="AO198" s="6">
        <v>0.47364113619578002</v>
      </c>
      <c r="AP198" s="6">
        <v>0.296484819450267</v>
      </c>
      <c r="AQ198" s="6">
        <v>0.14983931173523399</v>
      </c>
      <c r="AR198" s="6">
        <v>0.17715631674551399</v>
      </c>
      <c r="AS198" s="6">
        <v>0.11893925783979099</v>
      </c>
      <c r="AT198" s="6">
        <v>0.17754556161047599</v>
      </c>
      <c r="AU198" s="7">
        <v>94490</v>
      </c>
      <c r="AV198" s="7">
        <v>132405</v>
      </c>
      <c r="AW198" s="7">
        <v>1684201</v>
      </c>
      <c r="AX198" s="5">
        <v>243918</v>
      </c>
      <c r="AY198" s="5">
        <v>256635</v>
      </c>
      <c r="AZ198" s="6">
        <v>5.2136373699358002E-2</v>
      </c>
      <c r="BA198" s="6">
        <v>0.64341585684293801</v>
      </c>
      <c r="BB198" s="6">
        <v>6.0204658942759497E-2</v>
      </c>
      <c r="BC198" s="6">
        <v>7.88953664756189E-2</v>
      </c>
      <c r="BD198" s="6">
        <v>5.4415828270156397E-2</v>
      </c>
      <c r="BE198" s="8">
        <v>0.25902967390680498</v>
      </c>
      <c r="BF198" s="10">
        <v>167197</v>
      </c>
      <c r="BG198" s="11">
        <v>97804</v>
      </c>
      <c r="BH198" s="11">
        <v>71780</v>
      </c>
      <c r="BI198" s="11">
        <v>41606</v>
      </c>
      <c r="BJ198" s="12">
        <v>0.58496264885135496</v>
      </c>
      <c r="BK198" s="12">
        <v>0.42931392309670602</v>
      </c>
      <c r="BL198" s="12">
        <v>0.248844177826157</v>
      </c>
      <c r="BM198" s="12">
        <v>0.155648725754649</v>
      </c>
      <c r="BN198" s="12">
        <v>0.18046974527054899</v>
      </c>
      <c r="BO198" s="12">
        <v>0.10738829045975699</v>
      </c>
      <c r="BP198" s="12">
        <v>0.1414558873664</v>
      </c>
      <c r="BQ198" s="13">
        <v>86786</v>
      </c>
      <c r="BR198" s="13">
        <v>119729</v>
      </c>
      <c r="BS198" s="13">
        <v>1422204</v>
      </c>
      <c r="BT198" s="11">
        <v>405551</v>
      </c>
      <c r="BU198" s="11">
        <v>425531</v>
      </c>
      <c r="BV198" s="12">
        <v>4.9266306827008201E-2</v>
      </c>
      <c r="BW198" s="12">
        <v>0.59611692290316698</v>
      </c>
      <c r="BX198" s="12">
        <v>7.7026070703807903E-2</v>
      </c>
      <c r="BY198" s="12">
        <v>6.3962362316946603E-2</v>
      </c>
      <c r="BZ198" s="12">
        <v>7.2030398149677793E-2</v>
      </c>
      <c r="CA198" s="14">
        <v>0.24802799154730201</v>
      </c>
      <c r="CB198" s="86" t="str">
        <f>IF(SUM(CC198:CF198)=0,"",SUM(CC198:CF198))</f>
        <v/>
      </c>
      <c r="CC198" s="83" t="s">
        <v>598</v>
      </c>
      <c r="CD198" s="83" t="s">
        <v>598</v>
      </c>
      <c r="CE198" s="83" t="s">
        <v>598</v>
      </c>
      <c r="CF198" s="83" t="s">
        <v>598</v>
      </c>
      <c r="CG198" s="90" t="str">
        <f t="shared" si="39"/>
        <v/>
      </c>
      <c r="CH198" s="90" t="str">
        <f t="shared" si="39"/>
        <v/>
      </c>
      <c r="CI198" s="90" t="str">
        <f t="shared" si="31"/>
        <v/>
      </c>
      <c r="CK198" s="86"/>
      <c r="CL198" s="83"/>
      <c r="CM198" s="83"/>
      <c r="CN198" s="83"/>
      <c r="CO198" s="83"/>
      <c r="CP198" s="90"/>
      <c r="CQ198" s="90"/>
      <c r="CR198" s="90"/>
    </row>
    <row r="199" spans="1:97" ht="49.5" thickTop="1" thickBot="1" x14ac:dyDescent="0.3">
      <c r="A199" s="3" t="s">
        <v>288</v>
      </c>
      <c r="B199" s="3">
        <v>220</v>
      </c>
      <c r="C199" s="3" t="s">
        <v>46</v>
      </c>
      <c r="D199" s="16">
        <v>43307</v>
      </c>
      <c r="E199" s="16" t="s">
        <v>522</v>
      </c>
      <c r="F199" s="16" t="s">
        <v>333</v>
      </c>
      <c r="G199" s="17">
        <v>15752</v>
      </c>
      <c r="H199" s="17">
        <v>18250</v>
      </c>
      <c r="I199" s="17" t="s">
        <v>585</v>
      </c>
      <c r="J199" s="18"/>
      <c r="K199" s="18" t="s">
        <v>598</v>
      </c>
      <c r="L199" s="18" t="s">
        <v>587</v>
      </c>
      <c r="M199" s="18" t="s">
        <v>598</v>
      </c>
      <c r="N199" s="10">
        <v>27628</v>
      </c>
      <c r="O199" s="11">
        <v>18032</v>
      </c>
      <c r="P199" s="11">
        <v>14959</v>
      </c>
      <c r="Q199" s="11">
        <v>9792</v>
      </c>
      <c r="R199" s="12">
        <v>0.65267120312726201</v>
      </c>
      <c r="S199" s="12">
        <v>0.54144346315332303</v>
      </c>
      <c r="T199" s="12">
        <v>0.35442304908064298</v>
      </c>
      <c r="U199" s="12">
        <v>0.111227739973939</v>
      </c>
      <c r="V199" s="12">
        <v>0.18702041407268</v>
      </c>
      <c r="W199" s="12">
        <v>0.133270595048502</v>
      </c>
      <c r="X199" s="12">
        <v>0.22115245403214101</v>
      </c>
      <c r="Y199" s="13">
        <v>107917</v>
      </c>
      <c r="Z199" s="13">
        <v>143713</v>
      </c>
      <c r="AA199" s="13">
        <v>1815346</v>
      </c>
      <c r="AB199" s="11">
        <v>71145</v>
      </c>
      <c r="AC199" s="11">
        <v>74977</v>
      </c>
      <c r="AD199" s="12">
        <v>5.3861831470939599E-2</v>
      </c>
      <c r="AE199" s="12">
        <v>0.66918200408997996</v>
      </c>
      <c r="AF199" s="12">
        <v>4.5400238948626E-2</v>
      </c>
      <c r="AG199" s="12">
        <v>0.18990793449996499</v>
      </c>
      <c r="AH199" s="12">
        <v>7.5086091784383996E-2</v>
      </c>
      <c r="AI199" s="14">
        <v>0.24590624780378101</v>
      </c>
      <c r="AJ199" s="4">
        <v>58624</v>
      </c>
      <c r="AK199" s="5">
        <v>33936</v>
      </c>
      <c r="AL199" s="5">
        <v>27025</v>
      </c>
      <c r="AM199" s="5">
        <v>16711</v>
      </c>
      <c r="AN199" s="6">
        <v>0.57887554585152801</v>
      </c>
      <c r="AO199" s="6">
        <v>0.46098867358078599</v>
      </c>
      <c r="AP199" s="6">
        <v>0.28505390283842802</v>
      </c>
      <c r="AQ199" s="6">
        <v>0.117886872270742</v>
      </c>
      <c r="AR199" s="6">
        <v>0.175934770742358</v>
      </c>
      <c r="AS199" s="6">
        <v>0.10920442139738</v>
      </c>
      <c r="AT199" s="6">
        <v>0.17584948144104801</v>
      </c>
      <c r="AU199" s="7">
        <v>90248</v>
      </c>
      <c r="AV199" s="7">
        <v>127356</v>
      </c>
      <c r="AW199" s="7">
        <v>1543827</v>
      </c>
      <c r="AX199" s="5">
        <v>146893</v>
      </c>
      <c r="AY199" s="5">
        <v>153097</v>
      </c>
      <c r="AZ199" s="6">
        <v>4.22348239875283E-2</v>
      </c>
      <c r="BA199" s="6">
        <v>0.60745167853509696</v>
      </c>
      <c r="BB199" s="6">
        <v>6.1752432042370999E-2</v>
      </c>
      <c r="BC199" s="6">
        <v>0.16456196006617099</v>
      </c>
      <c r="BD199" s="6">
        <v>0.104143832585624</v>
      </c>
      <c r="BE199" s="8">
        <v>0.24083516573288</v>
      </c>
      <c r="BF199" s="10">
        <v>83865</v>
      </c>
      <c r="BG199" s="11">
        <v>47087</v>
      </c>
      <c r="BH199" s="11">
        <v>37480</v>
      </c>
      <c r="BI199" s="11">
        <v>22870</v>
      </c>
      <c r="BJ199" s="12">
        <v>0.56146187324867303</v>
      </c>
      <c r="BK199" s="12">
        <v>0.446908722351398</v>
      </c>
      <c r="BL199" s="12">
        <v>0.272700172896918</v>
      </c>
      <c r="BM199" s="12">
        <v>0.114553150897275</v>
      </c>
      <c r="BN199" s="12">
        <v>0.17420854945448</v>
      </c>
      <c r="BO199" s="12">
        <v>0.106158707446491</v>
      </c>
      <c r="BP199" s="12">
        <v>0.166541465450426</v>
      </c>
      <c r="BQ199" s="13">
        <v>86804</v>
      </c>
      <c r="BR199" s="13">
        <v>125573</v>
      </c>
      <c r="BS199" s="13">
        <v>1560554</v>
      </c>
      <c r="BT199" s="11">
        <v>212796</v>
      </c>
      <c r="BU199" s="11">
        <v>220680</v>
      </c>
      <c r="BV199" s="12">
        <v>3.7049568600913602E-2</v>
      </c>
      <c r="BW199" s="12">
        <v>0.58209056721817598</v>
      </c>
      <c r="BX199" s="12">
        <v>7.0114099889095699E-2</v>
      </c>
      <c r="BY199" s="12">
        <v>0.13516231508111101</v>
      </c>
      <c r="BZ199" s="12">
        <v>0.121618827421568</v>
      </c>
      <c r="CA199" s="14">
        <v>0.24199703001936099</v>
      </c>
      <c r="CB199" s="86">
        <f>IF(SUM(CC199:CF199)=0,"",SUM(CC199:CF199))</f>
        <v>10182561.773333101</v>
      </c>
      <c r="CC199" s="83">
        <v>7476606.0933331</v>
      </c>
      <c r="CD199" s="83">
        <v>214018.84</v>
      </c>
      <c r="CE199" s="83">
        <v>2011311.52</v>
      </c>
      <c r="CF199" s="83">
        <v>480625.320000001</v>
      </c>
      <c r="CG199" s="90">
        <f t="shared" si="39"/>
        <v>0.73425590335365587</v>
      </c>
      <c r="CH199" s="90">
        <f t="shared" si="39"/>
        <v>2.1018172515337889E-2</v>
      </c>
      <c r="CI199" s="90">
        <f t="shared" si="31"/>
        <v>0.19752509876909188</v>
      </c>
      <c r="CK199" s="86">
        <f t="shared" si="40"/>
        <v>10438371</v>
      </c>
      <c r="CL199" s="83">
        <v>7620164</v>
      </c>
      <c r="CM199" s="83">
        <v>216334</v>
      </c>
      <c r="CN199" s="83">
        <v>2107719</v>
      </c>
      <c r="CO199" s="83">
        <v>494154</v>
      </c>
      <c r="CP199" s="90">
        <f t="shared" si="41"/>
        <v>0.73001467374554896</v>
      </c>
      <c r="CQ199" s="90">
        <f t="shared" si="41"/>
        <v>2.0724881305713316E-2</v>
      </c>
      <c r="CR199" s="90">
        <f t="shared" si="41"/>
        <v>0.20192029963295996</v>
      </c>
    </row>
    <row r="200" spans="1:97" ht="49.5" thickTop="1" thickBot="1" x14ac:dyDescent="0.3">
      <c r="A200" s="3" t="s">
        <v>306</v>
      </c>
      <c r="B200" s="3">
        <v>2001</v>
      </c>
      <c r="C200" s="3" t="s">
        <v>255</v>
      </c>
      <c r="D200" s="16">
        <v>43279</v>
      </c>
      <c r="E200" s="16" t="s">
        <v>572</v>
      </c>
      <c r="F200" s="16" t="s">
        <v>506</v>
      </c>
      <c r="G200" s="17">
        <v>26406</v>
      </c>
      <c r="H200" s="17">
        <v>30098</v>
      </c>
      <c r="I200" s="17" t="s">
        <v>585</v>
      </c>
      <c r="J200" s="18"/>
      <c r="K200" s="18" t="s">
        <v>598</v>
      </c>
      <c r="L200" s="18"/>
      <c r="M200" s="18" t="s">
        <v>598</v>
      </c>
      <c r="N200" s="10">
        <v>13980</v>
      </c>
      <c r="O200" s="11">
        <v>8576</v>
      </c>
      <c r="P200" s="11">
        <v>6290</v>
      </c>
      <c r="Q200" s="11">
        <v>3035</v>
      </c>
      <c r="R200" s="12">
        <v>0.61344778254649501</v>
      </c>
      <c r="S200" s="12">
        <v>0.44992846924177399</v>
      </c>
      <c r="T200" s="12">
        <v>0.21709585121602301</v>
      </c>
      <c r="U200" s="12">
        <v>0.163519313304721</v>
      </c>
      <c r="V200" s="12">
        <v>0.232832618025751</v>
      </c>
      <c r="W200" s="12">
        <v>8.7195994277539296E-2</v>
      </c>
      <c r="X200" s="12">
        <v>0.12989985693848399</v>
      </c>
      <c r="Y200" s="13">
        <v>90678</v>
      </c>
      <c r="Z200" s="13">
        <v>118113</v>
      </c>
      <c r="AA200" s="13">
        <v>1833986</v>
      </c>
      <c r="AB200" s="11">
        <v>34847</v>
      </c>
      <c r="AC200" s="11">
        <v>37479</v>
      </c>
      <c r="AD200" s="12">
        <v>7.55301747639682E-2</v>
      </c>
      <c r="AE200" s="12">
        <v>0.56782595011409198</v>
      </c>
      <c r="AF200" s="12">
        <v>4.5886302981605301E-2</v>
      </c>
      <c r="AG200" s="12">
        <v>5.0994346715642701E-2</v>
      </c>
      <c r="AH200" s="12">
        <v>2.7290728039716501E-2</v>
      </c>
      <c r="AI200" s="14">
        <v>0.30389990530031302</v>
      </c>
      <c r="AJ200" s="4">
        <v>35028</v>
      </c>
      <c r="AK200" s="5">
        <v>22004</v>
      </c>
      <c r="AL200" s="5">
        <v>16619</v>
      </c>
      <c r="AM200" s="5">
        <v>8763</v>
      </c>
      <c r="AN200" s="6">
        <v>0.62818316775151295</v>
      </c>
      <c r="AO200" s="6">
        <v>0.47444901221879598</v>
      </c>
      <c r="AP200" s="6">
        <v>0.250171291538198</v>
      </c>
      <c r="AQ200" s="6">
        <v>0.15373415553271699</v>
      </c>
      <c r="AR200" s="6">
        <v>0.22427772068059801</v>
      </c>
      <c r="AS200" s="6">
        <v>0.101975562407217</v>
      </c>
      <c r="AT200" s="6">
        <v>0.148195729130981</v>
      </c>
      <c r="AU200" s="7">
        <v>94766</v>
      </c>
      <c r="AV200" s="7">
        <v>123745</v>
      </c>
      <c r="AW200" s="7">
        <v>1836093</v>
      </c>
      <c r="AX200" s="5">
        <v>89625</v>
      </c>
      <c r="AY200" s="5">
        <v>96420</v>
      </c>
      <c r="AZ200" s="6">
        <v>7.5815899581590004E-2</v>
      </c>
      <c r="BA200" s="6">
        <v>0.59056104473638904</v>
      </c>
      <c r="BB200" s="6">
        <v>4.3670850767085101E-2</v>
      </c>
      <c r="BC200" s="6">
        <v>5.3020920502091999E-2</v>
      </c>
      <c r="BD200" s="6">
        <v>3.2122733612273399E-2</v>
      </c>
      <c r="BE200" s="8">
        <v>0.28474198047419802</v>
      </c>
      <c r="BF200" s="10">
        <v>60863</v>
      </c>
      <c r="BG200" s="11">
        <v>35943</v>
      </c>
      <c r="BH200" s="11">
        <v>26501</v>
      </c>
      <c r="BI200" s="11">
        <v>13363</v>
      </c>
      <c r="BJ200" s="12">
        <v>0.59055583852258398</v>
      </c>
      <c r="BK200" s="12">
        <v>0.43542053464337899</v>
      </c>
      <c r="BL200" s="12">
        <v>0.219558680972019</v>
      </c>
      <c r="BM200" s="12">
        <v>0.15513530387920399</v>
      </c>
      <c r="BN200" s="12">
        <v>0.21586185367135999</v>
      </c>
      <c r="BO200" s="12">
        <v>9.1878481179041502E-2</v>
      </c>
      <c r="BP200" s="12">
        <v>0.12768019979297801</v>
      </c>
      <c r="BQ200" s="13">
        <v>87761</v>
      </c>
      <c r="BR200" s="13">
        <v>115537</v>
      </c>
      <c r="BS200" s="13">
        <v>1578300</v>
      </c>
      <c r="BT200" s="11">
        <v>151240</v>
      </c>
      <c r="BU200" s="11">
        <v>161289</v>
      </c>
      <c r="BV200" s="12">
        <v>6.6444062417349903E-2</v>
      </c>
      <c r="BW200" s="12">
        <v>0.56284168169834903</v>
      </c>
      <c r="BX200" s="12">
        <v>5.0310764348056099E-2</v>
      </c>
      <c r="BY200" s="12">
        <v>4.5609627082782302E-2</v>
      </c>
      <c r="BZ200" s="12">
        <v>3.5519703782068202E-2</v>
      </c>
      <c r="CA200" s="14">
        <v>0.27262628934144401</v>
      </c>
      <c r="CB200" s="86">
        <f>IF(SUM(CC200:CF200)=0,"",SUM(CC200:CF200))</f>
        <v>41820562.259999372</v>
      </c>
      <c r="CC200" s="83">
        <v>14877856.749999501</v>
      </c>
      <c r="CD200" s="83">
        <v>20335131.210000001</v>
      </c>
      <c r="CE200" s="83">
        <v>4669846.9399998803</v>
      </c>
      <c r="CF200" s="83">
        <v>1937727.3599999901</v>
      </c>
      <c r="CG200" s="90">
        <f t="shared" si="39"/>
        <v>0.35575458449132108</v>
      </c>
      <c r="CH200" s="90">
        <f t="shared" si="39"/>
        <v>0.48624719781565906</v>
      </c>
      <c r="CI200" s="90">
        <f t="shared" si="31"/>
        <v>0.11166389660108673</v>
      </c>
      <c r="CK200" s="86">
        <f t="shared" si="40"/>
        <v>40322729</v>
      </c>
      <c r="CL200" s="83">
        <v>13654089</v>
      </c>
      <c r="CM200" s="83">
        <v>20045727</v>
      </c>
      <c r="CN200" s="83">
        <v>4751153</v>
      </c>
      <c r="CO200" s="83">
        <v>1871760</v>
      </c>
      <c r="CP200" s="90">
        <f t="shared" si="41"/>
        <v>0.33862016134870238</v>
      </c>
      <c r="CQ200" s="90">
        <f t="shared" si="41"/>
        <v>0.49713220055120771</v>
      </c>
      <c r="CR200" s="90">
        <f t="shared" si="41"/>
        <v>0.11782816088663046</v>
      </c>
    </row>
    <row r="201" spans="1:97" ht="25.5" thickTop="1" thickBot="1" x14ac:dyDescent="0.3">
      <c r="A201" s="3" t="s">
        <v>304</v>
      </c>
      <c r="B201" s="3">
        <v>1806</v>
      </c>
      <c r="C201" s="3" t="s">
        <v>705</v>
      </c>
      <c r="D201" s="16">
        <v>45204</v>
      </c>
      <c r="E201" s="16" t="s">
        <v>592</v>
      </c>
      <c r="F201" s="16" t="s">
        <v>707</v>
      </c>
      <c r="G201" s="17"/>
      <c r="H201" s="17">
        <v>40185</v>
      </c>
      <c r="I201" s="17" t="s">
        <v>585</v>
      </c>
      <c r="J201" s="18"/>
      <c r="K201" s="18"/>
      <c r="L201" s="18"/>
      <c r="M201" s="18" t="s">
        <v>598</v>
      </c>
      <c r="N201" s="42">
        <v>16176</v>
      </c>
      <c r="O201" s="43">
        <v>11234</v>
      </c>
      <c r="P201" s="43">
        <v>9596</v>
      </c>
      <c r="Q201" s="43">
        <v>7137</v>
      </c>
      <c r="R201" s="44">
        <v>0.69448565776458904</v>
      </c>
      <c r="S201" s="44">
        <v>0.59322453016815002</v>
      </c>
      <c r="T201" s="44">
        <v>0.44120919881305598</v>
      </c>
      <c r="U201" s="44">
        <v>0.101261127596439</v>
      </c>
      <c r="V201" s="44">
        <v>0.15201533135509401</v>
      </c>
      <c r="W201" s="44">
        <v>0.12852373887240401</v>
      </c>
      <c r="X201" s="44">
        <v>0.312685459940653</v>
      </c>
      <c r="Y201" s="45">
        <v>126372</v>
      </c>
      <c r="Z201" s="45">
        <v>180796</v>
      </c>
      <c r="AA201" s="45">
        <v>2823042</v>
      </c>
      <c r="AB201" s="43">
        <v>41845</v>
      </c>
      <c r="AC201" s="43">
        <v>43213</v>
      </c>
      <c r="AD201" s="44">
        <v>3.2692077906559897E-2</v>
      </c>
      <c r="AE201" s="44">
        <v>0.70950482227447798</v>
      </c>
      <c r="AF201" s="44">
        <v>4.83450830445692E-2</v>
      </c>
      <c r="AG201" s="44">
        <v>6.6985302903572699E-2</v>
      </c>
      <c r="AH201" s="44">
        <v>6.5192974070976198E-2</v>
      </c>
      <c r="AI201" s="46">
        <v>0.28249492173497398</v>
      </c>
      <c r="AJ201" s="70">
        <v>60259</v>
      </c>
      <c r="AK201" s="71">
        <v>37693</v>
      </c>
      <c r="AL201" s="71">
        <v>29078</v>
      </c>
      <c r="AM201" s="71">
        <v>18892</v>
      </c>
      <c r="AN201" s="72">
        <v>0.625516520353806</v>
      </c>
      <c r="AO201" s="72">
        <v>0.482550324432865</v>
      </c>
      <c r="AP201" s="72">
        <v>0.31351333410776799</v>
      </c>
      <c r="AQ201" s="72">
        <v>0.14296619592094101</v>
      </c>
      <c r="AR201" s="72">
        <v>0.169036990325097</v>
      </c>
      <c r="AS201" s="72">
        <v>0.12034716805788299</v>
      </c>
      <c r="AT201" s="72">
        <v>0.19316616604988501</v>
      </c>
      <c r="AU201" s="73">
        <v>96145</v>
      </c>
      <c r="AV201" s="73">
        <v>142388</v>
      </c>
      <c r="AW201" s="73">
        <v>1799787</v>
      </c>
      <c r="AX201" s="71">
        <v>146425</v>
      </c>
      <c r="AY201" s="71">
        <v>150577</v>
      </c>
      <c r="AZ201" s="72">
        <v>2.8355813556428199E-2</v>
      </c>
      <c r="BA201" s="72">
        <v>0.59900546021840895</v>
      </c>
      <c r="BB201" s="72">
        <v>6.4982072733481305E-2</v>
      </c>
      <c r="BC201" s="72">
        <v>8.7348471913949094E-2</v>
      </c>
      <c r="BD201" s="72">
        <v>0.119508280689773</v>
      </c>
      <c r="BE201" s="74">
        <v>0.25705309885606997</v>
      </c>
      <c r="BF201" s="42">
        <v>120126</v>
      </c>
      <c r="BG201" s="43">
        <v>70106</v>
      </c>
      <c r="BH201" s="43">
        <v>52904</v>
      </c>
      <c r="BI201" s="43">
        <v>32656</v>
      </c>
      <c r="BJ201" s="44">
        <v>0.583603882589947</v>
      </c>
      <c r="BK201" s="44">
        <v>0.44040424221234398</v>
      </c>
      <c r="BL201" s="44">
        <v>0.271847893045635</v>
      </c>
      <c r="BM201" s="44">
        <v>0.14319964037760399</v>
      </c>
      <c r="BN201" s="44">
        <v>0.168556349166708</v>
      </c>
      <c r="BO201" s="44">
        <v>0.107129181026589</v>
      </c>
      <c r="BP201" s="44">
        <v>0.164718712019047</v>
      </c>
      <c r="BQ201" s="45">
        <v>87843</v>
      </c>
      <c r="BR201" s="45">
        <v>131968</v>
      </c>
      <c r="BS201" s="45">
        <v>1573655</v>
      </c>
      <c r="BT201" s="43">
        <v>293393</v>
      </c>
      <c r="BU201" s="43">
        <v>300462</v>
      </c>
      <c r="BV201" s="44">
        <v>2.4093962705313301E-2</v>
      </c>
      <c r="BW201" s="44">
        <v>0.55590202636238395</v>
      </c>
      <c r="BX201" s="44">
        <v>7.0005078512439006E-2</v>
      </c>
      <c r="BY201" s="44">
        <v>6.91632043027611E-2</v>
      </c>
      <c r="BZ201" s="44">
        <v>0.14002038221770799</v>
      </c>
      <c r="CA201" s="46">
        <v>0.25333596916081802</v>
      </c>
      <c r="CG201" s="90" t="str">
        <f t="shared" si="39"/>
        <v/>
      </c>
      <c r="CH201" s="90" t="str">
        <f t="shared" si="39"/>
        <v/>
      </c>
      <c r="CI201" s="90" t="str">
        <f t="shared" si="31"/>
        <v/>
      </c>
      <c r="CK201" s="86"/>
      <c r="CL201" s="83"/>
      <c r="CM201" s="83"/>
      <c r="CN201" s="83"/>
      <c r="CO201" s="83"/>
      <c r="CP201" s="90"/>
      <c r="CQ201" s="90"/>
      <c r="CR201" s="90"/>
    </row>
    <row r="202" spans="1:97" ht="61.5" thickTop="1" thickBot="1" x14ac:dyDescent="0.3">
      <c r="A202" s="3" t="s">
        <v>296</v>
      </c>
      <c r="B202" s="3">
        <v>1007</v>
      </c>
      <c r="C202" s="3" t="s">
        <v>160</v>
      </c>
      <c r="D202" s="16">
        <v>40808</v>
      </c>
      <c r="E202" s="16" t="s">
        <v>551</v>
      </c>
      <c r="F202" s="16" t="s">
        <v>431</v>
      </c>
      <c r="G202" s="17">
        <v>17723</v>
      </c>
      <c r="H202" s="17">
        <v>21235</v>
      </c>
      <c r="I202" s="17" t="s">
        <v>584</v>
      </c>
      <c r="J202" s="18"/>
      <c r="K202" s="18" t="s">
        <v>519</v>
      </c>
      <c r="L202" s="18"/>
      <c r="M202" s="18" t="s">
        <v>598</v>
      </c>
      <c r="N202" s="10">
        <v>26085</v>
      </c>
      <c r="O202" s="11">
        <v>16902</v>
      </c>
      <c r="P202" s="11">
        <v>13979</v>
      </c>
      <c r="Q202" s="11">
        <v>9100</v>
      </c>
      <c r="R202" s="12">
        <v>0.64795859689476698</v>
      </c>
      <c r="S202" s="12">
        <v>0.535901859306115</v>
      </c>
      <c r="T202" s="12">
        <v>0.34885949779566799</v>
      </c>
      <c r="U202" s="12">
        <v>0.11205673758865201</v>
      </c>
      <c r="V202" s="12">
        <v>0.18704236151044701</v>
      </c>
      <c r="W202" s="12">
        <v>0.10392946137627</v>
      </c>
      <c r="X202" s="12">
        <v>0.24493003641939801</v>
      </c>
      <c r="Y202" s="13">
        <v>106769</v>
      </c>
      <c r="Z202" s="13">
        <v>158607</v>
      </c>
      <c r="AA202" s="13">
        <v>2526678</v>
      </c>
      <c r="AB202" s="11">
        <v>58844</v>
      </c>
      <c r="AC202" s="11">
        <v>63495</v>
      </c>
      <c r="AD202" s="12">
        <v>7.9039494255998904E-2</v>
      </c>
      <c r="AE202" s="12">
        <v>0.59923283633841895</v>
      </c>
      <c r="AF202" s="12">
        <v>6.2453266263340398E-2</v>
      </c>
      <c r="AG202" s="12">
        <v>4.4099653320644402E-2</v>
      </c>
      <c r="AH202" s="12">
        <v>1.6535245734484401E-2</v>
      </c>
      <c r="AI202" s="14">
        <v>0.32490993134389201</v>
      </c>
      <c r="AJ202" s="4">
        <v>86579</v>
      </c>
      <c r="AK202" s="5">
        <v>53132</v>
      </c>
      <c r="AL202" s="5">
        <v>41316</v>
      </c>
      <c r="AM202" s="5">
        <v>25124</v>
      </c>
      <c r="AN202" s="6">
        <v>0.61368230171288696</v>
      </c>
      <c r="AO202" s="6">
        <v>0.47720578893265098</v>
      </c>
      <c r="AP202" s="6">
        <v>0.29018584183231499</v>
      </c>
      <c r="AQ202" s="6">
        <v>0.13647651278023501</v>
      </c>
      <c r="AR202" s="6">
        <v>0.18701994710033601</v>
      </c>
      <c r="AS202" s="6">
        <v>0.103766502269603</v>
      </c>
      <c r="AT202" s="6">
        <v>0.18641933956271201</v>
      </c>
      <c r="AU202" s="7">
        <v>94804</v>
      </c>
      <c r="AV202" s="7">
        <v>138056</v>
      </c>
      <c r="AW202" s="7">
        <v>1970370</v>
      </c>
      <c r="AX202" s="5">
        <v>189832</v>
      </c>
      <c r="AY202" s="5">
        <v>202841</v>
      </c>
      <c r="AZ202" s="6">
        <v>6.8529015129166801E-2</v>
      </c>
      <c r="BA202" s="6">
        <v>0.57170143592522304</v>
      </c>
      <c r="BB202" s="6">
        <v>8.4990939356904993E-2</v>
      </c>
      <c r="BC202" s="6">
        <v>5.0402461123519697E-2</v>
      </c>
      <c r="BD202" s="6">
        <v>2.1792953769649001E-2</v>
      </c>
      <c r="BE202" s="8">
        <v>0.30443234017447002</v>
      </c>
      <c r="BF202" s="10">
        <v>167719</v>
      </c>
      <c r="BG202" s="11">
        <v>96845</v>
      </c>
      <c r="BH202" s="11">
        <v>74875</v>
      </c>
      <c r="BI202" s="11">
        <v>44589</v>
      </c>
      <c r="BJ202" s="12">
        <v>0.57742414395506803</v>
      </c>
      <c r="BK202" s="12">
        <v>0.446431233193615</v>
      </c>
      <c r="BL202" s="12">
        <v>0.26585538907339101</v>
      </c>
      <c r="BM202" s="12">
        <v>0.130992910761452</v>
      </c>
      <c r="BN202" s="12">
        <v>0.18057584412022501</v>
      </c>
      <c r="BO202" s="12">
        <v>9.5075692080205595E-2</v>
      </c>
      <c r="BP202" s="12">
        <v>0.17077969699318499</v>
      </c>
      <c r="BQ202" s="13">
        <v>88100</v>
      </c>
      <c r="BR202" s="13">
        <v>129890</v>
      </c>
      <c r="BS202" s="13">
        <v>1687363</v>
      </c>
      <c r="BT202" s="11">
        <v>369951</v>
      </c>
      <c r="BU202" s="11">
        <v>394036</v>
      </c>
      <c r="BV202" s="12">
        <v>6.5103216371897907E-2</v>
      </c>
      <c r="BW202" s="12">
        <v>0.548431586375008</v>
      </c>
      <c r="BX202" s="12">
        <v>0.13563417858040699</v>
      </c>
      <c r="BY202" s="12">
        <v>4.8303694273025298E-2</v>
      </c>
      <c r="BZ202" s="12">
        <v>2.56601549934991E-2</v>
      </c>
      <c r="CA202" s="14">
        <v>0.28321318228630299</v>
      </c>
      <c r="CB202" s="86">
        <f t="shared" ref="CB202:CB222" si="42">IF(SUM(CC202:CF202)=0,"",SUM(CC202:CF202))</f>
        <v>32125877.532665733</v>
      </c>
      <c r="CC202" s="83">
        <v>15084005.222666301</v>
      </c>
      <c r="CD202" s="83">
        <v>12368449.1449995</v>
      </c>
      <c r="CE202" s="83">
        <v>3196210.7249999298</v>
      </c>
      <c r="CF202" s="83">
        <v>1477212.44</v>
      </c>
      <c r="CG202" s="90">
        <f t="shared" si="39"/>
        <v>0.46952819288216541</v>
      </c>
      <c r="CH202" s="90">
        <f t="shared" si="39"/>
        <v>0.38499957339447638</v>
      </c>
      <c r="CI202" s="90">
        <f t="shared" si="31"/>
        <v>9.9490223161997945E-2</v>
      </c>
      <c r="CK202" s="86">
        <f t="shared" si="40"/>
        <v>31315418</v>
      </c>
      <c r="CL202" s="83">
        <v>14681244</v>
      </c>
      <c r="CM202" s="83">
        <v>12052467</v>
      </c>
      <c r="CN202" s="83">
        <v>3133561</v>
      </c>
      <c r="CO202" s="83">
        <v>1448146</v>
      </c>
      <c r="CP202" s="90">
        <f t="shared" si="41"/>
        <v>0.46881839482391707</v>
      </c>
      <c r="CQ202" s="90">
        <f t="shared" si="41"/>
        <v>0.38487325955540497</v>
      </c>
      <c r="CR202" s="90">
        <f t="shared" si="41"/>
        <v>0.10006447942032899</v>
      </c>
    </row>
    <row r="203" spans="1:97" ht="37.5" thickTop="1" thickBot="1" x14ac:dyDescent="0.3">
      <c r="A203" s="3" t="s">
        <v>294</v>
      </c>
      <c r="B203" s="3">
        <v>803</v>
      </c>
      <c r="C203" s="3" t="s">
        <v>114</v>
      </c>
      <c r="D203" s="16">
        <v>39758</v>
      </c>
      <c r="E203" s="16" t="s">
        <v>542</v>
      </c>
      <c r="F203" s="16" t="s">
        <v>391</v>
      </c>
      <c r="G203" s="17">
        <v>17609</v>
      </c>
      <c r="H203" s="17">
        <v>21000</v>
      </c>
      <c r="I203" s="17" t="s">
        <v>585</v>
      </c>
      <c r="J203" s="18"/>
      <c r="K203" s="18" t="s">
        <v>598</v>
      </c>
      <c r="L203" s="18"/>
      <c r="M203" s="18" t="s">
        <v>598</v>
      </c>
      <c r="N203" s="10">
        <v>51117</v>
      </c>
      <c r="O203" s="11">
        <v>30809</v>
      </c>
      <c r="P203" s="11">
        <v>24479</v>
      </c>
      <c r="Q203" s="11">
        <v>15414</v>
      </c>
      <c r="R203" s="12">
        <v>0.60271533931959997</v>
      </c>
      <c r="S203" s="12">
        <v>0.47888178101218798</v>
      </c>
      <c r="T203" s="12">
        <v>0.301543517812078</v>
      </c>
      <c r="U203" s="12">
        <v>0.12383355830741199</v>
      </c>
      <c r="V203" s="12">
        <v>0.17733826320011001</v>
      </c>
      <c r="W203" s="12">
        <v>0.103977150458751</v>
      </c>
      <c r="X203" s="12">
        <v>0.197566367353327</v>
      </c>
      <c r="Y203" s="13">
        <v>94745</v>
      </c>
      <c r="Z203" s="13">
        <v>140752</v>
      </c>
      <c r="AA203" s="13">
        <v>1483127</v>
      </c>
      <c r="AB203" s="11">
        <v>109716</v>
      </c>
      <c r="AC203" s="11">
        <v>117088</v>
      </c>
      <c r="AD203" s="12">
        <v>6.7191658463669798E-2</v>
      </c>
      <c r="AE203" s="12">
        <v>0.72110720427071795</v>
      </c>
      <c r="AF203" s="12">
        <v>9.4544095665171898E-2</v>
      </c>
      <c r="AG203" s="12">
        <v>0.12707353530934401</v>
      </c>
      <c r="AH203" s="12">
        <v>0.16076962339130099</v>
      </c>
      <c r="AI203" s="14">
        <v>0.20615042473294701</v>
      </c>
      <c r="AJ203" s="4">
        <v>104773</v>
      </c>
      <c r="AK203" s="5">
        <v>62125</v>
      </c>
      <c r="AL203" s="5">
        <v>49940</v>
      </c>
      <c r="AM203" s="5">
        <v>32723</v>
      </c>
      <c r="AN203" s="6">
        <v>0.59294856499288895</v>
      </c>
      <c r="AO203" s="6">
        <v>0.476649518482815</v>
      </c>
      <c r="AP203" s="6">
        <v>0.31232283126378002</v>
      </c>
      <c r="AQ203" s="6">
        <v>0.116299046510074</v>
      </c>
      <c r="AR203" s="6">
        <v>0.16432668721903501</v>
      </c>
      <c r="AS203" s="6">
        <v>9.59502925371995E-2</v>
      </c>
      <c r="AT203" s="6">
        <v>0.21637253872657999</v>
      </c>
      <c r="AU203" s="7">
        <v>93894</v>
      </c>
      <c r="AV203" s="7">
        <v>145652</v>
      </c>
      <c r="AW203" s="7">
        <v>1623966</v>
      </c>
      <c r="AX203" s="5">
        <v>242251</v>
      </c>
      <c r="AY203" s="5">
        <v>255963</v>
      </c>
      <c r="AZ203" s="6">
        <v>5.6602449525492197E-2</v>
      </c>
      <c r="BA203" s="6">
        <v>0.68080069892917405</v>
      </c>
      <c r="BB203" s="6">
        <v>0.14347928388324499</v>
      </c>
      <c r="BC203" s="6">
        <v>0.10701297414664999</v>
      </c>
      <c r="BD203" s="6">
        <v>0.15464951641066499</v>
      </c>
      <c r="BE203" s="8">
        <v>0.21703522379680601</v>
      </c>
      <c r="BF203" s="10">
        <v>212757</v>
      </c>
      <c r="BG203" s="11">
        <v>121231</v>
      </c>
      <c r="BH203" s="11">
        <v>96307</v>
      </c>
      <c r="BI203" s="11">
        <v>61804</v>
      </c>
      <c r="BJ203" s="12">
        <v>0.56980968898790596</v>
      </c>
      <c r="BK203" s="12">
        <v>0.45266195706839302</v>
      </c>
      <c r="BL203" s="12">
        <v>0.29049102967234902</v>
      </c>
      <c r="BM203" s="12">
        <v>0.117147731919514</v>
      </c>
      <c r="BN203" s="12">
        <v>0.162170927396043</v>
      </c>
      <c r="BO203" s="12">
        <v>9.4779490216538101E-2</v>
      </c>
      <c r="BP203" s="12">
        <v>0.19571153945581099</v>
      </c>
      <c r="BQ203" s="13">
        <v>88310</v>
      </c>
      <c r="BR203" s="13">
        <v>136229</v>
      </c>
      <c r="BS203" s="13">
        <v>1437014</v>
      </c>
      <c r="BT203" s="11">
        <v>494631</v>
      </c>
      <c r="BU203" s="11">
        <v>522040</v>
      </c>
      <c r="BV203" s="12">
        <v>5.5413025063127903E-2</v>
      </c>
      <c r="BW203" s="12">
        <v>0.64618776113201404</v>
      </c>
      <c r="BX203" s="12">
        <v>0.17635975100630599</v>
      </c>
      <c r="BY203" s="12">
        <v>0.104190800819197</v>
      </c>
      <c r="BZ203" s="12">
        <v>0.16595401420452799</v>
      </c>
      <c r="CA203" s="14">
        <v>0.21569816691634799</v>
      </c>
      <c r="CB203" s="86">
        <f t="shared" si="42"/>
        <v>8733786.4599997122</v>
      </c>
      <c r="CC203" s="83">
        <v>6699611.4699996999</v>
      </c>
      <c r="CD203" s="83">
        <v>43262.719999999899</v>
      </c>
      <c r="CE203" s="83">
        <v>1389073.51000001</v>
      </c>
      <c r="CF203" s="83">
        <v>601838.76000000199</v>
      </c>
      <c r="CG203" s="90">
        <f t="shared" si="39"/>
        <v>0.76709128402481241</v>
      </c>
      <c r="CH203" s="90">
        <f t="shared" si="39"/>
        <v>4.9534895544035692E-3</v>
      </c>
      <c r="CI203" s="90">
        <f t="shared" si="31"/>
        <v>0.1590459666448103</v>
      </c>
      <c r="CK203" s="86">
        <f t="shared" si="40"/>
        <v>8400280</v>
      </c>
      <c r="CL203" s="83">
        <v>6472209</v>
      </c>
      <c r="CM203" s="83">
        <v>50014</v>
      </c>
      <c r="CN203" s="83">
        <v>1313586</v>
      </c>
      <c r="CO203" s="83">
        <v>564471</v>
      </c>
      <c r="CP203" s="90">
        <f t="shared" si="41"/>
        <v>0.77047538891560763</v>
      </c>
      <c r="CQ203" s="90">
        <f t="shared" si="41"/>
        <v>5.9538491574090387E-3</v>
      </c>
      <c r="CR203" s="90">
        <f t="shared" si="41"/>
        <v>0.15637407324517755</v>
      </c>
    </row>
    <row r="204" spans="1:97" ht="37.5" thickTop="1" thickBot="1" x14ac:dyDescent="0.3">
      <c r="A204" s="3" t="s">
        <v>303</v>
      </c>
      <c r="B204" s="3">
        <v>1702</v>
      </c>
      <c r="C204" s="3" t="s">
        <v>240</v>
      </c>
      <c r="D204" s="16">
        <v>42500</v>
      </c>
      <c r="E204" s="16" t="s">
        <v>568</v>
      </c>
      <c r="F204" s="16" t="s">
        <v>494</v>
      </c>
      <c r="G204" s="17">
        <v>18588</v>
      </c>
      <c r="H204" s="17">
        <v>23540</v>
      </c>
      <c r="I204" s="17" t="s">
        <v>584</v>
      </c>
      <c r="J204" s="18"/>
      <c r="K204" s="18" t="s">
        <v>598</v>
      </c>
      <c r="L204" s="18"/>
      <c r="M204" s="18" t="s">
        <v>598</v>
      </c>
      <c r="N204" s="10">
        <v>170846</v>
      </c>
      <c r="O204" s="11">
        <v>95044</v>
      </c>
      <c r="P204" s="11">
        <v>75053</v>
      </c>
      <c r="Q204" s="11">
        <v>43994</v>
      </c>
      <c r="R204" s="12">
        <v>0.55631387331280802</v>
      </c>
      <c r="S204" s="12">
        <v>0.43930206150568302</v>
      </c>
      <c r="T204" s="12">
        <v>0.25750676047434501</v>
      </c>
      <c r="U204" s="12">
        <v>0.117011811807125</v>
      </c>
      <c r="V204" s="12">
        <v>0.18179530103133801</v>
      </c>
      <c r="W204" s="12">
        <v>0.117052784378914</v>
      </c>
      <c r="X204" s="12">
        <v>0.140453976095431</v>
      </c>
      <c r="Y204" s="13">
        <v>85416</v>
      </c>
      <c r="Z204" s="13">
        <v>118076</v>
      </c>
      <c r="AA204" s="13">
        <v>525375</v>
      </c>
      <c r="AB204" s="11">
        <v>415792</v>
      </c>
      <c r="AC204" s="11">
        <v>433387</v>
      </c>
      <c r="AD204" s="12">
        <v>4.2316831492669398E-2</v>
      </c>
      <c r="AE204" s="12">
        <v>0.51460647429247297</v>
      </c>
      <c r="AF204" s="12">
        <v>0.23944424135144499</v>
      </c>
      <c r="AG204" s="12">
        <v>0.124011524993266</v>
      </c>
      <c r="AH204" s="12">
        <v>0.102043810366722</v>
      </c>
      <c r="AI204" s="14">
        <v>0.198796513641436</v>
      </c>
      <c r="AJ204" s="4">
        <v>363647</v>
      </c>
      <c r="AK204" s="5">
        <v>205629</v>
      </c>
      <c r="AL204" s="5">
        <v>167567</v>
      </c>
      <c r="AM204" s="5">
        <v>105763</v>
      </c>
      <c r="AN204" s="6">
        <v>0.56546321020110202</v>
      </c>
      <c r="AO204" s="6">
        <v>0.46079577172367697</v>
      </c>
      <c r="AP204" s="6">
        <v>0.29083974293751902</v>
      </c>
      <c r="AQ204" s="6">
        <v>0.104667438477425</v>
      </c>
      <c r="AR204" s="6">
        <v>0.16995602878615801</v>
      </c>
      <c r="AS204" s="6">
        <v>0.11955000316240801</v>
      </c>
      <c r="AT204" s="6">
        <v>0.171289739775112</v>
      </c>
      <c r="AU204" s="7">
        <v>89166</v>
      </c>
      <c r="AV204" s="7">
        <v>127169</v>
      </c>
      <c r="AW204" s="7">
        <v>704587</v>
      </c>
      <c r="AX204" s="5">
        <v>877919</v>
      </c>
      <c r="AY204" s="5">
        <v>920895</v>
      </c>
      <c r="AZ204" s="6">
        <v>4.8952124284814401E-2</v>
      </c>
      <c r="BA204" s="6">
        <v>0.57750438620851896</v>
      </c>
      <c r="BB204" s="6">
        <v>0.184550055301229</v>
      </c>
      <c r="BC204" s="6">
        <v>0.13841595864766601</v>
      </c>
      <c r="BD204" s="6">
        <v>9.3579248199435194E-2</v>
      </c>
      <c r="BE204" s="8">
        <v>0.192311591388272</v>
      </c>
      <c r="BF204" s="10">
        <v>533475</v>
      </c>
      <c r="BG204" s="11">
        <v>300797</v>
      </c>
      <c r="BH204" s="11">
        <v>243747</v>
      </c>
      <c r="BI204" s="11">
        <v>152978</v>
      </c>
      <c r="BJ204" s="12">
        <v>0.56384460377712198</v>
      </c>
      <c r="BK204" s="12">
        <v>0.45690425980598898</v>
      </c>
      <c r="BL204" s="12">
        <v>0.28675758001780799</v>
      </c>
      <c r="BM204" s="12">
        <v>0.106940343971133</v>
      </c>
      <c r="BN204" s="12">
        <v>0.17014667978818099</v>
      </c>
      <c r="BO204" s="12">
        <v>0.11723136041988801</v>
      </c>
      <c r="BP204" s="12">
        <v>0.169526219597919</v>
      </c>
      <c r="BQ204" s="13">
        <v>88406</v>
      </c>
      <c r="BR204" s="13">
        <v>126652</v>
      </c>
      <c r="BS204" s="13">
        <v>838593</v>
      </c>
      <c r="BT204" s="11">
        <v>1302321</v>
      </c>
      <c r="BU204" s="11">
        <v>1358299</v>
      </c>
      <c r="BV204" s="12">
        <v>4.2983258351819598E-2</v>
      </c>
      <c r="BW204" s="12">
        <v>0.568245070193232</v>
      </c>
      <c r="BX204" s="12">
        <v>0.178835325545699</v>
      </c>
      <c r="BY204" s="12">
        <v>0.12760371674878901</v>
      </c>
      <c r="BZ204" s="12">
        <v>0.11512599428251601</v>
      </c>
      <c r="CA204" s="14">
        <v>0.20214371111269799</v>
      </c>
      <c r="CB204" s="86">
        <f t="shared" si="42"/>
        <v>25656823.482465692</v>
      </c>
      <c r="CC204" s="83">
        <v>10240359.1716663</v>
      </c>
      <c r="CD204" s="83">
        <v>9448145.0407995302</v>
      </c>
      <c r="CE204" s="83">
        <v>4822701.3399998499</v>
      </c>
      <c r="CF204" s="83">
        <v>1145617.9300000099</v>
      </c>
      <c r="CG204" s="90">
        <f t="shared" si="39"/>
        <v>0.39912809856078774</v>
      </c>
      <c r="CH204" s="90">
        <f t="shared" si="39"/>
        <v>0.36825077146656726</v>
      </c>
      <c r="CI204" s="90">
        <f t="shared" si="31"/>
        <v>0.18796954125267165</v>
      </c>
      <c r="CK204" s="86">
        <f t="shared" si="40"/>
        <v>23941991</v>
      </c>
      <c r="CL204" s="83">
        <v>9278892</v>
      </c>
      <c r="CM204" s="83">
        <v>8997419</v>
      </c>
      <c r="CN204" s="83">
        <v>4624784</v>
      </c>
      <c r="CO204" s="83">
        <v>1040896</v>
      </c>
      <c r="CP204" s="90">
        <f t="shared" si="41"/>
        <v>0.38755724200213759</v>
      </c>
      <c r="CQ204" s="90">
        <f t="shared" si="41"/>
        <v>0.37580078448780641</v>
      </c>
      <c r="CR204" s="90">
        <f t="shared" si="41"/>
        <v>0.19316622414568613</v>
      </c>
    </row>
    <row r="205" spans="1:97" ht="37.5" thickTop="1" thickBot="1" x14ac:dyDescent="0.3">
      <c r="A205" s="3" t="s">
        <v>291</v>
      </c>
      <c r="B205" s="3">
        <v>528</v>
      </c>
      <c r="C205" s="3" t="s">
        <v>83</v>
      </c>
      <c r="D205" s="16">
        <v>43384</v>
      </c>
      <c r="E205" s="16" t="s">
        <v>529</v>
      </c>
      <c r="F205" s="16" t="s">
        <v>365</v>
      </c>
      <c r="G205" s="17">
        <v>17635</v>
      </c>
      <c r="H205" s="17">
        <v>25000</v>
      </c>
      <c r="I205" s="17" t="s">
        <v>584</v>
      </c>
      <c r="J205" s="18"/>
      <c r="K205" s="18" t="s">
        <v>598</v>
      </c>
      <c r="L205" s="18"/>
      <c r="M205" s="18" t="s">
        <v>519</v>
      </c>
      <c r="N205" s="10">
        <v>41913</v>
      </c>
      <c r="O205" s="11">
        <v>23749</v>
      </c>
      <c r="P205" s="11">
        <v>18104</v>
      </c>
      <c r="Q205" s="11">
        <v>10179</v>
      </c>
      <c r="R205" s="12">
        <v>0.566626106458617</v>
      </c>
      <c r="S205" s="12">
        <v>0.43194235678667697</v>
      </c>
      <c r="T205" s="12">
        <v>0.242860210435903</v>
      </c>
      <c r="U205" s="12">
        <v>0.134683749671939</v>
      </c>
      <c r="V205" s="12">
        <v>0.189082146350774</v>
      </c>
      <c r="W205" s="12">
        <v>0.108224178655787</v>
      </c>
      <c r="X205" s="12">
        <v>0.13463603178011599</v>
      </c>
      <c r="Y205" s="13">
        <v>85634</v>
      </c>
      <c r="Z205" s="13">
        <v>118360</v>
      </c>
      <c r="AA205" s="13">
        <v>1351947</v>
      </c>
      <c r="AB205" s="11">
        <v>101733</v>
      </c>
      <c r="AC205" s="11">
        <v>107308</v>
      </c>
      <c r="AD205" s="12">
        <v>5.4800310617007297E-2</v>
      </c>
      <c r="AE205" s="12">
        <v>0.487691838037355</v>
      </c>
      <c r="AF205" s="12">
        <v>0.170937650516548</v>
      </c>
      <c r="AG205" s="12">
        <v>0.11260849478536999</v>
      </c>
      <c r="AH205" s="12">
        <v>9.0747348451338306E-2</v>
      </c>
      <c r="AI205" s="14">
        <v>0.281865274787925</v>
      </c>
      <c r="AJ205" s="4">
        <v>83891</v>
      </c>
      <c r="AK205" s="5">
        <v>45205</v>
      </c>
      <c r="AL205" s="5">
        <v>34146</v>
      </c>
      <c r="AM205" s="5">
        <v>18961</v>
      </c>
      <c r="AN205" s="6">
        <v>0.53885398910491</v>
      </c>
      <c r="AO205" s="6">
        <v>0.40702816750306903</v>
      </c>
      <c r="AP205" s="6">
        <v>0.22601947765552899</v>
      </c>
      <c r="AQ205" s="6">
        <v>0.13182582160184</v>
      </c>
      <c r="AR205" s="6">
        <v>0.18100868984754001</v>
      </c>
      <c r="AS205" s="6">
        <v>9.3180436518816107E-2</v>
      </c>
      <c r="AT205" s="6">
        <v>0.13283904113671299</v>
      </c>
      <c r="AU205" s="7">
        <v>80985</v>
      </c>
      <c r="AV205" s="7">
        <v>114828</v>
      </c>
      <c r="AW205" s="7">
        <v>1329555</v>
      </c>
      <c r="AX205" s="5">
        <v>206176</v>
      </c>
      <c r="AY205" s="5">
        <v>217033</v>
      </c>
      <c r="AZ205" s="6">
        <v>5.2658893372652497E-2</v>
      </c>
      <c r="BA205" s="6">
        <v>0.45441072543517202</v>
      </c>
      <c r="BB205" s="6">
        <v>0.18309599565419801</v>
      </c>
      <c r="BC205" s="6">
        <v>9.27896554400124E-2</v>
      </c>
      <c r="BD205" s="6">
        <v>0.10654489368306699</v>
      </c>
      <c r="BE205" s="8">
        <v>0.27305311966475199</v>
      </c>
      <c r="BF205" s="10">
        <v>158328</v>
      </c>
      <c r="BG205" s="11">
        <v>79423</v>
      </c>
      <c r="BH205" s="11">
        <v>59125</v>
      </c>
      <c r="BI205" s="11">
        <v>33383</v>
      </c>
      <c r="BJ205" s="12">
        <v>0.501635844575817</v>
      </c>
      <c r="BK205" s="12">
        <v>0.373433631448638</v>
      </c>
      <c r="BL205" s="12">
        <v>0.21084710221818001</v>
      </c>
      <c r="BM205" s="12">
        <v>0.128202213127179</v>
      </c>
      <c r="BN205" s="12">
        <v>0.16258652923045799</v>
      </c>
      <c r="BO205" s="12">
        <v>8.4489161740184907E-2</v>
      </c>
      <c r="BP205" s="12">
        <v>0.12635794047799501</v>
      </c>
      <c r="BQ205" s="13">
        <v>75241</v>
      </c>
      <c r="BR205" s="13">
        <v>109197</v>
      </c>
      <c r="BS205" s="13">
        <v>1178286</v>
      </c>
      <c r="BT205" s="11">
        <v>390303</v>
      </c>
      <c r="BU205" s="11">
        <v>414849</v>
      </c>
      <c r="BV205" s="12">
        <v>6.2889601156024905E-2</v>
      </c>
      <c r="BW205" s="12">
        <v>0.43684400474753599</v>
      </c>
      <c r="BX205" s="12">
        <v>0.21699295162988799</v>
      </c>
      <c r="BY205" s="12">
        <v>8.7291155845586596E-2</v>
      </c>
      <c r="BZ205" s="12">
        <v>0.13030132999233901</v>
      </c>
      <c r="CA205" s="14">
        <v>0.25270110657617301</v>
      </c>
      <c r="CB205" s="86">
        <f t="shared" si="42"/>
        <v>26785297.755897846</v>
      </c>
      <c r="CC205" s="83">
        <v>8116217.7759104799</v>
      </c>
      <c r="CD205" s="83">
        <v>14780292.544987399</v>
      </c>
      <c r="CE205" s="83">
        <v>2583474.12499996</v>
      </c>
      <c r="CF205" s="83">
        <v>1305313.3100000101</v>
      </c>
      <c r="CG205" s="90">
        <f t="shared" si="39"/>
        <v>0.30301017557750959</v>
      </c>
      <c r="CH205" s="90">
        <f t="shared" si="39"/>
        <v>0.55180616917849756</v>
      </c>
      <c r="CI205" s="90">
        <f t="shared" si="31"/>
        <v>9.6451200525896924E-2</v>
      </c>
      <c r="CK205" s="86">
        <f t="shared" si="40"/>
        <v>26406254</v>
      </c>
      <c r="CL205" s="83">
        <v>7958947</v>
      </c>
      <c r="CM205" s="83">
        <v>14615373</v>
      </c>
      <c r="CN205" s="83">
        <v>2557282</v>
      </c>
      <c r="CO205" s="83">
        <v>1274652</v>
      </c>
      <c r="CP205" s="90">
        <f t="shared" si="41"/>
        <v>0.30140386440272821</v>
      </c>
      <c r="CQ205" s="90">
        <f t="shared" si="41"/>
        <v>0.55348149722410456</v>
      </c>
      <c r="CR205" s="90">
        <f t="shared" si="41"/>
        <v>9.6843800714785211E-2</v>
      </c>
    </row>
    <row r="206" spans="1:97" ht="37.5" thickTop="1" thickBot="1" x14ac:dyDescent="0.3">
      <c r="A206" s="3" t="s">
        <v>291</v>
      </c>
      <c r="B206" s="3">
        <v>505</v>
      </c>
      <c r="C206" s="3" t="s">
        <v>60</v>
      </c>
      <c r="D206" s="16">
        <v>41585</v>
      </c>
      <c r="E206" s="16" t="s">
        <v>529</v>
      </c>
      <c r="F206" s="16" t="s">
        <v>343</v>
      </c>
      <c r="G206" s="17">
        <v>21565</v>
      </c>
      <c r="H206" s="17">
        <v>30393</v>
      </c>
      <c r="I206" s="17" t="s">
        <v>585</v>
      </c>
      <c r="J206" s="18"/>
      <c r="K206" s="18" t="s">
        <v>598</v>
      </c>
      <c r="L206" s="18" t="s">
        <v>587</v>
      </c>
      <c r="M206" s="18" t="s">
        <v>598</v>
      </c>
      <c r="N206" s="10">
        <v>44287</v>
      </c>
      <c r="O206" s="11">
        <v>22523</v>
      </c>
      <c r="P206" s="11">
        <v>16119</v>
      </c>
      <c r="Q206" s="11">
        <v>8101</v>
      </c>
      <c r="R206" s="12">
        <v>0.50856910605821104</v>
      </c>
      <c r="S206" s="12">
        <v>0.36396685257524802</v>
      </c>
      <c r="T206" s="12">
        <v>0.182920495856572</v>
      </c>
      <c r="U206" s="12">
        <v>0.14460225348296299</v>
      </c>
      <c r="V206" s="12">
        <v>0.181046356718676</v>
      </c>
      <c r="W206" s="12">
        <v>9.4610156479327995E-2</v>
      </c>
      <c r="X206" s="12">
        <v>8.8310339377243904E-2</v>
      </c>
      <c r="Y206" s="13">
        <v>76104</v>
      </c>
      <c r="Z206" s="13">
        <v>99624</v>
      </c>
      <c r="AA206" s="13">
        <v>983464</v>
      </c>
      <c r="AB206" s="11">
        <v>118323</v>
      </c>
      <c r="AC206" s="11">
        <v>132143</v>
      </c>
      <c r="AD206" s="12">
        <v>0.11679893173770101</v>
      </c>
      <c r="AE206" s="12">
        <v>0.47995026422132397</v>
      </c>
      <c r="AF206" s="12">
        <v>0.27644667562519498</v>
      </c>
      <c r="AG206" s="12">
        <v>0.13181714459572499</v>
      </c>
      <c r="AH206" s="12">
        <v>0.112826753885551</v>
      </c>
      <c r="AI206" s="14">
        <v>0.225771827962442</v>
      </c>
      <c r="AJ206" s="4">
        <v>123796</v>
      </c>
      <c r="AK206" s="5">
        <v>67019</v>
      </c>
      <c r="AL206" s="5">
        <v>49787</v>
      </c>
      <c r="AM206" s="5">
        <v>25996</v>
      </c>
      <c r="AN206" s="6">
        <v>0.54136644156515601</v>
      </c>
      <c r="AO206" s="6">
        <v>0.40216969853630202</v>
      </c>
      <c r="AP206" s="6">
        <v>0.209990629745711</v>
      </c>
      <c r="AQ206" s="6">
        <v>0.13919674302885399</v>
      </c>
      <c r="AR206" s="6">
        <v>0.19217906879059099</v>
      </c>
      <c r="AS206" s="6">
        <v>0.10360593234030201</v>
      </c>
      <c r="AT206" s="6">
        <v>0.106384697405409</v>
      </c>
      <c r="AU206" s="7">
        <v>80999</v>
      </c>
      <c r="AV206" s="7">
        <v>106462</v>
      </c>
      <c r="AW206" s="7">
        <v>1145351</v>
      </c>
      <c r="AX206" s="5">
        <v>319948</v>
      </c>
      <c r="AY206" s="5">
        <v>348950</v>
      </c>
      <c r="AZ206" s="6">
        <v>9.0645979971745394E-2</v>
      </c>
      <c r="BA206" s="6">
        <v>0.52916004565699104</v>
      </c>
      <c r="BB206" s="6">
        <v>0.19311263080250499</v>
      </c>
      <c r="BC206" s="6">
        <v>0.19438471251578399</v>
      </c>
      <c r="BD206" s="6">
        <v>0.108348856689212</v>
      </c>
      <c r="BE206" s="8">
        <v>0.242095590533462</v>
      </c>
      <c r="BF206" s="10">
        <v>254986</v>
      </c>
      <c r="BG206" s="11">
        <v>137079</v>
      </c>
      <c r="BH206" s="11">
        <v>103494</v>
      </c>
      <c r="BI206" s="11">
        <v>56677</v>
      </c>
      <c r="BJ206" s="12">
        <v>0.53759422085918396</v>
      </c>
      <c r="BK206" s="12">
        <v>0.40588110719804199</v>
      </c>
      <c r="BL206" s="12">
        <v>0.22227494842854101</v>
      </c>
      <c r="BM206" s="12">
        <v>0.131713113661142</v>
      </c>
      <c r="BN206" s="12">
        <v>0.18360615876950101</v>
      </c>
      <c r="BO206" s="12">
        <v>9.8581882926905798E-2</v>
      </c>
      <c r="BP206" s="12">
        <v>0.123693065501635</v>
      </c>
      <c r="BQ206" s="13">
        <v>80777</v>
      </c>
      <c r="BR206" s="13">
        <v>111168</v>
      </c>
      <c r="BS206" s="13">
        <v>1212936</v>
      </c>
      <c r="BT206" s="11">
        <v>678761</v>
      </c>
      <c r="BU206" s="11">
        <v>730049</v>
      </c>
      <c r="BV206" s="12">
        <v>7.5561206374556003E-2</v>
      </c>
      <c r="BW206" s="12">
        <v>0.51383526868477203</v>
      </c>
      <c r="BX206" s="12">
        <v>0.20716864993716499</v>
      </c>
      <c r="BY206" s="12">
        <v>0.21395454364643801</v>
      </c>
      <c r="BZ206" s="12">
        <v>0.123140545788577</v>
      </c>
      <c r="CA206" s="14">
        <v>0.239988744197147</v>
      </c>
      <c r="CB206" s="86">
        <f t="shared" si="42"/>
        <v>27162178.53999918</v>
      </c>
      <c r="CC206" s="83">
        <v>7153857.7199998004</v>
      </c>
      <c r="CD206" s="83">
        <v>16511519.2599994</v>
      </c>
      <c r="CE206" s="83">
        <v>2465623.27999997</v>
      </c>
      <c r="CF206" s="83">
        <v>1031178.28000001</v>
      </c>
      <c r="CG206" s="90">
        <f t="shared" si="39"/>
        <v>0.26337569755183621</v>
      </c>
      <c r="CH206" s="90">
        <f t="shared" si="39"/>
        <v>0.6078864121920281</v>
      </c>
      <c r="CI206" s="90">
        <f t="shared" si="31"/>
        <v>9.0774135674319315E-2</v>
      </c>
      <c r="CK206" s="86">
        <f t="shared" si="40"/>
        <v>25869438</v>
      </c>
      <c r="CL206" s="83">
        <v>6760745</v>
      </c>
      <c r="CM206" s="83">
        <v>15759699</v>
      </c>
      <c r="CN206" s="83">
        <v>2365056</v>
      </c>
      <c r="CO206" s="83">
        <v>983938</v>
      </c>
      <c r="CP206" s="90">
        <f t="shared" si="41"/>
        <v>0.26134100787191433</v>
      </c>
      <c r="CQ206" s="90">
        <f t="shared" si="41"/>
        <v>0.60920144457718794</v>
      </c>
      <c r="CR206" s="90">
        <f t="shared" si="41"/>
        <v>9.1422782358086013E-2</v>
      </c>
    </row>
    <row r="207" spans="1:97" ht="37.5" thickTop="1" thickBot="1" x14ac:dyDescent="0.3">
      <c r="A207" s="3" t="s">
        <v>289</v>
      </c>
      <c r="B207" s="3">
        <v>305</v>
      </c>
      <c r="C207" s="3" t="s">
        <v>52</v>
      </c>
      <c r="D207" s="16">
        <v>44517</v>
      </c>
      <c r="E207" s="16" t="s">
        <v>526</v>
      </c>
      <c r="F207" s="16" t="s">
        <v>643</v>
      </c>
      <c r="G207" s="17">
        <v>23186</v>
      </c>
      <c r="H207" s="17">
        <v>27727</v>
      </c>
      <c r="I207" s="17" t="s">
        <v>585</v>
      </c>
      <c r="J207" s="18"/>
      <c r="K207" s="18" t="s">
        <v>519</v>
      </c>
      <c r="L207" s="18"/>
      <c r="M207" s="18" t="s">
        <v>598</v>
      </c>
      <c r="N207" s="10">
        <v>22890</v>
      </c>
      <c r="O207" s="11">
        <v>13167</v>
      </c>
      <c r="P207" s="11">
        <v>10532</v>
      </c>
      <c r="Q207" s="11">
        <v>6067</v>
      </c>
      <c r="R207" s="12">
        <v>0.57522935779816498</v>
      </c>
      <c r="S207" s="12">
        <v>0.46011358671909097</v>
      </c>
      <c r="T207" s="12">
        <v>0.265050240279598</v>
      </c>
      <c r="U207" s="12">
        <v>0.115115771079074</v>
      </c>
      <c r="V207" s="12">
        <v>0.195063346439493</v>
      </c>
      <c r="W207" s="12">
        <v>0.103888160768895</v>
      </c>
      <c r="X207" s="12">
        <v>0.16116207951070299</v>
      </c>
      <c r="Y207" s="13">
        <v>89868</v>
      </c>
      <c r="Z207" s="13">
        <v>122791</v>
      </c>
      <c r="AA207" s="13">
        <v>1669434</v>
      </c>
      <c r="AB207" s="11">
        <v>59976</v>
      </c>
      <c r="AC207" s="11">
        <v>60531</v>
      </c>
      <c r="AD207" s="12">
        <v>9.2537014805922392E-3</v>
      </c>
      <c r="AE207" s="12">
        <v>0.45829088583003602</v>
      </c>
      <c r="AF207" s="12">
        <v>0.12855142056822699</v>
      </c>
      <c r="AG207" s="12">
        <v>5.4054955315459501E-2</v>
      </c>
      <c r="AH207" s="12">
        <v>7.6013738828864905E-2</v>
      </c>
      <c r="AI207" s="14">
        <v>0.26984126984126999</v>
      </c>
      <c r="AJ207" s="4">
        <v>60245</v>
      </c>
      <c r="AK207" s="5">
        <v>35053</v>
      </c>
      <c r="AL207" s="5">
        <v>28217</v>
      </c>
      <c r="AM207" s="5">
        <v>17145</v>
      </c>
      <c r="AN207" s="6">
        <v>0.58184081666528298</v>
      </c>
      <c r="AO207" s="6">
        <v>0.46837081915511702</v>
      </c>
      <c r="AP207" s="6">
        <v>0.284587932608515</v>
      </c>
      <c r="AQ207" s="6">
        <v>0.11346999751016699</v>
      </c>
      <c r="AR207" s="6">
        <v>0.18378288654660099</v>
      </c>
      <c r="AS207" s="6">
        <v>0.106764046808864</v>
      </c>
      <c r="AT207" s="6">
        <v>0.177823885799651</v>
      </c>
      <c r="AU207" s="7">
        <v>91707</v>
      </c>
      <c r="AV207" s="7">
        <v>129076</v>
      </c>
      <c r="AW207" s="7">
        <v>1786040</v>
      </c>
      <c r="AX207" s="5">
        <v>152027</v>
      </c>
      <c r="AY207" s="5">
        <v>153083</v>
      </c>
      <c r="AZ207" s="6">
        <v>6.9461345682016997E-3</v>
      </c>
      <c r="BA207" s="6">
        <v>0.482126210276621</v>
      </c>
      <c r="BB207" s="6">
        <v>0.15554473876350899</v>
      </c>
      <c r="BC207" s="6">
        <v>4.0519118314509897E-2</v>
      </c>
      <c r="BD207" s="6">
        <v>8.1031658850072699E-2</v>
      </c>
      <c r="BE207" s="8">
        <v>0.26400573582324199</v>
      </c>
      <c r="BF207" s="10">
        <v>90618</v>
      </c>
      <c r="BG207" s="11">
        <v>51562</v>
      </c>
      <c r="BH207" s="11">
        <v>41318</v>
      </c>
      <c r="BI207" s="11">
        <v>25550</v>
      </c>
      <c r="BJ207" s="12">
        <v>0.56900395064998099</v>
      </c>
      <c r="BK207" s="12">
        <v>0.45595797744377498</v>
      </c>
      <c r="BL207" s="12">
        <v>0.28195281290692797</v>
      </c>
      <c r="BM207" s="12">
        <v>0.113045973206206</v>
      </c>
      <c r="BN207" s="12">
        <v>0.174005164536847</v>
      </c>
      <c r="BO207" s="12">
        <v>0.10177889602507199</v>
      </c>
      <c r="BP207" s="12">
        <v>0.18017391688185599</v>
      </c>
      <c r="BQ207" s="13">
        <v>88718</v>
      </c>
      <c r="BR207" s="13">
        <v>129389</v>
      </c>
      <c r="BS207" s="13">
        <v>1716063</v>
      </c>
      <c r="BT207" s="11">
        <v>228829</v>
      </c>
      <c r="BU207" s="11">
        <v>230446</v>
      </c>
      <c r="BV207" s="12">
        <v>7.0664120369358799E-3</v>
      </c>
      <c r="BW207" s="12">
        <v>0.47665010993587598</v>
      </c>
      <c r="BX207" s="12">
        <v>0.150081501907538</v>
      </c>
      <c r="BY207" s="12">
        <v>3.5371390863920202E-2</v>
      </c>
      <c r="BZ207" s="12">
        <v>0.13689261413544601</v>
      </c>
      <c r="CA207" s="14">
        <v>0.26926657023366801</v>
      </c>
      <c r="CB207" s="86">
        <f t="shared" si="42"/>
        <v>29107388.34710997</v>
      </c>
      <c r="CC207" s="83">
        <v>13429168.170277201</v>
      </c>
      <c r="CD207" s="83">
        <v>9750812.4314995501</v>
      </c>
      <c r="CE207" s="83">
        <v>4977361.0353332097</v>
      </c>
      <c r="CF207" s="83">
        <v>950046.71000001102</v>
      </c>
      <c r="CG207" s="90">
        <f t="shared" si="39"/>
        <v>0.46136630363852493</v>
      </c>
      <c r="CH207" s="90">
        <f t="shared" si="39"/>
        <v>0.33499441156381499</v>
      </c>
      <c r="CI207" s="90">
        <f t="shared" si="31"/>
        <v>0.17099991850788648</v>
      </c>
      <c r="CK207" s="86">
        <f t="shared" si="40"/>
        <v>30868594</v>
      </c>
      <c r="CL207" s="83">
        <v>14198376</v>
      </c>
      <c r="CM207" s="83">
        <v>10525393</v>
      </c>
      <c r="CN207" s="83">
        <v>5172975</v>
      </c>
      <c r="CO207" s="83">
        <v>971850</v>
      </c>
      <c r="CP207" s="90">
        <f t="shared" si="41"/>
        <v>0.45996186285646828</v>
      </c>
      <c r="CQ207" s="90">
        <f t="shared" si="41"/>
        <v>0.34097416293077681</v>
      </c>
      <c r="CR207" s="90">
        <f t="shared" si="41"/>
        <v>0.16758051889243805</v>
      </c>
    </row>
    <row r="208" spans="1:97" ht="49.5" thickTop="1" thickBot="1" x14ac:dyDescent="0.3">
      <c r="A208" s="3" t="s">
        <v>292</v>
      </c>
      <c r="B208" s="3">
        <v>607</v>
      </c>
      <c r="C208" s="3" t="s">
        <v>99</v>
      </c>
      <c r="D208" s="16">
        <v>37862</v>
      </c>
      <c r="E208" s="16" t="s">
        <v>537</v>
      </c>
      <c r="F208" s="16" t="s">
        <v>379</v>
      </c>
      <c r="G208" s="17">
        <v>7720</v>
      </c>
      <c r="H208" s="17">
        <v>9375</v>
      </c>
      <c r="I208" s="17" t="s">
        <v>583</v>
      </c>
      <c r="J208" s="18"/>
      <c r="K208" s="18" t="s">
        <v>598</v>
      </c>
      <c r="L208" s="18"/>
      <c r="M208" s="18" t="s">
        <v>598</v>
      </c>
      <c r="N208" s="10">
        <v>17866</v>
      </c>
      <c r="O208" s="11">
        <v>11183</v>
      </c>
      <c r="P208" s="11">
        <v>8306</v>
      </c>
      <c r="Q208" s="11">
        <v>4459</v>
      </c>
      <c r="R208" s="12">
        <v>0.62593753498264904</v>
      </c>
      <c r="S208" s="12">
        <v>0.46490540691816901</v>
      </c>
      <c r="T208" s="12">
        <v>0.249580208216724</v>
      </c>
      <c r="U208" s="12">
        <v>0.16103212806448</v>
      </c>
      <c r="V208" s="12">
        <v>0.21532519870144401</v>
      </c>
      <c r="W208" s="12">
        <v>0.125769618269338</v>
      </c>
      <c r="X208" s="12">
        <v>0.123810589947386</v>
      </c>
      <c r="Y208" s="13">
        <v>93198</v>
      </c>
      <c r="Z208" s="13">
        <v>117965</v>
      </c>
      <c r="AA208" s="13">
        <v>1079692</v>
      </c>
      <c r="AB208" s="11">
        <v>39974</v>
      </c>
      <c r="AC208" s="11">
        <v>44796</v>
      </c>
      <c r="AD208" s="12">
        <v>0.120628408465503</v>
      </c>
      <c r="AE208" s="12">
        <v>0.63748831187513499</v>
      </c>
      <c r="AF208" s="12">
        <v>6.86696352629209E-2</v>
      </c>
      <c r="AG208" s="12">
        <v>0.110772001801171</v>
      </c>
      <c r="AH208" s="12">
        <v>0.17658978335918299</v>
      </c>
      <c r="AI208" s="14">
        <v>0.21226297093110499</v>
      </c>
      <c r="AJ208" s="4">
        <v>39362</v>
      </c>
      <c r="AK208" s="5">
        <v>24864</v>
      </c>
      <c r="AL208" s="5">
        <v>18292</v>
      </c>
      <c r="AM208" s="5">
        <v>10050</v>
      </c>
      <c r="AN208" s="6">
        <v>0.631675219755094</v>
      </c>
      <c r="AO208" s="6">
        <v>0.464712158935013</v>
      </c>
      <c r="AP208" s="6">
        <v>0.25532239215487001</v>
      </c>
      <c r="AQ208" s="6">
        <v>0.16696306082008</v>
      </c>
      <c r="AR208" s="6">
        <v>0.20938976678014301</v>
      </c>
      <c r="AS208" s="6">
        <v>0.1262130989279</v>
      </c>
      <c r="AT208" s="6">
        <v>0.12910929322697001</v>
      </c>
      <c r="AU208" s="7">
        <v>93395</v>
      </c>
      <c r="AV208" s="7">
        <v>119404</v>
      </c>
      <c r="AW208" s="7">
        <v>1128912</v>
      </c>
      <c r="AX208" s="5">
        <v>90630</v>
      </c>
      <c r="AY208" s="5">
        <v>99710</v>
      </c>
      <c r="AZ208" s="6">
        <v>0.100187575857884</v>
      </c>
      <c r="BA208" s="6">
        <v>0.64595821405412202</v>
      </c>
      <c r="BB208" s="6">
        <v>7.5902019198940796E-2</v>
      </c>
      <c r="BC208" s="6">
        <v>0.102184707050645</v>
      </c>
      <c r="BD208" s="6">
        <v>0.19225422045680199</v>
      </c>
      <c r="BE208" s="8">
        <v>0.217621096767075</v>
      </c>
      <c r="BF208" s="10">
        <v>91014</v>
      </c>
      <c r="BG208" s="11">
        <v>54414</v>
      </c>
      <c r="BH208" s="11">
        <v>40091</v>
      </c>
      <c r="BI208" s="11">
        <v>22204</v>
      </c>
      <c r="BJ208" s="12">
        <v>0.59786406486914101</v>
      </c>
      <c r="BK208" s="12">
        <v>0.440492671457138</v>
      </c>
      <c r="BL208" s="12">
        <v>0.243962467312721</v>
      </c>
      <c r="BM208" s="12">
        <v>0.15737139341200301</v>
      </c>
      <c r="BN208" s="12">
        <v>0.19653020414441699</v>
      </c>
      <c r="BO208" s="12">
        <v>0.12078361570747401</v>
      </c>
      <c r="BP208" s="12">
        <v>0.123178851605248</v>
      </c>
      <c r="BQ208" s="13">
        <v>88763</v>
      </c>
      <c r="BR208" s="13">
        <v>115160</v>
      </c>
      <c r="BS208" s="13">
        <v>1068427</v>
      </c>
      <c r="BT208" s="11">
        <v>213693</v>
      </c>
      <c r="BU208" s="11">
        <v>234051</v>
      </c>
      <c r="BV208" s="12">
        <v>9.5267509932473196E-2</v>
      </c>
      <c r="BW208" s="12">
        <v>0.61840941468783095</v>
      </c>
      <c r="BX208" s="12">
        <v>8.7415123565114397E-2</v>
      </c>
      <c r="BY208" s="12">
        <v>0.12306907573013599</v>
      </c>
      <c r="BZ208" s="12">
        <v>0.21720879953952599</v>
      </c>
      <c r="CA208" s="14">
        <v>0.22052196375173699</v>
      </c>
      <c r="CB208" s="86">
        <f t="shared" si="42"/>
        <v>8181963.7018419122</v>
      </c>
      <c r="CC208" s="83">
        <v>5926972.59184191</v>
      </c>
      <c r="CD208" s="83">
        <v>103063.47</v>
      </c>
      <c r="CE208" s="83">
        <v>1607201.24</v>
      </c>
      <c r="CF208" s="83">
        <v>544726.400000002</v>
      </c>
      <c r="CG208" s="90">
        <f t="shared" si="39"/>
        <v>0.72439487729671037</v>
      </c>
      <c r="CH208" s="90">
        <f t="shared" si="39"/>
        <v>1.2596422296129044E-2</v>
      </c>
      <c r="CI208" s="90">
        <f t="shared" si="31"/>
        <v>0.19643221341084527</v>
      </c>
      <c r="CK208" s="86">
        <f t="shared" si="40"/>
        <v>8104492</v>
      </c>
      <c r="CL208" s="83">
        <v>5811814</v>
      </c>
      <c r="CM208" s="83">
        <v>118000</v>
      </c>
      <c r="CN208" s="83">
        <v>1585137</v>
      </c>
      <c r="CO208" s="83">
        <v>589541</v>
      </c>
      <c r="CP208" s="90">
        <f t="shared" si="41"/>
        <v>0.71711021492772153</v>
      </c>
      <c r="CQ208" s="90">
        <f t="shared" si="41"/>
        <v>1.4559826821964906E-2</v>
      </c>
      <c r="CR208" s="90">
        <f t="shared" si="41"/>
        <v>0.19558745939905919</v>
      </c>
    </row>
    <row r="209" spans="1:97" ht="37.5" thickTop="1" thickBot="1" x14ac:dyDescent="0.3">
      <c r="A209" s="3" t="s">
        <v>294</v>
      </c>
      <c r="B209" s="3">
        <v>804</v>
      </c>
      <c r="C209" s="3" t="s">
        <v>115</v>
      </c>
      <c r="D209" s="16">
        <v>42306</v>
      </c>
      <c r="E209" s="16" t="s">
        <v>542</v>
      </c>
      <c r="F209" s="16" t="s">
        <v>392</v>
      </c>
      <c r="G209" s="17">
        <v>12417</v>
      </c>
      <c r="H209" s="17">
        <v>15238</v>
      </c>
      <c r="I209" s="17" t="s">
        <v>584</v>
      </c>
      <c r="J209" s="18"/>
      <c r="K209" s="18" t="s">
        <v>598</v>
      </c>
      <c r="L209" s="18"/>
      <c r="M209" s="18" t="s">
        <v>598</v>
      </c>
      <c r="N209" s="10">
        <v>70607</v>
      </c>
      <c r="O209" s="11">
        <v>41546</v>
      </c>
      <c r="P209" s="11">
        <v>33367</v>
      </c>
      <c r="Q209" s="11">
        <v>21635</v>
      </c>
      <c r="R209" s="12">
        <v>0.58841191383290603</v>
      </c>
      <c r="S209" s="12">
        <v>0.472573540867053</v>
      </c>
      <c r="T209" s="12">
        <v>0.30641437817780098</v>
      </c>
      <c r="U209" s="12">
        <v>0.115838372965853</v>
      </c>
      <c r="V209" s="12">
        <v>0.16615916268925199</v>
      </c>
      <c r="W209" s="12">
        <v>9.7738184599260702E-2</v>
      </c>
      <c r="X209" s="12">
        <v>0.20867619357854</v>
      </c>
      <c r="Y209" s="13">
        <v>92863</v>
      </c>
      <c r="Z209" s="13">
        <v>140751</v>
      </c>
      <c r="AA209" s="13">
        <v>1013494</v>
      </c>
      <c r="AB209" s="11">
        <v>150310</v>
      </c>
      <c r="AC209" s="11">
        <v>162027</v>
      </c>
      <c r="AD209" s="12">
        <v>7.7952232053755593E-2</v>
      </c>
      <c r="AE209" s="12">
        <v>0.70223967986132196</v>
      </c>
      <c r="AF209" s="12">
        <v>0.21188211030536899</v>
      </c>
      <c r="AG209" s="12">
        <v>9.3247288936198505E-2</v>
      </c>
      <c r="AH209" s="12">
        <v>0.13877985496640299</v>
      </c>
      <c r="AI209" s="14">
        <v>0.18282216752045799</v>
      </c>
      <c r="AJ209" s="4">
        <v>148069</v>
      </c>
      <c r="AK209" s="5">
        <v>86607</v>
      </c>
      <c r="AL209" s="5">
        <v>69320</v>
      </c>
      <c r="AM209" s="5">
        <v>45666</v>
      </c>
      <c r="AN209" s="6">
        <v>0.58490973802754098</v>
      </c>
      <c r="AO209" s="6">
        <v>0.46816011454119399</v>
      </c>
      <c r="AP209" s="6">
        <v>0.30841026818577799</v>
      </c>
      <c r="AQ209" s="6">
        <v>0.116749623486348</v>
      </c>
      <c r="AR209" s="6">
        <v>0.159749846355415</v>
      </c>
      <c r="AS209" s="6">
        <v>9.1376317797783504E-2</v>
      </c>
      <c r="AT209" s="6">
        <v>0.217033950387995</v>
      </c>
      <c r="AU209" s="7">
        <v>91850</v>
      </c>
      <c r="AV209" s="7">
        <v>142649</v>
      </c>
      <c r="AW209" s="7">
        <v>1278623</v>
      </c>
      <c r="AX209" s="5">
        <v>320728</v>
      </c>
      <c r="AY209" s="5">
        <v>341891</v>
      </c>
      <c r="AZ209" s="6">
        <v>6.5984260806664793E-2</v>
      </c>
      <c r="BA209" s="6">
        <v>0.70745610002758097</v>
      </c>
      <c r="BB209" s="6">
        <v>0.16438539821905199</v>
      </c>
      <c r="BC209" s="6">
        <v>0.10198984809558299</v>
      </c>
      <c r="BD209" s="6">
        <v>0.13271370132947499</v>
      </c>
      <c r="BE209" s="8">
        <v>0.201064453368586</v>
      </c>
      <c r="BF209" s="10">
        <v>285668</v>
      </c>
      <c r="BG209" s="11">
        <v>163911</v>
      </c>
      <c r="BH209" s="11">
        <v>129704</v>
      </c>
      <c r="BI209" s="11">
        <v>82806</v>
      </c>
      <c r="BJ209" s="12">
        <v>0.57378145259531999</v>
      </c>
      <c r="BK209" s="12">
        <v>0.45403755408376201</v>
      </c>
      <c r="BL209" s="12">
        <v>0.28986795860929498</v>
      </c>
      <c r="BM209" s="12">
        <v>0.119743898511559</v>
      </c>
      <c r="BN209" s="12">
        <v>0.16416959547446699</v>
      </c>
      <c r="BO209" s="12">
        <v>9.4364787095509495E-2</v>
      </c>
      <c r="BP209" s="12">
        <v>0.19550317151378499</v>
      </c>
      <c r="BQ209" s="13">
        <v>88824</v>
      </c>
      <c r="BR209" s="13">
        <v>136016</v>
      </c>
      <c r="BS209" s="13">
        <v>1199689</v>
      </c>
      <c r="BT209" s="11">
        <v>620016</v>
      </c>
      <c r="BU209" s="11">
        <v>667532</v>
      </c>
      <c r="BV209" s="12">
        <v>7.6636731955304405E-2</v>
      </c>
      <c r="BW209" s="12">
        <v>0.69282261829566405</v>
      </c>
      <c r="BX209" s="12">
        <v>0.133138499651622</v>
      </c>
      <c r="BY209" s="12">
        <v>0.116217968568553</v>
      </c>
      <c r="BZ209" s="12">
        <v>0.17306650150963801</v>
      </c>
      <c r="CA209" s="14">
        <v>0.19967871796856901</v>
      </c>
      <c r="CB209" s="86">
        <f t="shared" si="42"/>
        <v>10577158.009999616</v>
      </c>
      <c r="CC209" s="83">
        <v>8485457.6199996006</v>
      </c>
      <c r="CD209" s="83">
        <v>36538.029999999897</v>
      </c>
      <c r="CE209" s="83">
        <v>1339779.3400000101</v>
      </c>
      <c r="CF209" s="83">
        <v>715383.02000000596</v>
      </c>
      <c r="CG209" s="90">
        <f t="shared" si="39"/>
        <v>0.80224362839029839</v>
      </c>
      <c r="CH209" s="90">
        <f t="shared" si="39"/>
        <v>3.4544279252949556E-3</v>
      </c>
      <c r="CI209" s="90">
        <f t="shared" si="31"/>
        <v>0.12666723317675566</v>
      </c>
      <c r="CK209" s="86">
        <f t="shared" si="40"/>
        <v>10003793</v>
      </c>
      <c r="CL209" s="83">
        <v>8041042</v>
      </c>
      <c r="CM209" s="83">
        <v>45570</v>
      </c>
      <c r="CN209" s="83">
        <v>1214391</v>
      </c>
      <c r="CO209" s="83">
        <v>702790</v>
      </c>
      <c r="CP209" s="90">
        <f t="shared" si="41"/>
        <v>0.80379931891833423</v>
      </c>
      <c r="CQ209" s="90">
        <f t="shared" si="41"/>
        <v>4.555272185260131E-3</v>
      </c>
      <c r="CR209" s="90">
        <f t="shared" si="41"/>
        <v>0.12139305561400561</v>
      </c>
    </row>
    <row r="210" spans="1:97" ht="16.5" thickTop="1" thickBot="1" x14ac:dyDescent="0.3">
      <c r="A210" s="3" t="s">
        <v>703</v>
      </c>
      <c r="B210" s="3" t="s">
        <v>621</v>
      </c>
      <c r="C210" s="3" t="s">
        <v>728</v>
      </c>
      <c r="D210" s="16" t="str">
        <f>"2025"</f>
        <v>2025</v>
      </c>
      <c r="E210" s="39" t="s">
        <v>622</v>
      </c>
      <c r="F210" s="16"/>
      <c r="G210" s="17">
        <f>H210*0.8</f>
        <v>20391.2</v>
      </c>
      <c r="H210" s="17">
        <v>25489</v>
      </c>
      <c r="I210" s="17" t="s">
        <v>585</v>
      </c>
      <c r="J210" s="18"/>
      <c r="K210" s="18"/>
      <c r="L210" s="18"/>
      <c r="M210" s="18" t="s">
        <v>598</v>
      </c>
      <c r="N210" s="59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1"/>
      <c r="AJ210" s="137">
        <v>52432</v>
      </c>
      <c r="AK210" s="138">
        <v>30322</v>
      </c>
      <c r="AL210" s="138">
        <v>22453</v>
      </c>
      <c r="AM210" s="138">
        <v>12136</v>
      </c>
      <c r="AN210" s="62">
        <v>0.57831095514189801</v>
      </c>
      <c r="AO210" s="62">
        <v>0.42823085138846501</v>
      </c>
      <c r="AP210" s="62">
        <v>0.23146170277693001</v>
      </c>
      <c r="AQ210" s="62">
        <v>0.150080103753433</v>
      </c>
      <c r="AR210" s="62">
        <v>0.19676914861153499</v>
      </c>
      <c r="AS210" s="62">
        <v>0.121052029295087</v>
      </c>
      <c r="AT210" s="62">
        <v>0.110409673481843</v>
      </c>
      <c r="AU210" s="138">
        <v>86209</v>
      </c>
      <c r="AV210" s="138">
        <v>117273</v>
      </c>
      <c r="AW210" s="138">
        <v>1059134</v>
      </c>
      <c r="AX210" s="138">
        <v>154645</v>
      </c>
      <c r="AY210" s="138">
        <v>155154</v>
      </c>
      <c r="AZ210" s="62">
        <v>3.2914093569142199E-3</v>
      </c>
      <c r="BA210" s="62">
        <v>0.298863336457869</v>
      </c>
      <c r="BB210" s="62">
        <v>0.101600439716771</v>
      </c>
      <c r="BC210" s="62">
        <v>0.27235927446732799</v>
      </c>
      <c r="BD210" s="62">
        <v>6.6927479064955199E-3</v>
      </c>
      <c r="BE210" s="65">
        <v>0.26792330822205701</v>
      </c>
      <c r="BF210" s="141">
        <v>21040</v>
      </c>
      <c r="BG210" s="142">
        <v>12533</v>
      </c>
      <c r="BH210" s="142">
        <v>9360</v>
      </c>
      <c r="BI210" s="142">
        <v>4878</v>
      </c>
      <c r="BJ210" s="66">
        <v>0.59567490494296604</v>
      </c>
      <c r="BK210" s="66">
        <v>0.44486692015209101</v>
      </c>
      <c r="BL210" s="66">
        <v>0.23184410646387801</v>
      </c>
      <c r="BM210" s="66">
        <v>0.15080798479087501</v>
      </c>
      <c r="BN210" s="66">
        <v>0.21302281368821299</v>
      </c>
      <c r="BO210" s="66">
        <v>0.12751901140684399</v>
      </c>
      <c r="BP210" s="66">
        <v>0.104325095057034</v>
      </c>
      <c r="BQ210" s="142">
        <v>89124</v>
      </c>
      <c r="BR210" s="142">
        <v>116321</v>
      </c>
      <c r="BS210" s="142">
        <v>1000758</v>
      </c>
      <c r="BT210" s="142">
        <v>69455</v>
      </c>
      <c r="BU210" s="142">
        <v>69751</v>
      </c>
      <c r="BV210" s="66">
        <v>4.2617522136635198E-3</v>
      </c>
      <c r="BW210" s="66">
        <v>0.24771296684850999</v>
      </c>
      <c r="BX210" s="66">
        <v>9.4809588942480705E-2</v>
      </c>
      <c r="BY210" s="66">
        <v>0.39653012742063198</v>
      </c>
      <c r="BZ210" s="66">
        <v>5.9031027283852899E-3</v>
      </c>
      <c r="CA210" s="69">
        <v>0.24385573392844301</v>
      </c>
      <c r="CB210" s="86" t="str">
        <f t="shared" si="42"/>
        <v/>
      </c>
      <c r="CC210" s="83" t="s">
        <v>598</v>
      </c>
      <c r="CD210" s="83" t="s">
        <v>598</v>
      </c>
      <c r="CE210" s="83" t="s">
        <v>598</v>
      </c>
      <c r="CF210" s="83" t="s">
        <v>598</v>
      </c>
      <c r="CG210" s="90" t="str">
        <f t="shared" si="39"/>
        <v/>
      </c>
      <c r="CH210" s="90" t="str">
        <f t="shared" si="39"/>
        <v/>
      </c>
      <c r="CI210" s="90" t="str">
        <f t="shared" si="31"/>
        <v/>
      </c>
      <c r="CK210" s="86" t="str">
        <f t="shared" si="40"/>
        <v/>
      </c>
      <c r="CL210" s="83" t="s">
        <v>598</v>
      </c>
      <c r="CM210" s="83" t="s">
        <v>598</v>
      </c>
      <c r="CN210" s="83" t="s">
        <v>598</v>
      </c>
      <c r="CO210" s="83" t="s">
        <v>598</v>
      </c>
      <c r="CP210" s="90" t="str">
        <f t="shared" si="41"/>
        <v/>
      </c>
      <c r="CQ210" s="90" t="str">
        <f t="shared" si="41"/>
        <v/>
      </c>
      <c r="CR210" s="90" t="str">
        <f t="shared" si="41"/>
        <v/>
      </c>
    </row>
    <row r="211" spans="1:97" ht="37.5" thickTop="1" thickBot="1" x14ac:dyDescent="0.3">
      <c r="A211" s="3" t="s">
        <v>288</v>
      </c>
      <c r="B211" s="3">
        <v>208</v>
      </c>
      <c r="C211" s="3" t="s">
        <v>35</v>
      </c>
      <c r="D211" s="16">
        <v>36819</v>
      </c>
      <c r="E211" s="16" t="s">
        <v>521</v>
      </c>
      <c r="F211" s="16" t="s">
        <v>323</v>
      </c>
      <c r="G211" s="17">
        <v>8459</v>
      </c>
      <c r="H211" s="17">
        <v>10590</v>
      </c>
      <c r="I211" s="17" t="s">
        <v>583</v>
      </c>
      <c r="J211" s="18"/>
      <c r="K211" s="18" t="s">
        <v>598</v>
      </c>
      <c r="L211" s="18"/>
      <c r="M211" s="18" t="s">
        <v>598</v>
      </c>
      <c r="N211" s="10">
        <v>18803</v>
      </c>
      <c r="O211" s="11">
        <v>9545</v>
      </c>
      <c r="P211" s="11">
        <v>7035</v>
      </c>
      <c r="Q211" s="11">
        <v>3923</v>
      </c>
      <c r="R211" s="12">
        <v>0.50763176088922002</v>
      </c>
      <c r="S211" s="12">
        <v>0.37414242408126402</v>
      </c>
      <c r="T211" s="12">
        <v>0.208636919640483</v>
      </c>
      <c r="U211" s="12">
        <v>0.13348933680795599</v>
      </c>
      <c r="V211" s="12">
        <v>0.16550550444078099</v>
      </c>
      <c r="W211" s="12">
        <v>9.7697175982556006E-2</v>
      </c>
      <c r="X211" s="12">
        <v>0.110939743657927</v>
      </c>
      <c r="Y211" s="13">
        <v>76075</v>
      </c>
      <c r="Z211" s="13">
        <v>102781</v>
      </c>
      <c r="AA211" s="13">
        <v>902794</v>
      </c>
      <c r="AB211" s="11">
        <v>50391</v>
      </c>
      <c r="AC211" s="11">
        <v>53308</v>
      </c>
      <c r="AD211" s="12">
        <v>5.7887321148617797E-2</v>
      </c>
      <c r="AE211" s="12">
        <v>0.396653181316661</v>
      </c>
      <c r="AF211" s="12">
        <v>0.13671092060090101</v>
      </c>
      <c r="AG211" s="12">
        <v>3.3041614574031097E-2</v>
      </c>
      <c r="AH211" s="12">
        <v>0.204977079240341</v>
      </c>
      <c r="AI211" s="14">
        <v>0.20547319957929</v>
      </c>
      <c r="AJ211" s="4">
        <v>46605</v>
      </c>
      <c r="AK211" s="5">
        <v>26129</v>
      </c>
      <c r="AL211" s="5">
        <v>19828</v>
      </c>
      <c r="AM211" s="5">
        <v>10526</v>
      </c>
      <c r="AN211" s="6">
        <v>0.56064799914172303</v>
      </c>
      <c r="AO211" s="6">
        <v>0.42544791331402199</v>
      </c>
      <c r="AP211" s="6">
        <v>0.22585559489325199</v>
      </c>
      <c r="AQ211" s="6">
        <v>0.13520008582770099</v>
      </c>
      <c r="AR211" s="6">
        <v>0.19959231842076999</v>
      </c>
      <c r="AS211" s="6">
        <v>0.12365626005793399</v>
      </c>
      <c r="AT211" s="6">
        <v>0.102199334835318</v>
      </c>
      <c r="AU211" s="7">
        <v>84509</v>
      </c>
      <c r="AV211" s="7">
        <v>106898</v>
      </c>
      <c r="AW211" s="7">
        <v>1061296</v>
      </c>
      <c r="AX211" s="5">
        <v>130114</v>
      </c>
      <c r="AY211" s="5">
        <v>137979</v>
      </c>
      <c r="AZ211" s="6">
        <v>6.0446992637225798E-2</v>
      </c>
      <c r="BA211" s="6">
        <v>0.38411749775019</v>
      </c>
      <c r="BB211" s="6">
        <v>0.140438384801021</v>
      </c>
      <c r="BC211" s="6">
        <v>3.36474168805816E-2</v>
      </c>
      <c r="BD211" s="6">
        <v>0.19769586670150799</v>
      </c>
      <c r="BE211" s="8">
        <v>0.224433957913829</v>
      </c>
      <c r="BF211" s="10">
        <v>63308</v>
      </c>
      <c r="BG211" s="11">
        <v>37209</v>
      </c>
      <c r="BH211" s="11">
        <v>28503</v>
      </c>
      <c r="BI211" s="11">
        <v>15010</v>
      </c>
      <c r="BJ211" s="12">
        <v>0.58774562456561597</v>
      </c>
      <c r="BK211" s="12">
        <v>0.45022745940481501</v>
      </c>
      <c r="BL211" s="12">
        <v>0.237094837935174</v>
      </c>
      <c r="BM211" s="12">
        <v>0.13751816516080101</v>
      </c>
      <c r="BN211" s="12">
        <v>0.21313262146963999</v>
      </c>
      <c r="BO211" s="12">
        <v>0.12876729639224099</v>
      </c>
      <c r="BP211" s="12">
        <v>0.108327541542933</v>
      </c>
      <c r="BQ211" s="13">
        <v>89298</v>
      </c>
      <c r="BR211" s="13">
        <v>110355</v>
      </c>
      <c r="BS211" s="13">
        <v>1151133</v>
      </c>
      <c r="BT211" s="11">
        <v>180963</v>
      </c>
      <c r="BU211" s="11">
        <v>193443</v>
      </c>
      <c r="BV211" s="12">
        <v>6.8964373932792894E-2</v>
      </c>
      <c r="BW211" s="12">
        <v>0.38890964180467402</v>
      </c>
      <c r="BX211" s="12">
        <v>0.13380083221431999</v>
      </c>
      <c r="BY211" s="12">
        <v>3.3559346385725303E-2</v>
      </c>
      <c r="BZ211" s="12">
        <v>0.19636058199742501</v>
      </c>
      <c r="CA211" s="14">
        <v>0.22735034233517301</v>
      </c>
      <c r="CB211" s="86">
        <f t="shared" si="42"/>
        <v>10151092.734561162</v>
      </c>
      <c r="CC211" s="83">
        <v>6674903.1345611997</v>
      </c>
      <c r="CD211" s="83">
        <v>223569.77</v>
      </c>
      <c r="CE211" s="83">
        <v>2678335.5099999602</v>
      </c>
      <c r="CF211" s="83">
        <v>574284.32000000298</v>
      </c>
      <c r="CG211" s="90">
        <f t="shared" si="39"/>
        <v>0.65755513313707892</v>
      </c>
      <c r="CH211" s="90">
        <f t="shared" si="39"/>
        <v>2.2024207230303176E-2</v>
      </c>
      <c r="CI211" s="90">
        <f t="shared" si="31"/>
        <v>0.26384701431020335</v>
      </c>
      <c r="CK211" s="86">
        <f t="shared" si="40"/>
        <v>10170728</v>
      </c>
      <c r="CL211" s="83">
        <v>6632124</v>
      </c>
      <c r="CM211" s="83">
        <v>249466</v>
      </c>
      <c r="CN211" s="83">
        <v>2645280</v>
      </c>
      <c r="CO211" s="83">
        <v>643858</v>
      </c>
      <c r="CP211" s="90">
        <f t="shared" si="41"/>
        <v>0.65207957581797493</v>
      </c>
      <c r="CQ211" s="90">
        <f t="shared" si="41"/>
        <v>2.4527841074896507E-2</v>
      </c>
      <c r="CR211" s="90">
        <f t="shared" si="41"/>
        <v>0.2600875768184932</v>
      </c>
    </row>
    <row r="212" spans="1:97" ht="49.5" thickTop="1" thickBot="1" x14ac:dyDescent="0.3">
      <c r="A212" s="3" t="s">
        <v>306</v>
      </c>
      <c r="B212" s="3">
        <v>2002</v>
      </c>
      <c r="C212" s="3" t="s">
        <v>256</v>
      </c>
      <c r="D212" s="16">
        <v>44515</v>
      </c>
      <c r="E212" s="16" t="s">
        <v>573</v>
      </c>
      <c r="F212" s="16" t="s">
        <v>646</v>
      </c>
      <c r="G212" s="17">
        <v>22009</v>
      </c>
      <c r="H212" s="17">
        <v>24888</v>
      </c>
      <c r="I212" s="17" t="s">
        <v>585</v>
      </c>
      <c r="J212" s="18" t="s">
        <v>581</v>
      </c>
      <c r="K212" s="18" t="s">
        <v>519</v>
      </c>
      <c r="L212" s="18"/>
      <c r="M212" s="18" t="s">
        <v>598</v>
      </c>
      <c r="N212" s="10">
        <v>13057</v>
      </c>
      <c r="O212" s="11">
        <v>9685</v>
      </c>
      <c r="P212" s="11">
        <v>8280</v>
      </c>
      <c r="Q212" s="11">
        <v>5862</v>
      </c>
      <c r="R212" s="12">
        <v>0.74174772152868196</v>
      </c>
      <c r="S212" s="12">
        <v>0.63414260549896595</v>
      </c>
      <c r="T212" s="12">
        <v>0.44895458374818098</v>
      </c>
      <c r="U212" s="12">
        <v>0.10760511602971599</v>
      </c>
      <c r="V212" s="12">
        <v>0.185188021750785</v>
      </c>
      <c r="W212" s="12">
        <v>0.14505629164432901</v>
      </c>
      <c r="X212" s="12">
        <v>0.303898292103852</v>
      </c>
      <c r="Y212" s="13">
        <v>132185</v>
      </c>
      <c r="Z212" s="13">
        <v>187892</v>
      </c>
      <c r="AA212" s="13">
        <v>3129609</v>
      </c>
      <c r="AB212" s="11">
        <v>33167</v>
      </c>
      <c r="AC212" s="11">
        <v>35956</v>
      </c>
      <c r="AD212" s="12">
        <v>8.4089607139626696E-2</v>
      </c>
      <c r="AE212" s="12">
        <v>0.75168119551681201</v>
      </c>
      <c r="AF212" s="12">
        <v>2.48138209666235E-2</v>
      </c>
      <c r="AG212" s="12">
        <v>7.5195224168601305E-2</v>
      </c>
      <c r="AH212" s="12">
        <v>4.0492055356227602E-2</v>
      </c>
      <c r="AI212" s="14">
        <v>0.31787620224922403</v>
      </c>
      <c r="AJ212" s="4">
        <v>42984</v>
      </c>
      <c r="AK212" s="5">
        <v>28141</v>
      </c>
      <c r="AL212" s="5">
        <v>22563</v>
      </c>
      <c r="AM212" s="5">
        <v>14852</v>
      </c>
      <c r="AN212" s="6">
        <v>0.65468546435883102</v>
      </c>
      <c r="AO212" s="6">
        <v>0.52491624790619795</v>
      </c>
      <c r="AP212" s="6">
        <v>0.34552391587567499</v>
      </c>
      <c r="AQ212" s="6">
        <v>0.12976921645263401</v>
      </c>
      <c r="AR212" s="6">
        <v>0.17939233203052299</v>
      </c>
      <c r="AS212" s="6">
        <v>0.114251814628699</v>
      </c>
      <c r="AT212" s="6">
        <v>0.231272101246976</v>
      </c>
      <c r="AU212" s="7">
        <v>104831</v>
      </c>
      <c r="AV212" s="7">
        <v>155441</v>
      </c>
      <c r="AW212" s="7">
        <v>2274695</v>
      </c>
      <c r="AX212" s="5">
        <v>107964</v>
      </c>
      <c r="AY212" s="5">
        <v>116167</v>
      </c>
      <c r="AZ212" s="6">
        <v>7.5979030047052698E-2</v>
      </c>
      <c r="BA212" s="6">
        <v>0.67119691942812199</v>
      </c>
      <c r="BB212" s="6">
        <v>7.1171872105516606E-2</v>
      </c>
      <c r="BC212" s="6">
        <v>8.0156348412433798E-2</v>
      </c>
      <c r="BD212" s="6">
        <v>7.2968767366900097E-2</v>
      </c>
      <c r="BE212" s="8">
        <v>0.26676484754177299</v>
      </c>
      <c r="BF212" s="10">
        <v>99001</v>
      </c>
      <c r="BG212" s="11">
        <v>57812</v>
      </c>
      <c r="BH212" s="11">
        <v>44828</v>
      </c>
      <c r="BI212" s="11">
        <v>28305</v>
      </c>
      <c r="BJ212" s="12">
        <v>0.5839536974374</v>
      </c>
      <c r="BK212" s="12">
        <v>0.45280350703528199</v>
      </c>
      <c r="BL212" s="12">
        <v>0.28590620296764702</v>
      </c>
      <c r="BM212" s="12">
        <v>0.13115019040211701</v>
      </c>
      <c r="BN212" s="12">
        <v>0.166897304067636</v>
      </c>
      <c r="BO212" s="12">
        <v>9.67060938778396E-2</v>
      </c>
      <c r="BP212" s="12">
        <v>0.189200109089807</v>
      </c>
      <c r="BQ212" s="13">
        <v>89392</v>
      </c>
      <c r="BR212" s="13">
        <v>135548</v>
      </c>
      <c r="BS212" s="13">
        <v>1681435</v>
      </c>
      <c r="BT212" s="11">
        <v>250873</v>
      </c>
      <c r="BU212" s="11">
        <v>270311</v>
      </c>
      <c r="BV212" s="12">
        <v>7.7481434829575105E-2</v>
      </c>
      <c r="BW212" s="12">
        <v>0.60771560731644303</v>
      </c>
      <c r="BX212" s="12">
        <v>0.119658153727185</v>
      </c>
      <c r="BY212" s="12">
        <v>7.8589565238188205E-2</v>
      </c>
      <c r="BZ212" s="12">
        <v>0.104610699437564</v>
      </c>
      <c r="CA212" s="14">
        <v>0.237442849569304</v>
      </c>
      <c r="CB212" s="86">
        <f t="shared" si="42"/>
        <v>38641644.169998899</v>
      </c>
      <c r="CC212" s="83">
        <v>15993004.3799995</v>
      </c>
      <c r="CD212" s="83">
        <v>17573536.639999501</v>
      </c>
      <c r="CE212" s="83">
        <v>3501007.5599998999</v>
      </c>
      <c r="CF212" s="83">
        <v>1574095.59</v>
      </c>
      <c r="CG212" s="90">
        <f t="shared" si="39"/>
        <v>0.41388001788020073</v>
      </c>
      <c r="CH212" s="90">
        <f t="shared" si="39"/>
        <v>0.45478232144281977</v>
      </c>
      <c r="CI212" s="90">
        <f t="shared" si="31"/>
        <v>9.0601930513041093E-2</v>
      </c>
      <c r="CK212" s="86">
        <f t="shared" si="40"/>
        <v>40494925</v>
      </c>
      <c r="CL212" s="83">
        <v>15965680</v>
      </c>
      <c r="CM212" s="83">
        <v>19015017</v>
      </c>
      <c r="CN212" s="83">
        <v>3832360</v>
      </c>
      <c r="CO212" s="83">
        <v>1681868</v>
      </c>
      <c r="CP212" s="90">
        <f t="shared" si="41"/>
        <v>0.39426372563969436</v>
      </c>
      <c r="CQ212" s="90">
        <f t="shared" si="41"/>
        <v>0.46956543319934535</v>
      </c>
      <c r="CR212" s="90">
        <f t="shared" si="41"/>
        <v>9.4638031802750586E-2</v>
      </c>
    </row>
    <row r="213" spans="1:97" ht="37.5" thickTop="1" thickBot="1" x14ac:dyDescent="0.3">
      <c r="A213" s="3" t="s">
        <v>300</v>
      </c>
      <c r="B213" s="3">
        <v>1413</v>
      </c>
      <c r="C213" s="3" t="s">
        <v>225</v>
      </c>
      <c r="D213" s="16">
        <v>44462</v>
      </c>
      <c r="E213" s="16" t="s">
        <v>561</v>
      </c>
      <c r="F213" s="16" t="s">
        <v>660</v>
      </c>
      <c r="G213" s="17">
        <v>19347</v>
      </c>
      <c r="H213" s="17">
        <v>23400</v>
      </c>
      <c r="I213" s="17" t="s">
        <v>584</v>
      </c>
      <c r="J213" s="18"/>
      <c r="K213" s="18" t="s">
        <v>598</v>
      </c>
      <c r="L213" s="18"/>
      <c r="M213" s="18" t="s">
        <v>598</v>
      </c>
      <c r="N213" s="10">
        <v>54317</v>
      </c>
      <c r="O213" s="11">
        <v>22050</v>
      </c>
      <c r="P213" s="11">
        <v>13722</v>
      </c>
      <c r="Q213" s="11">
        <v>3933</v>
      </c>
      <c r="R213" s="12">
        <v>0.405950254984627</v>
      </c>
      <c r="S213" s="12">
        <v>0.252628090653018</v>
      </c>
      <c r="T213" s="12">
        <v>7.2408269970727399E-2</v>
      </c>
      <c r="U213" s="12">
        <v>0.153322164331609</v>
      </c>
      <c r="V213" s="12">
        <v>0.180219820682291</v>
      </c>
      <c r="W213" s="12">
        <v>4.0613435940865701E-2</v>
      </c>
      <c r="X213" s="12">
        <v>3.1794834029861697E-2</v>
      </c>
      <c r="Y213" s="13">
        <v>60290</v>
      </c>
      <c r="Z213" s="13">
        <v>74263</v>
      </c>
      <c r="AA213" s="13">
        <v>396875</v>
      </c>
      <c r="AB213" s="11">
        <v>142403</v>
      </c>
      <c r="AC213" s="11">
        <v>151582</v>
      </c>
      <c r="AD213" s="12">
        <v>6.4457911701298401E-2</v>
      </c>
      <c r="AE213" s="12">
        <v>0.26040553855727799</v>
      </c>
      <c r="AF213" s="12">
        <v>0.16669592634986599</v>
      </c>
      <c r="AG213" s="12">
        <v>0.104393868106711</v>
      </c>
      <c r="AH213" s="12">
        <v>0.15274256862566099</v>
      </c>
      <c r="AI213" s="14">
        <v>0.22144898632753501</v>
      </c>
      <c r="AJ213" s="4">
        <v>122178</v>
      </c>
      <c r="AK213" s="5">
        <v>51813</v>
      </c>
      <c r="AL213" s="5">
        <v>33840</v>
      </c>
      <c r="AM213" s="5">
        <v>12155</v>
      </c>
      <c r="AN213" s="6">
        <v>0.424077984579875</v>
      </c>
      <c r="AO213" s="6">
        <v>0.27697294111869603</v>
      </c>
      <c r="AP213" s="6">
        <v>9.9485995842131997E-2</v>
      </c>
      <c r="AQ213" s="6">
        <v>0.14710504346118</v>
      </c>
      <c r="AR213" s="6">
        <v>0.177486945276564</v>
      </c>
      <c r="AS213" s="6">
        <v>5.0041742375877801E-2</v>
      </c>
      <c r="AT213" s="6">
        <v>4.9444253466254202E-2</v>
      </c>
      <c r="AU213" s="7">
        <v>62533</v>
      </c>
      <c r="AV213" s="7">
        <v>80889</v>
      </c>
      <c r="AW213" s="7">
        <v>611347</v>
      </c>
      <c r="AX213" s="5">
        <v>305532</v>
      </c>
      <c r="AY213" s="5">
        <v>322518</v>
      </c>
      <c r="AZ213" s="6">
        <v>5.5594831310631899E-2</v>
      </c>
      <c r="BA213" s="6">
        <v>0.29205606356300001</v>
      </c>
      <c r="BB213" s="6">
        <v>0.15065197753426801</v>
      </c>
      <c r="BC213" s="6">
        <v>9.8595237160101101E-2</v>
      </c>
      <c r="BD213" s="6">
        <v>0.12743673330453101</v>
      </c>
      <c r="BE213" s="8">
        <v>0.22985808360499099</v>
      </c>
      <c r="BF213" s="10">
        <v>169007</v>
      </c>
      <c r="BG213" s="11">
        <v>76993</v>
      </c>
      <c r="BH213" s="11">
        <v>51856</v>
      </c>
      <c r="BI213" s="11">
        <v>19633</v>
      </c>
      <c r="BJ213" s="12">
        <v>0.45556101226576401</v>
      </c>
      <c r="BK213" s="12">
        <v>0.30682752785387601</v>
      </c>
      <c r="BL213" s="12">
        <v>0.11616678599111301</v>
      </c>
      <c r="BM213" s="12">
        <v>0.148733484411888</v>
      </c>
      <c r="BN213" s="12">
        <v>0.19066074186276299</v>
      </c>
      <c r="BO213" s="12">
        <v>5.67254610755768E-2</v>
      </c>
      <c r="BP213" s="12">
        <v>5.9441324915535998E-2</v>
      </c>
      <c r="BQ213" s="13">
        <v>67130</v>
      </c>
      <c r="BR213" s="13">
        <v>86210</v>
      </c>
      <c r="BS213" s="13">
        <v>756687</v>
      </c>
      <c r="BT213" s="11">
        <v>427675</v>
      </c>
      <c r="BU213" s="11">
        <v>450902</v>
      </c>
      <c r="BV213" s="12">
        <v>5.43099316069445E-2</v>
      </c>
      <c r="BW213" s="12">
        <v>0.29536787338944698</v>
      </c>
      <c r="BX213" s="12">
        <v>0.14379610685684199</v>
      </c>
      <c r="BY213" s="12">
        <v>9.7417431460805504E-2</v>
      </c>
      <c r="BZ213" s="12">
        <v>0.11408896942772</v>
      </c>
      <c r="CA213" s="14">
        <v>0.236836382767288</v>
      </c>
      <c r="CB213" s="86">
        <f t="shared" si="42"/>
        <v>15270322.01333279</v>
      </c>
      <c r="CC213" s="83">
        <v>3317414.0233332501</v>
      </c>
      <c r="CD213" s="83">
        <v>8684740.79999955</v>
      </c>
      <c r="CE213" s="83">
        <v>2292264.26999998</v>
      </c>
      <c r="CF213" s="83">
        <v>975902.92000001098</v>
      </c>
      <c r="CG213" s="90">
        <f t="shared" si="39"/>
        <v>0.21724584592497506</v>
      </c>
      <c r="CH213" s="90">
        <f t="shared" si="39"/>
        <v>0.56873331108648184</v>
      </c>
      <c r="CI213" s="90">
        <f t="shared" si="31"/>
        <v>0.15011237274489453</v>
      </c>
      <c r="CK213" s="86">
        <f t="shared" si="40"/>
        <v>15862927</v>
      </c>
      <c r="CL213" s="83">
        <v>3269115</v>
      </c>
      <c r="CM213" s="83">
        <v>9176841</v>
      </c>
      <c r="CN213" s="83">
        <v>2399200</v>
      </c>
      <c r="CO213" s="83">
        <v>1017771</v>
      </c>
      <c r="CP213" s="90">
        <f t="shared" si="41"/>
        <v>0.20608523256773481</v>
      </c>
      <c r="CQ213" s="90">
        <f t="shared" si="41"/>
        <v>0.57850868254011378</v>
      </c>
      <c r="CR213" s="90">
        <f t="shared" si="41"/>
        <v>0.15124573163578198</v>
      </c>
    </row>
    <row r="214" spans="1:97" ht="37.5" thickTop="1" thickBot="1" x14ac:dyDescent="0.3">
      <c r="A214" s="3" t="s">
        <v>295</v>
      </c>
      <c r="B214" s="3">
        <v>934</v>
      </c>
      <c r="C214" s="3" t="s">
        <v>149</v>
      </c>
      <c r="D214" s="16">
        <v>44371</v>
      </c>
      <c r="E214" s="16" t="s">
        <v>543</v>
      </c>
      <c r="F214" s="16" t="s">
        <v>424</v>
      </c>
      <c r="G214" s="17">
        <v>20013</v>
      </c>
      <c r="H214" s="17">
        <v>24044</v>
      </c>
      <c r="I214" s="17" t="s">
        <v>585</v>
      </c>
      <c r="J214" s="18"/>
      <c r="K214" s="18" t="s">
        <v>598</v>
      </c>
      <c r="L214" s="18"/>
      <c r="M214" s="18" t="s">
        <v>598</v>
      </c>
      <c r="N214" s="10">
        <v>17395</v>
      </c>
      <c r="O214" s="11">
        <v>11118</v>
      </c>
      <c r="P214" s="11">
        <v>8055</v>
      </c>
      <c r="Q214" s="11">
        <v>3569</v>
      </c>
      <c r="R214" s="12">
        <v>0.63914918079908001</v>
      </c>
      <c r="S214" s="12">
        <v>0.46306409887898797</v>
      </c>
      <c r="T214" s="12">
        <v>0.20517390054613399</v>
      </c>
      <c r="U214" s="12">
        <v>0.17608508192009201</v>
      </c>
      <c r="V214" s="12">
        <v>0.25789019833285398</v>
      </c>
      <c r="W214" s="12">
        <v>0.125495832135671</v>
      </c>
      <c r="X214" s="12">
        <v>7.9678068410462793E-2</v>
      </c>
      <c r="Y214" s="13">
        <v>93379</v>
      </c>
      <c r="Z214" s="13">
        <v>108243</v>
      </c>
      <c r="AA214" s="13">
        <v>881799</v>
      </c>
      <c r="AB214" s="11">
        <v>49405</v>
      </c>
      <c r="AC214" s="11">
        <v>54770</v>
      </c>
      <c r="AD214" s="12">
        <v>0.108592247748204</v>
      </c>
      <c r="AE214" s="12">
        <v>0.43912039777435802</v>
      </c>
      <c r="AF214" s="12">
        <v>0.25952838781499799</v>
      </c>
      <c r="AG214" s="12">
        <v>6.8312923793138303E-2</v>
      </c>
      <c r="AH214" s="12">
        <v>0.109199473737476</v>
      </c>
      <c r="AI214" s="14">
        <v>0.24171642546301</v>
      </c>
      <c r="AJ214" s="4">
        <v>41228</v>
      </c>
      <c r="AK214" s="5">
        <v>25116</v>
      </c>
      <c r="AL214" s="5">
        <v>18641</v>
      </c>
      <c r="AM214" s="5">
        <v>8560</v>
      </c>
      <c r="AN214" s="6">
        <v>0.60919763267682203</v>
      </c>
      <c r="AO214" s="6">
        <v>0.452144173862424</v>
      </c>
      <c r="AP214" s="6">
        <v>0.20762588532065601</v>
      </c>
      <c r="AQ214" s="6">
        <v>0.157053458814398</v>
      </c>
      <c r="AR214" s="6">
        <v>0.24451828854176799</v>
      </c>
      <c r="AS214" s="6">
        <v>0.107135927039876</v>
      </c>
      <c r="AT214" s="6">
        <v>0.10048995828078</v>
      </c>
      <c r="AU214" s="7">
        <v>90746</v>
      </c>
      <c r="AV214" s="7">
        <v>110136</v>
      </c>
      <c r="AW214" s="7">
        <v>1114299</v>
      </c>
      <c r="AX214" s="5">
        <v>113988</v>
      </c>
      <c r="AY214" s="5">
        <v>125676</v>
      </c>
      <c r="AZ214" s="6">
        <v>0.10253710916938601</v>
      </c>
      <c r="BA214" s="6">
        <v>0.45785629438673597</v>
      </c>
      <c r="BB214" s="6">
        <v>0.234042179878584</v>
      </c>
      <c r="BC214" s="6">
        <v>7.6025546548759496E-2</v>
      </c>
      <c r="BD214" s="6">
        <v>0.105484787872408</v>
      </c>
      <c r="BE214" s="8">
        <v>0.252737130224234</v>
      </c>
      <c r="BF214" s="10">
        <v>73804</v>
      </c>
      <c r="BG214" s="11">
        <v>44397</v>
      </c>
      <c r="BH214" s="11">
        <v>33030</v>
      </c>
      <c r="BI214" s="11">
        <v>16473</v>
      </c>
      <c r="BJ214" s="12">
        <v>0.601552761367948</v>
      </c>
      <c r="BK214" s="12">
        <v>0.44753671887702601</v>
      </c>
      <c r="BL214" s="12">
        <v>0.223199284591621</v>
      </c>
      <c r="BM214" s="12">
        <v>0.15401604249092199</v>
      </c>
      <c r="BN214" s="12">
        <v>0.22433743428540501</v>
      </c>
      <c r="BO214" s="12">
        <v>0.109817896048995</v>
      </c>
      <c r="BP214" s="12">
        <v>0.113381388542626</v>
      </c>
      <c r="BQ214" s="13">
        <v>89779</v>
      </c>
      <c r="BR214" s="13">
        <v>112677</v>
      </c>
      <c r="BS214" s="13">
        <v>1220481</v>
      </c>
      <c r="BT214" s="11">
        <v>205310</v>
      </c>
      <c r="BU214" s="11">
        <v>225907</v>
      </c>
      <c r="BV214" s="12">
        <v>0.100321465101554</v>
      </c>
      <c r="BW214" s="12">
        <v>0.47967278311266498</v>
      </c>
      <c r="BX214" s="12">
        <v>0.233685646096147</v>
      </c>
      <c r="BY214" s="12">
        <v>7.8914811748088301E-2</v>
      </c>
      <c r="BZ214" s="12">
        <v>0.115698212459208</v>
      </c>
      <c r="CA214" s="14">
        <v>0.248214894549705</v>
      </c>
      <c r="CB214" s="86">
        <f t="shared" si="42"/>
        <v>20097916.046665862</v>
      </c>
      <c r="CC214" s="83">
        <v>6712647.4866663897</v>
      </c>
      <c r="CD214" s="83">
        <v>9471330.0399995092</v>
      </c>
      <c r="CE214" s="83">
        <v>2883642.7499999502</v>
      </c>
      <c r="CF214" s="83">
        <v>1030295.77000001</v>
      </c>
      <c r="CG214" s="90">
        <f t="shared" si="39"/>
        <v>0.33399719011066237</v>
      </c>
      <c r="CH214" s="90">
        <f t="shared" si="39"/>
        <v>0.47125930957258388</v>
      </c>
      <c r="CI214" s="90">
        <f t="shared" si="31"/>
        <v>0.14347968930233099</v>
      </c>
      <c r="CK214" s="86">
        <f t="shared" si="40"/>
        <v>21360090</v>
      </c>
      <c r="CL214" s="83">
        <v>7003405</v>
      </c>
      <c r="CM214" s="83">
        <v>10367612</v>
      </c>
      <c r="CN214" s="83">
        <v>2937192</v>
      </c>
      <c r="CO214" s="83">
        <v>1051881</v>
      </c>
      <c r="CP214" s="90">
        <f t="shared" si="41"/>
        <v>0.32787338442862368</v>
      </c>
      <c r="CQ214" s="90">
        <f t="shared" si="41"/>
        <v>0.4853730485217993</v>
      </c>
      <c r="CR214" s="90">
        <f t="shared" si="41"/>
        <v>0.13750840937467959</v>
      </c>
    </row>
    <row r="215" spans="1:97" ht="49.5" thickTop="1" thickBot="1" x14ac:dyDescent="0.3">
      <c r="A215" s="3" t="s">
        <v>302</v>
      </c>
      <c r="B215" s="3">
        <v>1605</v>
      </c>
      <c r="C215" s="3" t="s">
        <v>234</v>
      </c>
      <c r="D215" s="16">
        <v>42313</v>
      </c>
      <c r="E215" s="16" t="s">
        <v>567</v>
      </c>
      <c r="F215" s="16" t="s">
        <v>489</v>
      </c>
      <c r="G215" s="17">
        <v>23838</v>
      </c>
      <c r="H215" s="17">
        <v>29886</v>
      </c>
      <c r="I215" s="17" t="s">
        <v>585</v>
      </c>
      <c r="J215" s="18"/>
      <c r="K215" s="18" t="s">
        <v>598</v>
      </c>
      <c r="L215" s="18"/>
      <c r="M215" s="18" t="s">
        <v>598</v>
      </c>
      <c r="N215" s="10">
        <v>23704</v>
      </c>
      <c r="O215" s="11">
        <v>16182</v>
      </c>
      <c r="P215" s="11">
        <v>12710</v>
      </c>
      <c r="Q215" s="11">
        <v>7426</v>
      </c>
      <c r="R215" s="12">
        <v>0.68266959163010499</v>
      </c>
      <c r="S215" s="12">
        <v>0.536196422544718</v>
      </c>
      <c r="T215" s="12">
        <v>0.31328045899426299</v>
      </c>
      <c r="U215" s="12">
        <v>0.14647316908538599</v>
      </c>
      <c r="V215" s="12">
        <v>0.22291596355045601</v>
      </c>
      <c r="W215" s="12">
        <v>0.15225278434019601</v>
      </c>
      <c r="X215" s="12">
        <v>0.161027674654067</v>
      </c>
      <c r="Y215" s="13">
        <v>105415</v>
      </c>
      <c r="Z215" s="13">
        <v>131569</v>
      </c>
      <c r="AA215" s="13">
        <v>1659366</v>
      </c>
      <c r="AB215" s="11">
        <v>61337</v>
      </c>
      <c r="AC215" s="11">
        <v>64476</v>
      </c>
      <c r="AD215" s="12">
        <v>5.1176288374064599E-2</v>
      </c>
      <c r="AE215" s="12">
        <v>0.55457322718015201</v>
      </c>
      <c r="AF215" s="12">
        <v>3.15633304530707E-2</v>
      </c>
      <c r="AG215" s="12">
        <v>8.6864372238616205E-2</v>
      </c>
      <c r="AH215" s="12">
        <v>6.4267897027895093E-2</v>
      </c>
      <c r="AI215" s="14">
        <v>0.260821363940199</v>
      </c>
      <c r="AJ215" s="4">
        <v>70183</v>
      </c>
      <c r="AK215" s="5">
        <v>42610</v>
      </c>
      <c r="AL215" s="5">
        <v>32897</v>
      </c>
      <c r="AM215" s="5">
        <v>18786</v>
      </c>
      <c r="AN215" s="6">
        <v>0.60712708205690802</v>
      </c>
      <c r="AO215" s="6">
        <v>0.46873174415456698</v>
      </c>
      <c r="AP215" s="6">
        <v>0.26767165837881002</v>
      </c>
      <c r="AQ215" s="6">
        <v>0.13839533790234099</v>
      </c>
      <c r="AR215" s="6">
        <v>0.20106008577575801</v>
      </c>
      <c r="AS215" s="6">
        <v>0.121610646452845</v>
      </c>
      <c r="AT215" s="6">
        <v>0.14606101192596499</v>
      </c>
      <c r="AU215" s="7">
        <v>93071</v>
      </c>
      <c r="AV215" s="7">
        <v>120293</v>
      </c>
      <c r="AW215" s="7">
        <v>1444413</v>
      </c>
      <c r="AX215" s="5">
        <v>187130</v>
      </c>
      <c r="AY215" s="5">
        <v>195410</v>
      </c>
      <c r="AZ215" s="6">
        <v>4.4247314701010003E-2</v>
      </c>
      <c r="BA215" s="6">
        <v>0.48083484317278102</v>
      </c>
      <c r="BB215" s="6">
        <v>5.0932506813445202E-2</v>
      </c>
      <c r="BC215" s="6">
        <v>0.10540800513012299</v>
      </c>
      <c r="BD215" s="6">
        <v>0.14920109015123201</v>
      </c>
      <c r="BE215" s="8">
        <v>0.23819804414043699</v>
      </c>
      <c r="BF215" s="10">
        <v>123828</v>
      </c>
      <c r="BG215" s="11">
        <v>74410</v>
      </c>
      <c r="BH215" s="11">
        <v>55927</v>
      </c>
      <c r="BI215" s="11">
        <v>30657</v>
      </c>
      <c r="BJ215" s="12">
        <v>0.60091417126982605</v>
      </c>
      <c r="BK215" s="12">
        <v>0.45165067674516302</v>
      </c>
      <c r="BL215" s="12">
        <v>0.24757728462060299</v>
      </c>
      <c r="BM215" s="12">
        <v>0.149263494524663</v>
      </c>
      <c r="BN215" s="12">
        <v>0.20407339212455999</v>
      </c>
      <c r="BO215" s="12">
        <v>0.116669896953839</v>
      </c>
      <c r="BP215" s="12">
        <v>0.13090738766676399</v>
      </c>
      <c r="BQ215" s="13">
        <v>90261</v>
      </c>
      <c r="BR215" s="13">
        <v>116296</v>
      </c>
      <c r="BS215" s="13">
        <v>1371210</v>
      </c>
      <c r="BT215" s="11">
        <v>331867</v>
      </c>
      <c r="BU215" s="11">
        <v>346514</v>
      </c>
      <c r="BV215" s="12">
        <v>4.4135150527169001E-2</v>
      </c>
      <c r="BW215" s="12">
        <v>0.45678391080227199</v>
      </c>
      <c r="BX215" s="12">
        <v>4.9667487276529497E-2</v>
      </c>
      <c r="BY215" s="12">
        <v>0.10533737913079599</v>
      </c>
      <c r="BZ215" s="12">
        <v>0.150774255951933</v>
      </c>
      <c r="CA215" s="14">
        <v>0.24473358303175699</v>
      </c>
      <c r="CB215" s="86">
        <f t="shared" si="42"/>
        <v>32266360.120832149</v>
      </c>
      <c r="CC215" s="83">
        <v>9865799.6874996498</v>
      </c>
      <c r="CD215" s="83">
        <v>13431519.1483327</v>
      </c>
      <c r="CE215" s="83">
        <v>7884087.5449997904</v>
      </c>
      <c r="CF215" s="83">
        <v>1084953.74000001</v>
      </c>
      <c r="CG215" s="90">
        <f t="shared" si="39"/>
        <v>0.30576115962736028</v>
      </c>
      <c r="CH215" s="90">
        <f t="shared" si="39"/>
        <v>0.41627004403452689</v>
      </c>
      <c r="CI215" s="90">
        <f t="shared" si="31"/>
        <v>0.24434387750819103</v>
      </c>
      <c r="CK215" s="86">
        <f t="shared" si="40"/>
        <v>31953074</v>
      </c>
      <c r="CL215" s="83">
        <v>9539774</v>
      </c>
      <c r="CM215" s="83">
        <v>13414382</v>
      </c>
      <c r="CN215" s="83">
        <v>7978074</v>
      </c>
      <c r="CO215" s="83">
        <v>1020844</v>
      </c>
      <c r="CP215" s="90">
        <f t="shared" si="41"/>
        <v>0.29855575084888547</v>
      </c>
      <c r="CQ215" s="90">
        <f t="shared" si="41"/>
        <v>0.41981507006180374</v>
      </c>
      <c r="CR215" s="90">
        <f t="shared" si="41"/>
        <v>0.24968095401400192</v>
      </c>
    </row>
    <row r="216" spans="1:97" ht="49.5" thickTop="1" thickBot="1" x14ac:dyDescent="0.3">
      <c r="A216" s="3" t="s">
        <v>297</v>
      </c>
      <c r="B216" s="3">
        <v>1105</v>
      </c>
      <c r="C216" s="3" t="s">
        <v>171</v>
      </c>
      <c r="D216" s="16">
        <v>40381</v>
      </c>
      <c r="E216" s="16" t="s">
        <v>553</v>
      </c>
      <c r="F216" s="16" t="s">
        <v>440</v>
      </c>
      <c r="G216" s="17">
        <v>15142</v>
      </c>
      <c r="H216" s="17">
        <v>18013</v>
      </c>
      <c r="I216" s="17" t="s">
        <v>583</v>
      </c>
      <c r="J216" s="18"/>
      <c r="K216" s="18" t="s">
        <v>598</v>
      </c>
      <c r="L216" s="18" t="s">
        <v>519</v>
      </c>
      <c r="M216" s="18" t="s">
        <v>598</v>
      </c>
      <c r="N216" s="10">
        <v>46203</v>
      </c>
      <c r="O216" s="11">
        <v>28855</v>
      </c>
      <c r="P216" s="11">
        <v>23209</v>
      </c>
      <c r="Q216" s="11">
        <v>13539</v>
      </c>
      <c r="R216" s="12">
        <v>0.624526545895288</v>
      </c>
      <c r="S216" s="12">
        <v>0.502326688743155</v>
      </c>
      <c r="T216" s="12">
        <v>0.29303291994026398</v>
      </c>
      <c r="U216" s="12">
        <v>0.122199857152133</v>
      </c>
      <c r="V216" s="12">
        <v>0.20929376880289199</v>
      </c>
      <c r="W216" s="12">
        <v>0.13103045256801499</v>
      </c>
      <c r="X216" s="12">
        <v>0.16200246737224899</v>
      </c>
      <c r="Y216" s="13">
        <v>100348</v>
      </c>
      <c r="Z216" s="13">
        <v>129168</v>
      </c>
      <c r="AA216" s="13">
        <v>1653883</v>
      </c>
      <c r="AB216" s="11">
        <v>132529</v>
      </c>
      <c r="AC216" s="11">
        <v>138024</v>
      </c>
      <c r="AD216" s="12">
        <v>4.1462623274905901E-2</v>
      </c>
      <c r="AE216" s="12">
        <v>0.47795928463118498</v>
      </c>
      <c r="AF216" s="12">
        <v>0.278082532879596</v>
      </c>
      <c r="AG216" s="12">
        <v>0.22138550807747701</v>
      </c>
      <c r="AH216" s="12">
        <v>2.1474545193882099E-2</v>
      </c>
      <c r="AI216" s="14">
        <v>0.24258086909280199</v>
      </c>
      <c r="AJ216" s="4">
        <v>112976</v>
      </c>
      <c r="AK216" s="5">
        <v>66797</v>
      </c>
      <c r="AL216" s="5">
        <v>52718</v>
      </c>
      <c r="AM216" s="5">
        <v>29704</v>
      </c>
      <c r="AN216" s="6">
        <v>0.59124946891375196</v>
      </c>
      <c r="AO216" s="6">
        <v>0.46663008072510997</v>
      </c>
      <c r="AP216" s="6">
        <v>0.26292309871123098</v>
      </c>
      <c r="AQ216" s="6">
        <v>0.124619388188642</v>
      </c>
      <c r="AR216" s="6">
        <v>0.20370698201387899</v>
      </c>
      <c r="AS216" s="6">
        <v>0.115493556153519</v>
      </c>
      <c r="AT216" s="6">
        <v>0.14742954255771101</v>
      </c>
      <c r="AU216" s="7">
        <v>91951</v>
      </c>
      <c r="AV216" s="7">
        <v>121053</v>
      </c>
      <c r="AW216" s="7">
        <v>1420834</v>
      </c>
      <c r="AX216" s="5">
        <v>353989</v>
      </c>
      <c r="AY216" s="5">
        <v>366368</v>
      </c>
      <c r="AZ216" s="6">
        <v>3.4970013192500302E-2</v>
      </c>
      <c r="BA216" s="6">
        <v>0.41804888650146999</v>
      </c>
      <c r="BB216" s="6">
        <v>0.393359680668043</v>
      </c>
      <c r="BC216" s="6">
        <v>0.23177838859399599</v>
      </c>
      <c r="BD216" s="6">
        <v>2.02520417301103E-2</v>
      </c>
      <c r="BE216" s="8">
        <v>0.232464850602702</v>
      </c>
      <c r="BF216" s="10">
        <v>228429</v>
      </c>
      <c r="BG216" s="11">
        <v>134084</v>
      </c>
      <c r="BH216" s="11">
        <v>104797</v>
      </c>
      <c r="BI216" s="11">
        <v>57354</v>
      </c>
      <c r="BJ216" s="12">
        <v>0.58698326394634703</v>
      </c>
      <c r="BK216" s="12">
        <v>0.458772747768453</v>
      </c>
      <c r="BL216" s="12">
        <v>0.25108020435233702</v>
      </c>
      <c r="BM216" s="12">
        <v>0.128210516177893</v>
      </c>
      <c r="BN216" s="12">
        <v>0.20769254341611601</v>
      </c>
      <c r="BO216" s="12">
        <v>0.115593904451711</v>
      </c>
      <c r="BP216" s="12">
        <v>0.13548629990062599</v>
      </c>
      <c r="BQ216" s="13">
        <v>90447</v>
      </c>
      <c r="BR216" s="13">
        <v>117620</v>
      </c>
      <c r="BS216" s="13">
        <v>1339868</v>
      </c>
      <c r="BT216" s="11">
        <v>740222</v>
      </c>
      <c r="BU216" s="11">
        <v>758613</v>
      </c>
      <c r="BV216" s="12">
        <v>2.4845249127964299E-2</v>
      </c>
      <c r="BW216" s="12">
        <v>0.38567661895077199</v>
      </c>
      <c r="BX216" s="12">
        <v>0.421127715739332</v>
      </c>
      <c r="BY216" s="12">
        <v>0.247183952922231</v>
      </c>
      <c r="BZ216" s="12">
        <v>2.1304419484965299E-2</v>
      </c>
      <c r="CA216" s="14">
        <v>0.23557392241786901</v>
      </c>
      <c r="CB216" s="86">
        <f t="shared" si="42"/>
        <v>23512303.67499911</v>
      </c>
      <c r="CC216" s="83">
        <v>7728961.7549997596</v>
      </c>
      <c r="CD216" s="83">
        <v>11523711.799999399</v>
      </c>
      <c r="CE216" s="83">
        <v>2939311.59999994</v>
      </c>
      <c r="CF216" s="83">
        <v>1320318.52000001</v>
      </c>
      <c r="CG216" s="90">
        <f t="shared" si="39"/>
        <v>0.32871988478177278</v>
      </c>
      <c r="CH216" s="90">
        <f t="shared" si="39"/>
        <v>0.49011411043711078</v>
      </c>
      <c r="CI216" s="90">
        <f t="shared" si="31"/>
        <v>0.1250116381886196</v>
      </c>
      <c r="CK216" s="86">
        <f t="shared" si="40"/>
        <v>23035057</v>
      </c>
      <c r="CL216" s="83">
        <v>7209096</v>
      </c>
      <c r="CM216" s="83">
        <v>11663186</v>
      </c>
      <c r="CN216" s="83">
        <v>2911495</v>
      </c>
      <c r="CO216" s="83">
        <v>1251280</v>
      </c>
      <c r="CP216" s="90">
        <f t="shared" si="41"/>
        <v>0.31296193449836046</v>
      </c>
      <c r="CQ216" s="90">
        <f t="shared" si="41"/>
        <v>0.50632329670380238</v>
      </c>
      <c r="CR216" s="90">
        <f t="shared" si="41"/>
        <v>0.12639408706477262</v>
      </c>
    </row>
    <row r="217" spans="1:97" ht="37.5" thickTop="1" thickBot="1" x14ac:dyDescent="0.3">
      <c r="A217" s="3" t="s">
        <v>296</v>
      </c>
      <c r="B217" s="3">
        <v>1005</v>
      </c>
      <c r="C217" s="3" t="s">
        <v>158</v>
      </c>
      <c r="D217" s="16">
        <v>40073</v>
      </c>
      <c r="E217" s="16" t="s">
        <v>551</v>
      </c>
      <c r="F217" s="16" t="s">
        <v>429</v>
      </c>
      <c r="G217" s="17">
        <v>17612</v>
      </c>
      <c r="H217" s="17">
        <v>20555</v>
      </c>
      <c r="I217" s="17" t="s">
        <v>584</v>
      </c>
      <c r="J217" s="18"/>
      <c r="K217" s="18" t="s">
        <v>598</v>
      </c>
      <c r="L217" s="18"/>
      <c r="M217" s="18" t="s">
        <v>598</v>
      </c>
      <c r="N217" s="10">
        <v>37373</v>
      </c>
      <c r="O217" s="11">
        <v>25811</v>
      </c>
      <c r="P217" s="11">
        <v>19489</v>
      </c>
      <c r="Q217" s="11">
        <v>9532</v>
      </c>
      <c r="R217" s="12">
        <v>0.69063227463677002</v>
      </c>
      <c r="S217" s="12">
        <v>0.52147272094827801</v>
      </c>
      <c r="T217" s="12">
        <v>0.255050437481604</v>
      </c>
      <c r="U217" s="12">
        <v>0.169159553688492</v>
      </c>
      <c r="V217" s="12">
        <v>0.26642228346667401</v>
      </c>
      <c r="W217" s="12">
        <v>0.12918417039038901</v>
      </c>
      <c r="X217" s="12">
        <v>0.12586626709121601</v>
      </c>
      <c r="Y217" s="13">
        <v>102411</v>
      </c>
      <c r="Z217" s="13">
        <v>122426</v>
      </c>
      <c r="AA217" s="13">
        <v>1119939</v>
      </c>
      <c r="AB217" s="11">
        <v>114608</v>
      </c>
      <c r="AC217" s="11">
        <v>131122</v>
      </c>
      <c r="AD217" s="12">
        <v>0.14409116292056401</v>
      </c>
      <c r="AE217" s="12">
        <v>0.45541387692438901</v>
      </c>
      <c r="AF217" s="12">
        <v>0.181017031969845</v>
      </c>
      <c r="AG217" s="12">
        <v>8.7480804132346796E-2</v>
      </c>
      <c r="AH217" s="12">
        <v>4.7754083484573502E-2</v>
      </c>
      <c r="AI217" s="14">
        <v>0.17718658383358901</v>
      </c>
      <c r="AJ217" s="4">
        <v>96370</v>
      </c>
      <c r="AK217" s="5">
        <v>64015</v>
      </c>
      <c r="AL217" s="5">
        <v>48660</v>
      </c>
      <c r="AM217" s="5">
        <v>24158</v>
      </c>
      <c r="AN217" s="6">
        <v>0.66426273736639996</v>
      </c>
      <c r="AO217" s="6">
        <v>0.504928919788316</v>
      </c>
      <c r="AP217" s="6">
        <v>0.25067967209712599</v>
      </c>
      <c r="AQ217" s="6">
        <v>0.15933381757808401</v>
      </c>
      <c r="AR217" s="6">
        <v>0.25424924769119001</v>
      </c>
      <c r="AS217" s="6">
        <v>0.12675106360900701</v>
      </c>
      <c r="AT217" s="6">
        <v>0.123928608488119</v>
      </c>
      <c r="AU217" s="7">
        <v>100569</v>
      </c>
      <c r="AV217" s="7">
        <v>120037</v>
      </c>
      <c r="AW217" s="7">
        <v>1198186</v>
      </c>
      <c r="AX217" s="5">
        <v>291778</v>
      </c>
      <c r="AY217" s="5">
        <v>322781</v>
      </c>
      <c r="AZ217" s="6">
        <v>0.106255440780319</v>
      </c>
      <c r="BA217" s="6">
        <v>0.44725912493960102</v>
      </c>
      <c r="BB217" s="6">
        <v>0.18861257531410899</v>
      </c>
      <c r="BC217" s="6">
        <v>8.51469267730946E-2</v>
      </c>
      <c r="BD217" s="6">
        <v>4.7371631857096801E-2</v>
      </c>
      <c r="BE217" s="8">
        <v>0.19823975762394699</v>
      </c>
      <c r="BF217" s="10">
        <v>181304</v>
      </c>
      <c r="BG217" s="11">
        <v>109680</v>
      </c>
      <c r="BH217" s="11">
        <v>82142</v>
      </c>
      <c r="BI217" s="11">
        <v>40798</v>
      </c>
      <c r="BJ217" s="12">
        <v>0.60495080086484598</v>
      </c>
      <c r="BK217" s="12">
        <v>0.45306226007148198</v>
      </c>
      <c r="BL217" s="12">
        <v>0.22502537175131301</v>
      </c>
      <c r="BM217" s="12">
        <v>0.151888540793364</v>
      </c>
      <c r="BN217" s="12">
        <v>0.228036888320169</v>
      </c>
      <c r="BO217" s="12">
        <v>0.113604774301725</v>
      </c>
      <c r="BP217" s="12">
        <v>0.111420597449587</v>
      </c>
      <c r="BQ217" s="13">
        <v>90657</v>
      </c>
      <c r="BR217" s="13">
        <v>112055</v>
      </c>
      <c r="BS217" s="13">
        <v>1064116</v>
      </c>
      <c r="BT217" s="11">
        <v>534916</v>
      </c>
      <c r="BU217" s="11">
        <v>585100</v>
      </c>
      <c r="BV217" s="12">
        <v>9.3816599241750107E-2</v>
      </c>
      <c r="BW217" s="12">
        <v>0.41045704566943902</v>
      </c>
      <c r="BX217" s="12">
        <v>0.22565412139476099</v>
      </c>
      <c r="BY217" s="12">
        <v>7.5869856201721403E-2</v>
      </c>
      <c r="BZ217" s="12">
        <v>4.9033866999678502E-2</v>
      </c>
      <c r="CA217" s="14">
        <v>0.19735061205871601</v>
      </c>
      <c r="CB217" s="86">
        <f t="shared" si="42"/>
        <v>27871832.740074411</v>
      </c>
      <c r="CC217" s="83">
        <v>8726569.8090711907</v>
      </c>
      <c r="CD217" s="83">
        <v>13468424.9471938</v>
      </c>
      <c r="CE217" s="83">
        <v>3923171.5999999</v>
      </c>
      <c r="CF217" s="83">
        <v>1753666.3838095199</v>
      </c>
      <c r="CG217" s="90">
        <f t="shared" si="39"/>
        <v>0.31309637548606689</v>
      </c>
      <c r="CH217" s="90">
        <f t="shared" si="39"/>
        <v>0.48322710145389031</v>
      </c>
      <c r="CI217" s="90">
        <f t="shared" si="31"/>
        <v>0.14075757545570813</v>
      </c>
      <c r="CK217" s="86">
        <f t="shared" si="40"/>
        <v>27087671</v>
      </c>
      <c r="CL217" s="83">
        <v>8287012</v>
      </c>
      <c r="CM217" s="83">
        <v>13243574</v>
      </c>
      <c r="CN217" s="83">
        <v>3867165</v>
      </c>
      <c r="CO217" s="83">
        <v>1689920</v>
      </c>
      <c r="CP217" s="90">
        <f t="shared" si="41"/>
        <v>0.30593298331185431</v>
      </c>
      <c r="CQ217" s="90">
        <f t="shared" si="41"/>
        <v>0.48891519688052915</v>
      </c>
      <c r="CR217" s="90">
        <f t="shared" si="41"/>
        <v>0.14276476556437798</v>
      </c>
    </row>
    <row r="218" spans="1:97" ht="49.5" thickTop="1" thickBot="1" x14ac:dyDescent="0.3">
      <c r="A218" s="3" t="s">
        <v>302</v>
      </c>
      <c r="B218" s="3">
        <v>1603</v>
      </c>
      <c r="C218" s="3" t="s">
        <v>232</v>
      </c>
      <c r="D218" s="16">
        <v>41893</v>
      </c>
      <c r="E218" s="16" t="s">
        <v>567</v>
      </c>
      <c r="F218" s="16" t="s">
        <v>487</v>
      </c>
      <c r="G218" s="17">
        <v>20474</v>
      </c>
      <c r="H218" s="17">
        <v>28687</v>
      </c>
      <c r="I218" s="17" t="s">
        <v>585</v>
      </c>
      <c r="J218" s="18"/>
      <c r="K218" s="18" t="s">
        <v>598</v>
      </c>
      <c r="L218" s="18"/>
      <c r="M218" s="18" t="s">
        <v>598</v>
      </c>
      <c r="N218" s="10">
        <v>28329</v>
      </c>
      <c r="O218" s="11">
        <v>15144</v>
      </c>
      <c r="P218" s="11">
        <v>10942</v>
      </c>
      <c r="Q218" s="11">
        <v>4641</v>
      </c>
      <c r="R218" s="12">
        <v>0.53457587631049497</v>
      </c>
      <c r="S218" s="12">
        <v>0.38624730841187499</v>
      </c>
      <c r="T218" s="12">
        <v>0.16382505559673799</v>
      </c>
      <c r="U218" s="12">
        <v>0.14832856789862001</v>
      </c>
      <c r="V218" s="12">
        <v>0.222422252815136</v>
      </c>
      <c r="W218" s="12">
        <v>8.8107592925976905E-2</v>
      </c>
      <c r="X218" s="12">
        <v>7.5717462670761404E-2</v>
      </c>
      <c r="Y218" s="13">
        <v>79576</v>
      </c>
      <c r="Z218" s="13">
        <v>97001</v>
      </c>
      <c r="AA218" s="13">
        <v>954886</v>
      </c>
      <c r="AB218" s="11">
        <v>73104</v>
      </c>
      <c r="AC218" s="11">
        <v>75254</v>
      </c>
      <c r="AD218" s="12">
        <v>2.9410155395053601E-2</v>
      </c>
      <c r="AE218" s="12">
        <v>0.41797221401123302</v>
      </c>
      <c r="AF218" s="12">
        <v>9.5671919457211596E-2</v>
      </c>
      <c r="AG218" s="12">
        <v>5.8697198511709299E-2</v>
      </c>
      <c r="AH218" s="12">
        <v>0.15309695775880899</v>
      </c>
      <c r="AI218" s="14">
        <v>0.24358448238126501</v>
      </c>
      <c r="AJ218" s="4">
        <v>68674</v>
      </c>
      <c r="AK218" s="5">
        <v>40938</v>
      </c>
      <c r="AL218" s="5">
        <v>31586</v>
      </c>
      <c r="AM218" s="5">
        <v>15348</v>
      </c>
      <c r="AN218" s="6">
        <v>0.59612080263272904</v>
      </c>
      <c r="AO218" s="6">
        <v>0.45994117133121698</v>
      </c>
      <c r="AP218" s="6">
        <v>0.223490695168477</v>
      </c>
      <c r="AQ218" s="6">
        <v>0.13617963130151101</v>
      </c>
      <c r="AR218" s="6">
        <v>0.23645047616274001</v>
      </c>
      <c r="AS218" s="6">
        <v>0.11034743862306</v>
      </c>
      <c r="AT218" s="6">
        <v>0.113143256545417</v>
      </c>
      <c r="AU218" s="7">
        <v>91151</v>
      </c>
      <c r="AV218" s="7">
        <v>111826</v>
      </c>
      <c r="AW218" s="7">
        <v>1352855</v>
      </c>
      <c r="AX218" s="5">
        <v>181107</v>
      </c>
      <c r="AY218" s="5">
        <v>189165</v>
      </c>
      <c r="AZ218" s="6">
        <v>4.44930345044642E-2</v>
      </c>
      <c r="BA218" s="6">
        <v>0.45903761778033503</v>
      </c>
      <c r="BB218" s="6">
        <v>7.2194890313461102E-2</v>
      </c>
      <c r="BC218" s="6">
        <v>6.3062167668836697E-2</v>
      </c>
      <c r="BD218" s="6">
        <v>0.120122358605686</v>
      </c>
      <c r="BE218" s="8">
        <v>0.252502664170905</v>
      </c>
      <c r="BF218" s="10">
        <v>125148</v>
      </c>
      <c r="BG218" s="11">
        <v>75756</v>
      </c>
      <c r="BH218" s="11">
        <v>58224</v>
      </c>
      <c r="BI218" s="11">
        <v>29035</v>
      </c>
      <c r="BJ218" s="12">
        <v>0.60533128775529799</v>
      </c>
      <c r="BK218" s="12">
        <v>0.46524115447310399</v>
      </c>
      <c r="BL218" s="12">
        <v>0.23200530571802999</v>
      </c>
      <c r="BM218" s="12">
        <v>0.140090133282194</v>
      </c>
      <c r="BN218" s="12">
        <v>0.233235848755074</v>
      </c>
      <c r="BO218" s="12">
        <v>0.113417713427302</v>
      </c>
      <c r="BP218" s="12">
        <v>0.118587592290728</v>
      </c>
      <c r="BQ218" s="13">
        <v>92426</v>
      </c>
      <c r="BR218" s="13">
        <v>114133</v>
      </c>
      <c r="BS218" s="13">
        <v>1367605</v>
      </c>
      <c r="BT218" s="11">
        <v>324959</v>
      </c>
      <c r="BU218" s="11">
        <v>342123</v>
      </c>
      <c r="BV218" s="12">
        <v>5.2818971008650302E-2</v>
      </c>
      <c r="BW218" s="12">
        <v>0.467279035452697</v>
      </c>
      <c r="BX218" s="12">
        <v>6.4146553872950096E-2</v>
      </c>
      <c r="BY218" s="12">
        <v>6.83532384085377E-2</v>
      </c>
      <c r="BZ218" s="12">
        <v>0.102351373557895</v>
      </c>
      <c r="CA218" s="14">
        <v>0.25257340156758201</v>
      </c>
      <c r="CB218" s="86">
        <f t="shared" si="42"/>
        <v>34135656.549165599</v>
      </c>
      <c r="CC218" s="83">
        <v>10972058.354166299</v>
      </c>
      <c r="CD218" s="83">
        <v>13473044.6999995</v>
      </c>
      <c r="CE218" s="83">
        <v>8701172.4649997894</v>
      </c>
      <c r="CF218" s="83">
        <v>989381.03000000503</v>
      </c>
      <c r="CG218" s="90">
        <f t="shared" si="39"/>
        <v>0.32142514494669933</v>
      </c>
      <c r="CH218" s="90">
        <f t="shared" si="39"/>
        <v>0.39469124258952715</v>
      </c>
      <c r="CI218" s="90">
        <f t="shared" si="31"/>
        <v>0.2548998128237987</v>
      </c>
      <c r="CK218" s="86">
        <f t="shared" si="40"/>
        <v>33943926</v>
      </c>
      <c r="CL218" s="83">
        <v>10615280</v>
      </c>
      <c r="CM218" s="83">
        <v>13395905</v>
      </c>
      <c r="CN218" s="83">
        <v>8954730</v>
      </c>
      <c r="CO218" s="83">
        <v>978011</v>
      </c>
      <c r="CP218" s="90">
        <f t="shared" si="41"/>
        <v>0.3127298828073099</v>
      </c>
      <c r="CQ218" s="90">
        <f t="shared" si="41"/>
        <v>0.3946480734137825</v>
      </c>
      <c r="CR218" s="90">
        <f t="shared" si="41"/>
        <v>0.26380949569593098</v>
      </c>
    </row>
    <row r="219" spans="1:97" ht="49.5" thickTop="1" thickBot="1" x14ac:dyDescent="0.3">
      <c r="A219" s="3" t="s">
        <v>297</v>
      </c>
      <c r="B219" s="3">
        <v>1101</v>
      </c>
      <c r="C219" s="3" t="s">
        <v>167</v>
      </c>
      <c r="D219" s="16">
        <v>39471</v>
      </c>
      <c r="E219" s="16" t="s">
        <v>552</v>
      </c>
      <c r="F219" s="16" t="s">
        <v>436</v>
      </c>
      <c r="G219" s="17">
        <v>20895</v>
      </c>
      <c r="H219" s="17">
        <v>25000</v>
      </c>
      <c r="I219" s="17" t="s">
        <v>585</v>
      </c>
      <c r="J219" s="18"/>
      <c r="K219" s="18" t="s">
        <v>598</v>
      </c>
      <c r="L219" s="18"/>
      <c r="M219" s="18" t="s">
        <v>598</v>
      </c>
      <c r="N219" s="10">
        <v>39193</v>
      </c>
      <c r="O219" s="11">
        <v>24443</v>
      </c>
      <c r="P219" s="11">
        <v>18439</v>
      </c>
      <c r="Q219" s="11">
        <v>9894</v>
      </c>
      <c r="R219" s="12">
        <v>0.62365728573980095</v>
      </c>
      <c r="S219" s="12">
        <v>0.47046666496568301</v>
      </c>
      <c r="T219" s="12">
        <v>0.25244303829765502</v>
      </c>
      <c r="U219" s="12">
        <v>0.15319062077411799</v>
      </c>
      <c r="V219" s="12">
        <v>0.21802362666802699</v>
      </c>
      <c r="W219" s="12">
        <v>0.114943995101166</v>
      </c>
      <c r="X219" s="12">
        <v>0.13749904319648901</v>
      </c>
      <c r="Y219" s="13">
        <v>93973</v>
      </c>
      <c r="Z219" s="13">
        <v>119097</v>
      </c>
      <c r="AA219" s="13">
        <v>1159108</v>
      </c>
      <c r="AB219" s="11">
        <v>104280</v>
      </c>
      <c r="AC219" s="11">
        <v>111648</v>
      </c>
      <c r="AD219" s="12">
        <v>7.0655926352128903E-2</v>
      </c>
      <c r="AE219" s="12">
        <v>0.43186299363416097</v>
      </c>
      <c r="AF219" s="12">
        <v>0.16725163022631401</v>
      </c>
      <c r="AG219" s="12">
        <v>9.8878020713463799E-2</v>
      </c>
      <c r="AH219" s="12">
        <v>2.3053317990026901E-2</v>
      </c>
      <c r="AI219" s="14">
        <v>0.22959340237821199</v>
      </c>
      <c r="AJ219" s="4">
        <v>86848</v>
      </c>
      <c r="AK219" s="5">
        <v>54883</v>
      </c>
      <c r="AL219" s="5">
        <v>42401</v>
      </c>
      <c r="AM219" s="5">
        <v>23530</v>
      </c>
      <c r="AN219" s="6">
        <v>0.63194316507000703</v>
      </c>
      <c r="AO219" s="6">
        <v>0.48822079955784797</v>
      </c>
      <c r="AP219" s="6">
        <v>0.27093312453942497</v>
      </c>
      <c r="AQ219" s="6">
        <v>0.143722365512159</v>
      </c>
      <c r="AR219" s="6">
        <v>0.217287675018423</v>
      </c>
      <c r="AS219" s="6">
        <v>0.11693994104642599</v>
      </c>
      <c r="AT219" s="6">
        <v>0.15399318349299901</v>
      </c>
      <c r="AU219" s="7">
        <v>97376</v>
      </c>
      <c r="AV219" s="7">
        <v>124284</v>
      </c>
      <c r="AW219" s="7">
        <v>1445578</v>
      </c>
      <c r="AX219" s="5">
        <v>233056</v>
      </c>
      <c r="AY219" s="5">
        <v>249269</v>
      </c>
      <c r="AZ219" s="6">
        <v>6.9566971028422395E-2</v>
      </c>
      <c r="BA219" s="6">
        <v>0.43143260779876702</v>
      </c>
      <c r="BB219" s="6">
        <v>0.15531460249897</v>
      </c>
      <c r="BC219" s="6">
        <v>9.8693017987093207E-2</v>
      </c>
      <c r="BD219" s="6">
        <v>2.36810037072635E-2</v>
      </c>
      <c r="BE219" s="8">
        <v>0.23482339008650299</v>
      </c>
      <c r="BF219" s="10">
        <v>145118</v>
      </c>
      <c r="BG219" s="11">
        <v>88449</v>
      </c>
      <c r="BH219" s="11">
        <v>67452</v>
      </c>
      <c r="BI219" s="11">
        <v>36503</v>
      </c>
      <c r="BJ219" s="12">
        <v>0.60949709891260895</v>
      </c>
      <c r="BK219" s="12">
        <v>0.46480794939290798</v>
      </c>
      <c r="BL219" s="12">
        <v>0.25154012596645497</v>
      </c>
      <c r="BM219" s="12">
        <v>0.14468914951970099</v>
      </c>
      <c r="BN219" s="12">
        <v>0.21326782342645301</v>
      </c>
      <c r="BO219" s="12">
        <v>0.109717609118097</v>
      </c>
      <c r="BP219" s="12">
        <v>0.141822516848358</v>
      </c>
      <c r="BQ219" s="13">
        <v>92544</v>
      </c>
      <c r="BR219" s="13">
        <v>120202</v>
      </c>
      <c r="BS219" s="13">
        <v>1430039</v>
      </c>
      <c r="BT219" s="11">
        <v>395241</v>
      </c>
      <c r="BU219" s="11">
        <v>417614</v>
      </c>
      <c r="BV219" s="12">
        <v>5.6605969522392698E-2</v>
      </c>
      <c r="BW219" s="12">
        <v>0.39613544256065403</v>
      </c>
      <c r="BX219" s="12">
        <v>0.15161129538686499</v>
      </c>
      <c r="BY219" s="12">
        <v>9.92457766274248E-2</v>
      </c>
      <c r="BZ219" s="12">
        <v>2.9169544657563402E-2</v>
      </c>
      <c r="CA219" s="14">
        <v>0.240865699661725</v>
      </c>
      <c r="CB219" s="86">
        <f t="shared" si="42"/>
        <v>22274815.136665929</v>
      </c>
      <c r="CC219" s="83">
        <v>7784392.7066664798</v>
      </c>
      <c r="CD219" s="83">
        <v>10007018.329999501</v>
      </c>
      <c r="CE219" s="83">
        <v>3263567.8999999398</v>
      </c>
      <c r="CF219" s="83">
        <v>1219836.20000001</v>
      </c>
      <c r="CG219" s="90">
        <f t="shared" si="39"/>
        <v>0.3494705863508073</v>
      </c>
      <c r="CH219" s="90">
        <f t="shared" si="39"/>
        <v>0.44925258722022959</v>
      </c>
      <c r="CI219" s="90">
        <f t="shared" si="31"/>
        <v>0.14651380404176173</v>
      </c>
      <c r="CK219" s="86">
        <f t="shared" si="40"/>
        <v>21247347</v>
      </c>
      <c r="CL219" s="83">
        <v>7242511</v>
      </c>
      <c r="CM219" s="83">
        <v>9666753</v>
      </c>
      <c r="CN219" s="83">
        <v>3144200</v>
      </c>
      <c r="CO219" s="83">
        <v>1193883</v>
      </c>
      <c r="CP219" s="90">
        <f t="shared" si="41"/>
        <v>0.34086660325169066</v>
      </c>
      <c r="CQ219" s="90">
        <f t="shared" si="41"/>
        <v>0.45496282429989965</v>
      </c>
      <c r="CR219" s="90">
        <f t="shared" si="41"/>
        <v>0.1479808279123036</v>
      </c>
    </row>
    <row r="220" spans="1:97" ht="37.5" thickTop="1" thickBot="1" x14ac:dyDescent="0.3">
      <c r="A220" s="3" t="s">
        <v>293</v>
      </c>
      <c r="B220" s="3">
        <v>705</v>
      </c>
      <c r="C220" s="3" t="s">
        <v>111</v>
      </c>
      <c r="D220" s="16">
        <v>43867</v>
      </c>
      <c r="E220" s="16" t="s">
        <v>539</v>
      </c>
      <c r="F220" s="16" t="s">
        <v>389</v>
      </c>
      <c r="G220" s="17">
        <v>20038</v>
      </c>
      <c r="H220" s="17">
        <v>25130</v>
      </c>
      <c r="I220" s="17" t="s">
        <v>585</v>
      </c>
      <c r="J220" s="18"/>
      <c r="K220" s="18" t="s">
        <v>598</v>
      </c>
      <c r="L220" s="18"/>
      <c r="M220" s="18" t="s">
        <v>598</v>
      </c>
      <c r="N220" s="10">
        <v>21954</v>
      </c>
      <c r="O220" s="11">
        <v>13561</v>
      </c>
      <c r="P220" s="11">
        <v>10725</v>
      </c>
      <c r="Q220" s="11">
        <v>6579</v>
      </c>
      <c r="R220" s="12">
        <v>0.61770064680696002</v>
      </c>
      <c r="S220" s="12">
        <v>0.48852145394916602</v>
      </c>
      <c r="T220" s="12">
        <v>0.29967204154140498</v>
      </c>
      <c r="U220" s="12">
        <v>0.129179192857794</v>
      </c>
      <c r="V220" s="12">
        <v>0.18884941240776201</v>
      </c>
      <c r="W220" s="12">
        <v>0.118065045094288</v>
      </c>
      <c r="X220" s="12">
        <v>0.181606996447117</v>
      </c>
      <c r="Y220" s="13">
        <v>97187</v>
      </c>
      <c r="Z220" s="13">
        <v>133909</v>
      </c>
      <c r="AA220" s="13">
        <v>1591050</v>
      </c>
      <c r="AB220" s="11">
        <v>49241</v>
      </c>
      <c r="AC220" s="11">
        <v>53521</v>
      </c>
      <c r="AD220" s="12">
        <v>8.6919437054487098E-2</v>
      </c>
      <c r="AE220" s="12">
        <v>0.62309699869508495</v>
      </c>
      <c r="AF220" s="12">
        <v>2.4918259174265298E-2</v>
      </c>
      <c r="AG220" s="12">
        <v>1.8236835157693799E-2</v>
      </c>
      <c r="AH220" s="12">
        <v>5.0628541256270199E-2</v>
      </c>
      <c r="AI220" s="14">
        <v>0.262728214292967</v>
      </c>
      <c r="AJ220" s="4">
        <v>39008</v>
      </c>
      <c r="AK220" s="5">
        <v>23146</v>
      </c>
      <c r="AL220" s="5">
        <v>18643</v>
      </c>
      <c r="AM220" s="5">
        <v>11626</v>
      </c>
      <c r="AN220" s="6">
        <v>0.59336546349466801</v>
      </c>
      <c r="AO220" s="6">
        <v>0.47792760459392902</v>
      </c>
      <c r="AP220" s="6">
        <v>0.29804142739950801</v>
      </c>
      <c r="AQ220" s="6">
        <v>0.115437858900738</v>
      </c>
      <c r="AR220" s="6">
        <v>0.17988617719442199</v>
      </c>
      <c r="AS220" s="6">
        <v>0.117642534864643</v>
      </c>
      <c r="AT220" s="6">
        <v>0.18039889253486499</v>
      </c>
      <c r="AU220" s="7">
        <v>94176</v>
      </c>
      <c r="AV220" s="7">
        <v>131288</v>
      </c>
      <c r="AW220" s="7">
        <v>1544341</v>
      </c>
      <c r="AX220" s="5">
        <v>91580</v>
      </c>
      <c r="AY220" s="5">
        <v>103485</v>
      </c>
      <c r="AZ220" s="6">
        <v>0.12999563223411201</v>
      </c>
      <c r="BA220" s="6">
        <v>0.64015968063872297</v>
      </c>
      <c r="BB220" s="6">
        <v>2.25158331513431E-2</v>
      </c>
      <c r="BC220" s="6">
        <v>1.7547499454029301E-2</v>
      </c>
      <c r="BD220" s="6">
        <v>0.119010701026425</v>
      </c>
      <c r="BE220" s="8">
        <v>0.248525879012885</v>
      </c>
      <c r="BF220" s="10">
        <v>63662</v>
      </c>
      <c r="BG220" s="11">
        <v>37557</v>
      </c>
      <c r="BH220" s="11">
        <v>30244</v>
      </c>
      <c r="BI220" s="11">
        <v>19367</v>
      </c>
      <c r="BJ220" s="12">
        <v>0.58994376551160799</v>
      </c>
      <c r="BK220" s="12">
        <v>0.47507147120731402</v>
      </c>
      <c r="BL220" s="12">
        <v>0.30421601583362101</v>
      </c>
      <c r="BM220" s="12">
        <v>0.11487229430429501</v>
      </c>
      <c r="BN220" s="12">
        <v>0.17085545537369201</v>
      </c>
      <c r="BO220" s="12">
        <v>0.117951054003958</v>
      </c>
      <c r="BP220" s="12">
        <v>0.18626496182966301</v>
      </c>
      <c r="BQ220" s="13">
        <v>93430</v>
      </c>
      <c r="BR220" s="13">
        <v>131642</v>
      </c>
      <c r="BS220" s="13">
        <v>1595254</v>
      </c>
      <c r="BT220" s="11">
        <v>153324</v>
      </c>
      <c r="BU220" s="11">
        <v>170854</v>
      </c>
      <c r="BV220" s="12">
        <v>0.11433304635934401</v>
      </c>
      <c r="BW220" s="12">
        <v>0.62702248979709996</v>
      </c>
      <c r="BX220" s="12">
        <v>2.1699146904594201E-2</v>
      </c>
      <c r="BY220" s="12">
        <v>1.7785865226579E-2</v>
      </c>
      <c r="BZ220" s="12">
        <v>0.15779003939370201</v>
      </c>
      <c r="CA220" s="14">
        <v>0.24429965302235801</v>
      </c>
      <c r="CB220" s="86">
        <f t="shared" si="42"/>
        <v>23515974.578165151</v>
      </c>
      <c r="CC220" s="83">
        <v>11150765.5527489</v>
      </c>
      <c r="CD220" s="83">
        <v>8285471.0129163004</v>
      </c>
      <c r="CE220" s="83">
        <v>2972131.7624999401</v>
      </c>
      <c r="CF220" s="83">
        <v>1107606.25000001</v>
      </c>
      <c r="CG220" s="90">
        <f t="shared" si="39"/>
        <v>0.47417832995543857</v>
      </c>
      <c r="CH220" s="90">
        <f t="shared" si="39"/>
        <v>0.35233372894566123</v>
      </c>
      <c r="CI220" s="90">
        <f t="shared" si="31"/>
        <v>0.12638777749230934</v>
      </c>
      <c r="CK220" s="86">
        <f t="shared" si="40"/>
        <v>23950090</v>
      </c>
      <c r="CL220" s="83">
        <v>11386682</v>
      </c>
      <c r="CM220" s="83">
        <v>8391736</v>
      </c>
      <c r="CN220" s="83">
        <v>3080635</v>
      </c>
      <c r="CO220" s="83">
        <v>1091037</v>
      </c>
      <c r="CP220" s="90">
        <f t="shared" si="41"/>
        <v>0.47543378751395088</v>
      </c>
      <c r="CQ220" s="90">
        <f t="shared" si="41"/>
        <v>0.35038432005892256</v>
      </c>
      <c r="CR220" s="90">
        <f t="shared" si="41"/>
        <v>0.12862728282023159</v>
      </c>
    </row>
    <row r="221" spans="1:97" ht="49.5" thickTop="1" thickBot="1" x14ac:dyDescent="0.3">
      <c r="A221" s="3" t="s">
        <v>300</v>
      </c>
      <c r="B221" s="3">
        <v>1405</v>
      </c>
      <c r="C221" s="3" t="s">
        <v>217</v>
      </c>
      <c r="D221" s="16">
        <v>41445</v>
      </c>
      <c r="E221" s="16" t="s">
        <v>561</v>
      </c>
      <c r="F221" s="16" t="s">
        <v>475</v>
      </c>
      <c r="G221" s="17">
        <v>16901</v>
      </c>
      <c r="H221" s="17">
        <v>21000</v>
      </c>
      <c r="I221" s="17" t="s">
        <v>584</v>
      </c>
      <c r="J221" s="18"/>
      <c r="K221" s="18" t="s">
        <v>598</v>
      </c>
      <c r="L221" s="18" t="s">
        <v>587</v>
      </c>
      <c r="M221" s="18" t="s">
        <v>598</v>
      </c>
      <c r="N221" s="10">
        <v>55120</v>
      </c>
      <c r="O221" s="11">
        <v>32201</v>
      </c>
      <c r="P221" s="11">
        <v>23873</v>
      </c>
      <c r="Q221" s="11">
        <v>11387</v>
      </c>
      <c r="R221" s="12">
        <v>0.584198113207547</v>
      </c>
      <c r="S221" s="12">
        <v>0.43310957910014503</v>
      </c>
      <c r="T221" s="12">
        <v>0.206585631349782</v>
      </c>
      <c r="U221" s="12">
        <v>0.151088534107402</v>
      </c>
      <c r="V221" s="12">
        <v>0.226523947750363</v>
      </c>
      <c r="W221" s="12">
        <v>0.115130624092888</v>
      </c>
      <c r="X221" s="12">
        <v>9.1455007256894094E-2</v>
      </c>
      <c r="Y221" s="13">
        <v>87103</v>
      </c>
      <c r="Z221" s="13">
        <v>105238</v>
      </c>
      <c r="AA221" s="13">
        <v>927401</v>
      </c>
      <c r="AB221" s="11">
        <v>147171</v>
      </c>
      <c r="AC221" s="11">
        <v>160685</v>
      </c>
      <c r="AD221" s="12">
        <v>9.1825155771177794E-2</v>
      </c>
      <c r="AE221" s="12">
        <v>0.38503081890225999</v>
      </c>
      <c r="AF221" s="12">
        <v>0.113826772937603</v>
      </c>
      <c r="AG221" s="12">
        <v>0.22747688063545099</v>
      </c>
      <c r="AH221" s="12">
        <v>6.4109097580365704E-2</v>
      </c>
      <c r="AI221" s="14">
        <v>0.234183364929232</v>
      </c>
      <c r="AJ221" s="4">
        <v>135481</v>
      </c>
      <c r="AK221" s="5">
        <v>83264</v>
      </c>
      <c r="AL221" s="5">
        <v>62528</v>
      </c>
      <c r="AM221" s="5">
        <v>33349</v>
      </c>
      <c r="AN221" s="6">
        <v>0.61458064230408704</v>
      </c>
      <c r="AO221" s="6">
        <v>0.46152597043127802</v>
      </c>
      <c r="AP221" s="6">
        <v>0.246152597043128</v>
      </c>
      <c r="AQ221" s="6">
        <v>0.15305467187280899</v>
      </c>
      <c r="AR221" s="6">
        <v>0.21537337338814999</v>
      </c>
      <c r="AS221" s="6">
        <v>0.11589817022313099</v>
      </c>
      <c r="AT221" s="6">
        <v>0.13025442681999699</v>
      </c>
      <c r="AU221" s="7">
        <v>92272</v>
      </c>
      <c r="AV221" s="7">
        <v>117071</v>
      </c>
      <c r="AW221" s="7">
        <v>1297898</v>
      </c>
      <c r="AX221" s="5">
        <v>353419</v>
      </c>
      <c r="AY221" s="5">
        <v>383276</v>
      </c>
      <c r="AZ221" s="6">
        <v>8.4480460869392995E-2</v>
      </c>
      <c r="BA221" s="6">
        <v>0.43366853880336897</v>
      </c>
      <c r="BB221" s="6">
        <v>0.10840390584546999</v>
      </c>
      <c r="BC221" s="6">
        <v>0.20581519386337499</v>
      </c>
      <c r="BD221" s="6">
        <v>5.3503065766130301E-2</v>
      </c>
      <c r="BE221" s="8">
        <v>0.24591207603439499</v>
      </c>
      <c r="BF221" s="10">
        <v>214905</v>
      </c>
      <c r="BG221" s="11">
        <v>132068</v>
      </c>
      <c r="BH221" s="11">
        <v>100889</v>
      </c>
      <c r="BI221" s="11">
        <v>55399</v>
      </c>
      <c r="BJ221" s="12">
        <v>0.61454130895046599</v>
      </c>
      <c r="BK221" s="12">
        <v>0.46945859798515599</v>
      </c>
      <c r="BL221" s="12">
        <v>0.257783671855006</v>
      </c>
      <c r="BM221" s="12">
        <v>0.14508271096531</v>
      </c>
      <c r="BN221" s="12">
        <v>0.21167492613015099</v>
      </c>
      <c r="BO221" s="12">
        <v>0.11800563039482601</v>
      </c>
      <c r="BP221" s="12">
        <v>0.13977804146018</v>
      </c>
      <c r="BQ221" s="13">
        <v>93489</v>
      </c>
      <c r="BR221" s="13">
        <v>119644</v>
      </c>
      <c r="BS221" s="13">
        <v>1377909</v>
      </c>
      <c r="BT221" s="11">
        <v>558859</v>
      </c>
      <c r="BU221" s="11">
        <v>602739</v>
      </c>
      <c r="BV221" s="12">
        <v>7.8517121492183206E-2</v>
      </c>
      <c r="BW221" s="12">
        <v>0.44677036539029602</v>
      </c>
      <c r="BX221" s="12">
        <v>0.10895413691109899</v>
      </c>
      <c r="BY221" s="12">
        <v>0.19182835026366199</v>
      </c>
      <c r="BZ221" s="12">
        <v>4.9221717821489902E-2</v>
      </c>
      <c r="CA221" s="14">
        <v>0.25002370902141702</v>
      </c>
      <c r="CB221" s="86">
        <f t="shared" si="42"/>
        <v>27803737.858832285</v>
      </c>
      <c r="CC221" s="83">
        <v>7590241.1838330897</v>
      </c>
      <c r="CD221" s="83">
        <v>14987352.589999299</v>
      </c>
      <c r="CE221" s="83">
        <v>3649832.7549998998</v>
      </c>
      <c r="CF221" s="83">
        <v>1576311.33</v>
      </c>
      <c r="CG221" s="90">
        <f t="shared" si="39"/>
        <v>0.27299355296654593</v>
      </c>
      <c r="CH221" s="90">
        <f t="shared" si="39"/>
        <v>0.53904092557966399</v>
      </c>
      <c r="CI221" s="90">
        <f t="shared" si="31"/>
        <v>0.13127129789279302</v>
      </c>
      <c r="CK221" s="86">
        <f t="shared" si="40"/>
        <v>28103907</v>
      </c>
      <c r="CL221" s="83">
        <v>7496511</v>
      </c>
      <c r="CM221" s="83">
        <v>15352215</v>
      </c>
      <c r="CN221" s="83">
        <v>3697281</v>
      </c>
      <c r="CO221" s="83">
        <v>1557900</v>
      </c>
      <c r="CP221" s="90">
        <f t="shared" si="41"/>
        <v>0.26674266321760887</v>
      </c>
      <c r="CQ221" s="90">
        <f t="shared" si="41"/>
        <v>0.54626621843005674</v>
      </c>
      <c r="CR221" s="90">
        <f t="shared" si="41"/>
        <v>0.13155754465028652</v>
      </c>
    </row>
    <row r="222" spans="1:97" ht="49.5" thickTop="1" thickBot="1" x14ac:dyDescent="0.3">
      <c r="A222" s="3" t="s">
        <v>302</v>
      </c>
      <c r="B222" s="3">
        <v>1608</v>
      </c>
      <c r="C222" s="3" t="s">
        <v>237</v>
      </c>
      <c r="D222" s="16">
        <v>43055</v>
      </c>
      <c r="E222" s="16" t="s">
        <v>567</v>
      </c>
      <c r="F222" s="16" t="s">
        <v>492</v>
      </c>
      <c r="G222" s="17">
        <v>19400</v>
      </c>
      <c r="H222" s="17">
        <v>25775</v>
      </c>
      <c r="I222" s="17" t="s">
        <v>584</v>
      </c>
      <c r="J222" s="18" t="s">
        <v>581</v>
      </c>
      <c r="K222" s="18" t="s">
        <v>598</v>
      </c>
      <c r="L222" s="18"/>
      <c r="M222" s="18" t="s">
        <v>598</v>
      </c>
      <c r="N222" s="10">
        <v>22488</v>
      </c>
      <c r="O222" s="11">
        <v>13533</v>
      </c>
      <c r="P222" s="11">
        <v>10285</v>
      </c>
      <c r="Q222" s="11">
        <v>6106</v>
      </c>
      <c r="R222" s="12">
        <v>0.60178762006403397</v>
      </c>
      <c r="S222" s="12">
        <v>0.457355033795802</v>
      </c>
      <c r="T222" s="12">
        <v>0.271522589825685</v>
      </c>
      <c r="U222" s="12">
        <v>0.14443258626823199</v>
      </c>
      <c r="V222" s="12">
        <v>0.185832443970117</v>
      </c>
      <c r="W222" s="12">
        <v>9.51618641053006E-2</v>
      </c>
      <c r="X222" s="12">
        <v>0.176360725720384</v>
      </c>
      <c r="Y222" s="13">
        <v>91079</v>
      </c>
      <c r="Z222" s="13">
        <v>130449</v>
      </c>
      <c r="AA222" s="13">
        <v>1834590</v>
      </c>
      <c r="AB222" s="11">
        <v>49917</v>
      </c>
      <c r="AC222" s="11">
        <v>51785</v>
      </c>
      <c r="AD222" s="12">
        <v>3.7422120720395899E-2</v>
      </c>
      <c r="AE222" s="12">
        <v>0.59509983294885005</v>
      </c>
      <c r="AF222" s="12">
        <v>3.2574072961115502E-2</v>
      </c>
      <c r="AG222" s="12">
        <v>5.6213314101408299E-2</v>
      </c>
      <c r="AH222" s="12">
        <v>8.1915980527675902E-2</v>
      </c>
      <c r="AI222" s="14">
        <v>0.27593805717490999</v>
      </c>
      <c r="AJ222" s="4">
        <v>81913</v>
      </c>
      <c r="AK222" s="5">
        <v>48355</v>
      </c>
      <c r="AL222" s="5">
        <v>36957</v>
      </c>
      <c r="AM222" s="5">
        <v>21529</v>
      </c>
      <c r="AN222" s="6">
        <v>0.59032143859949004</v>
      </c>
      <c r="AO222" s="6">
        <v>0.45117380635552401</v>
      </c>
      <c r="AP222" s="6">
        <v>0.26282763419725802</v>
      </c>
      <c r="AQ222" s="6">
        <v>0.13914763224396601</v>
      </c>
      <c r="AR222" s="6">
        <v>0.18834617215826499</v>
      </c>
      <c r="AS222" s="6">
        <v>0.105184769206353</v>
      </c>
      <c r="AT222" s="6">
        <v>0.15764286499090499</v>
      </c>
      <c r="AU222" s="7">
        <v>89585</v>
      </c>
      <c r="AV222" s="7">
        <v>123586</v>
      </c>
      <c r="AW222" s="7">
        <v>1633013</v>
      </c>
      <c r="AX222" s="5">
        <v>187538</v>
      </c>
      <c r="AY222" s="5">
        <v>194117</v>
      </c>
      <c r="AZ222" s="6">
        <v>3.5080890272904702E-2</v>
      </c>
      <c r="BA222" s="6">
        <v>0.57829751094270598</v>
      </c>
      <c r="BB222" s="6">
        <v>4.3537842997152597E-2</v>
      </c>
      <c r="BC222" s="6">
        <v>6.0366432403033E-2</v>
      </c>
      <c r="BD222" s="6">
        <v>9.5388667896639606E-2</v>
      </c>
      <c r="BE222" s="8">
        <v>0.26529556676513599</v>
      </c>
      <c r="BF222" s="10">
        <v>153900</v>
      </c>
      <c r="BG222" s="11">
        <v>93685</v>
      </c>
      <c r="BH222" s="11">
        <v>72494</v>
      </c>
      <c r="BI222" s="11">
        <v>43777</v>
      </c>
      <c r="BJ222" s="12">
        <v>0.60873944119558199</v>
      </c>
      <c r="BK222" s="12">
        <v>0.47104613385315097</v>
      </c>
      <c r="BL222" s="12">
        <v>0.28445094217023997</v>
      </c>
      <c r="BM222" s="12">
        <v>0.13769330734242999</v>
      </c>
      <c r="BN222" s="12">
        <v>0.186595191682911</v>
      </c>
      <c r="BO222" s="12">
        <v>0.107335932423652</v>
      </c>
      <c r="BP222" s="12">
        <v>0.177115009746589</v>
      </c>
      <c r="BQ222" s="13">
        <v>93527</v>
      </c>
      <c r="BR222" s="13">
        <v>131232</v>
      </c>
      <c r="BS222" s="13">
        <v>1749595</v>
      </c>
      <c r="BT222" s="11">
        <v>361603</v>
      </c>
      <c r="BU222" s="11">
        <v>374960</v>
      </c>
      <c r="BV222" s="12">
        <v>3.6938299737557502E-2</v>
      </c>
      <c r="BW222" s="12">
        <v>0.591151702051951</v>
      </c>
      <c r="BX222" s="12">
        <v>4.2220335561375298E-2</v>
      </c>
      <c r="BY222" s="12">
        <v>6.2897708260163804E-2</v>
      </c>
      <c r="BZ222" s="12">
        <v>0.103043945984961</v>
      </c>
      <c r="CA222" s="14">
        <v>0.26614546892586599</v>
      </c>
      <c r="CB222" s="86">
        <f t="shared" si="42"/>
        <v>32769634.94337992</v>
      </c>
      <c r="CC222" s="83">
        <v>13074681.8232139</v>
      </c>
      <c r="CD222" s="83">
        <v>11616916.456666199</v>
      </c>
      <c r="CE222" s="83">
        <v>7061450.2259998098</v>
      </c>
      <c r="CF222" s="83">
        <v>1016586.43750001</v>
      </c>
      <c r="CG222" s="90">
        <f t="shared" si="39"/>
        <v>0.39898771670189842</v>
      </c>
      <c r="CH222" s="90">
        <f t="shared" si="39"/>
        <v>0.35450246781015893</v>
      </c>
      <c r="CI222" s="90">
        <f t="shared" si="39"/>
        <v>0.2154876072986695</v>
      </c>
      <c r="CK222" s="86">
        <f t="shared" si="40"/>
        <v>30701095</v>
      </c>
      <c r="CL222" s="83">
        <v>12098115</v>
      </c>
      <c r="CM222" s="83">
        <v>10800706</v>
      </c>
      <c r="CN222" s="83">
        <v>6854782</v>
      </c>
      <c r="CO222" s="83">
        <v>947492</v>
      </c>
      <c r="CP222" s="90">
        <f t="shared" si="41"/>
        <v>0.39406135188337743</v>
      </c>
      <c r="CQ222" s="90">
        <f t="shared" si="41"/>
        <v>0.35180197970137544</v>
      </c>
      <c r="CR222" s="90">
        <f t="shared" si="41"/>
        <v>0.22327483759129763</v>
      </c>
    </row>
    <row r="223" spans="1:97" ht="25.5" thickTop="1" thickBot="1" x14ac:dyDescent="0.3">
      <c r="A223" s="3" t="s">
        <v>303</v>
      </c>
      <c r="B223" s="3">
        <v>1708</v>
      </c>
      <c r="C223" s="3" t="s">
        <v>246</v>
      </c>
      <c r="D223" s="16">
        <v>45127</v>
      </c>
      <c r="E223" s="16" t="s">
        <v>568</v>
      </c>
      <c r="F223" s="16" t="s">
        <v>606</v>
      </c>
      <c r="G223" s="17">
        <v>22277</v>
      </c>
      <c r="H223" s="17">
        <v>27331</v>
      </c>
      <c r="I223" s="17" t="s">
        <v>585</v>
      </c>
      <c r="J223" s="18"/>
      <c r="K223" s="18" t="s">
        <v>598</v>
      </c>
      <c r="L223" s="18"/>
      <c r="M223" s="18" t="s">
        <v>598</v>
      </c>
      <c r="N223" s="10">
        <v>43171</v>
      </c>
      <c r="O223" s="11">
        <v>27297</v>
      </c>
      <c r="P223" s="11">
        <v>22546</v>
      </c>
      <c r="Q223" s="11">
        <v>14123</v>
      </c>
      <c r="R223" s="12">
        <v>0.63229946028584005</v>
      </c>
      <c r="S223" s="12">
        <v>0.52224873178754305</v>
      </c>
      <c r="T223" s="12">
        <v>0.32714090477403801</v>
      </c>
      <c r="U223" s="12">
        <v>0.110050728498297</v>
      </c>
      <c r="V223" s="12">
        <v>0.19510782701350399</v>
      </c>
      <c r="W223" s="12">
        <v>0.141066919923097</v>
      </c>
      <c r="X223" s="12">
        <v>0.18607398485094201</v>
      </c>
      <c r="Y223" s="13">
        <v>103854</v>
      </c>
      <c r="Z223" s="13">
        <v>136165</v>
      </c>
      <c r="AA223" s="13">
        <v>1530852</v>
      </c>
      <c r="AB223" s="11">
        <v>112587</v>
      </c>
      <c r="AC223" s="11">
        <v>116221</v>
      </c>
      <c r="AD223" s="12">
        <v>3.2277261140273697E-2</v>
      </c>
      <c r="AE223" s="12">
        <v>0.51019181649722001</v>
      </c>
      <c r="AF223" s="12">
        <v>0.16492134971177799</v>
      </c>
      <c r="AG223" s="12">
        <v>5.1622300976134003E-2</v>
      </c>
      <c r="AH223" s="12">
        <v>0.186913231545383</v>
      </c>
      <c r="AI223" s="14">
        <v>0.26715340136960802</v>
      </c>
      <c r="AJ223" s="4">
        <v>105187</v>
      </c>
      <c r="AK223" s="5">
        <v>66197</v>
      </c>
      <c r="AL223" s="5">
        <v>55143</v>
      </c>
      <c r="AM223" s="5">
        <v>35561</v>
      </c>
      <c r="AN223" s="6">
        <v>0.629326817952789</v>
      </c>
      <c r="AO223" s="6">
        <v>0.52423778603819904</v>
      </c>
      <c r="AP223" s="6">
        <v>0.33807409660889698</v>
      </c>
      <c r="AQ223" s="6">
        <v>0.10508903191459</v>
      </c>
      <c r="AR223" s="6">
        <v>0.186163689429302</v>
      </c>
      <c r="AS223" s="6">
        <v>0.126260849724776</v>
      </c>
      <c r="AT223" s="6">
        <v>0.21181324688412101</v>
      </c>
      <c r="AU223" s="7">
        <v>104487</v>
      </c>
      <c r="AV223" s="7">
        <v>145403</v>
      </c>
      <c r="AW223" s="7">
        <v>1728724</v>
      </c>
      <c r="AX223" s="5">
        <v>277789</v>
      </c>
      <c r="AY223" s="5">
        <v>287409</v>
      </c>
      <c r="AZ223" s="6">
        <v>3.46306009237227E-2</v>
      </c>
      <c r="BA223" s="6">
        <v>0.54219413621826196</v>
      </c>
      <c r="BB223" s="6">
        <v>0.145732912390339</v>
      </c>
      <c r="BC223" s="6">
        <v>6.9570789340110697E-2</v>
      </c>
      <c r="BD223" s="6">
        <v>0.23606406301185401</v>
      </c>
      <c r="BE223" s="8">
        <v>0.26187502024918202</v>
      </c>
      <c r="BF223" s="10">
        <v>263115</v>
      </c>
      <c r="BG223" s="11">
        <v>152971</v>
      </c>
      <c r="BH223" s="11">
        <v>125776</v>
      </c>
      <c r="BI223" s="11">
        <v>79911</v>
      </c>
      <c r="BJ223" s="12">
        <v>0.58138456568420604</v>
      </c>
      <c r="BK223" s="12">
        <v>0.47802671835509197</v>
      </c>
      <c r="BL223" s="12">
        <v>0.30371130494270598</v>
      </c>
      <c r="BM223" s="12">
        <v>0.103357847329115</v>
      </c>
      <c r="BN223" s="12">
        <v>0.17431541341238599</v>
      </c>
      <c r="BO223" s="12">
        <v>0.11464188662752001</v>
      </c>
      <c r="BP223" s="12">
        <v>0.18906941831518501</v>
      </c>
      <c r="BQ223" s="13">
        <v>93619</v>
      </c>
      <c r="BR223" s="13">
        <v>135287</v>
      </c>
      <c r="BS223" s="13">
        <v>1384442</v>
      </c>
      <c r="BT223" s="11">
        <v>695343</v>
      </c>
      <c r="BU223" s="11">
        <v>716655</v>
      </c>
      <c r="BV223" s="12">
        <v>3.0649621841307099E-2</v>
      </c>
      <c r="BW223" s="12">
        <v>0.56068723443561796</v>
      </c>
      <c r="BX223" s="12">
        <v>0.152566431243286</v>
      </c>
      <c r="BY223" s="12">
        <v>0.100944425988325</v>
      </c>
      <c r="BZ223" s="12">
        <v>0.22734391516129401</v>
      </c>
      <c r="CA223" s="14">
        <v>0.22753518766997</v>
      </c>
      <c r="CB223" s="98">
        <v>21400000</v>
      </c>
      <c r="CC223" s="83" t="s">
        <v>598</v>
      </c>
      <c r="CD223" s="83" t="s">
        <v>598</v>
      </c>
      <c r="CE223" s="83" t="s">
        <v>598</v>
      </c>
      <c r="CF223" s="83" t="s">
        <v>598</v>
      </c>
      <c r="CG223" s="90" t="str">
        <f t="shared" si="39"/>
        <v/>
      </c>
      <c r="CH223" s="90" t="str">
        <f t="shared" si="39"/>
        <v/>
      </c>
      <c r="CI223" s="90" t="str">
        <f t="shared" si="39"/>
        <v/>
      </c>
      <c r="CK223" s="98">
        <v>21400000</v>
      </c>
      <c r="CL223" s="83"/>
      <c r="CM223" s="83"/>
      <c r="CN223" s="83"/>
      <c r="CO223" s="83"/>
      <c r="CP223" s="90"/>
      <c r="CQ223" s="90"/>
      <c r="CR223" s="90"/>
    </row>
    <row r="224" spans="1:97" ht="37.5" thickTop="1" thickBot="1" x14ac:dyDescent="0.3">
      <c r="A224" s="3" t="s">
        <v>304</v>
      </c>
      <c r="B224" s="3">
        <v>1804</v>
      </c>
      <c r="C224" s="3" t="s">
        <v>250</v>
      </c>
      <c r="D224" s="16">
        <v>44812</v>
      </c>
      <c r="E224" s="16" t="s">
        <v>569</v>
      </c>
      <c r="F224" s="16" t="s">
        <v>659</v>
      </c>
      <c r="G224" s="17">
        <v>23792</v>
      </c>
      <c r="H224" s="17">
        <v>32000</v>
      </c>
      <c r="I224" s="17" t="s">
        <v>585</v>
      </c>
      <c r="J224" s="18"/>
      <c r="K224" s="18" t="s">
        <v>598</v>
      </c>
      <c r="L224" s="18"/>
      <c r="M224" s="18" t="s">
        <v>598</v>
      </c>
      <c r="N224" s="10">
        <v>32267</v>
      </c>
      <c r="O224" s="11">
        <v>20349</v>
      </c>
      <c r="P224" s="11">
        <v>15411</v>
      </c>
      <c r="Q224" s="11">
        <v>7744</v>
      </c>
      <c r="R224" s="12">
        <v>0.63064431152570699</v>
      </c>
      <c r="S224" s="12">
        <v>0.47760870238943798</v>
      </c>
      <c r="T224" s="12">
        <v>0.23999752068676999</v>
      </c>
      <c r="U224" s="12">
        <v>0.15303560913626901</v>
      </c>
      <c r="V224" s="12">
        <v>0.23761118170266801</v>
      </c>
      <c r="W224" s="12">
        <v>0.119378932035826</v>
      </c>
      <c r="X224" s="12">
        <v>0.12061858865094401</v>
      </c>
      <c r="Y224" s="13">
        <v>95366</v>
      </c>
      <c r="Z224" s="13">
        <v>116650</v>
      </c>
      <c r="AA224" s="13">
        <v>1410265</v>
      </c>
      <c r="AB224" s="11">
        <v>91582</v>
      </c>
      <c r="AC224" s="11">
        <v>97432</v>
      </c>
      <c r="AD224" s="12">
        <v>6.3877181105457398E-2</v>
      </c>
      <c r="AE224" s="12">
        <v>0.402194081838602</v>
      </c>
      <c r="AF224" s="12">
        <v>3.36529012251316E-2</v>
      </c>
      <c r="AG224" s="12">
        <v>3.70924417461947E-2</v>
      </c>
      <c r="AH224" s="12">
        <v>4.8601253521434302E-2</v>
      </c>
      <c r="AI224" s="14">
        <v>0.234008866371121</v>
      </c>
      <c r="AJ224" s="4">
        <v>62406</v>
      </c>
      <c r="AK224" s="5">
        <v>39296</v>
      </c>
      <c r="AL224" s="5">
        <v>29941</v>
      </c>
      <c r="AM224" s="5">
        <v>14908</v>
      </c>
      <c r="AN224" s="6">
        <v>0.62968304329711899</v>
      </c>
      <c r="AO224" s="6">
        <v>0.47977758548857502</v>
      </c>
      <c r="AP224" s="6">
        <v>0.23888728647886401</v>
      </c>
      <c r="AQ224" s="6">
        <v>0.149905457808544</v>
      </c>
      <c r="AR224" s="6">
        <v>0.24089029900971101</v>
      </c>
      <c r="AS224" s="6">
        <v>0.11732846200685799</v>
      </c>
      <c r="AT224" s="6">
        <v>0.121558824472006</v>
      </c>
      <c r="AU224" s="7">
        <v>95727</v>
      </c>
      <c r="AV224" s="7">
        <v>117011</v>
      </c>
      <c r="AW224" s="7">
        <v>1449941</v>
      </c>
      <c r="AX224" s="5">
        <v>171469</v>
      </c>
      <c r="AY224" s="5">
        <v>183662</v>
      </c>
      <c r="AZ224" s="6">
        <v>7.1109063445870702E-2</v>
      </c>
      <c r="BA224" s="6">
        <v>0.424862684517679</v>
      </c>
      <c r="BB224" s="6">
        <v>3.3189672768838697E-2</v>
      </c>
      <c r="BC224" s="6">
        <v>3.3102193399390002E-2</v>
      </c>
      <c r="BD224" s="6">
        <v>4.7775399634919398E-2</v>
      </c>
      <c r="BE224" s="8">
        <v>0.24291854504312699</v>
      </c>
      <c r="BF224" s="10">
        <v>87261</v>
      </c>
      <c r="BG224" s="11">
        <v>54685</v>
      </c>
      <c r="BH224" s="11">
        <v>41097</v>
      </c>
      <c r="BI224" s="11">
        <v>19822</v>
      </c>
      <c r="BJ224" s="12">
        <v>0.62668316888415199</v>
      </c>
      <c r="BK224" s="12">
        <v>0.47096641111149301</v>
      </c>
      <c r="BL224" s="12">
        <v>0.22715760763685999</v>
      </c>
      <c r="BM224" s="12">
        <v>0.155716757772659</v>
      </c>
      <c r="BN224" s="12">
        <v>0.24380880347463399</v>
      </c>
      <c r="BO224" s="12">
        <v>0.110587776899188</v>
      </c>
      <c r="BP224" s="12">
        <v>0.11656983073767201</v>
      </c>
      <c r="BQ224" s="13">
        <v>94153</v>
      </c>
      <c r="BR224" s="13">
        <v>115859</v>
      </c>
      <c r="BS224" s="13">
        <v>1416464</v>
      </c>
      <c r="BT224" s="11">
        <v>236956</v>
      </c>
      <c r="BU224" s="11">
        <v>253634</v>
      </c>
      <c r="BV224" s="12">
        <v>7.0384375158257198E-2</v>
      </c>
      <c r="BW224" s="12">
        <v>0.42409444659430801</v>
      </c>
      <c r="BX224" s="12">
        <v>3.3065210418811899E-2</v>
      </c>
      <c r="BY224" s="12">
        <v>3.05162139806546E-2</v>
      </c>
      <c r="BZ224" s="12">
        <v>4.9017539121187101E-2</v>
      </c>
      <c r="CA224" s="14">
        <v>0.248873208528166</v>
      </c>
      <c r="CB224" s="86">
        <f>IF(SUM(CC224:CF224)=0,"",SUM(CC224:CF224))</f>
        <v>13845225.336666331</v>
      </c>
      <c r="CC224" s="83">
        <v>4758098.31999991</v>
      </c>
      <c r="CD224" s="83">
        <v>5946459.6966664204</v>
      </c>
      <c r="CE224" s="83">
        <v>2231223.4399999902</v>
      </c>
      <c r="CF224" s="83">
        <v>909443.88000001002</v>
      </c>
      <c r="CG224" s="90">
        <f t="shared" si="39"/>
        <v>0.34366347995789071</v>
      </c>
      <c r="CH224" s="90">
        <f t="shared" si="39"/>
        <v>0.42949533518377647</v>
      </c>
      <c r="CI224" s="90">
        <f t="shared" si="39"/>
        <v>0.16115472198860048</v>
      </c>
      <c r="CK224" s="86">
        <f t="shared" si="40"/>
        <v>13446453</v>
      </c>
      <c r="CL224" s="83">
        <v>4467005</v>
      </c>
      <c r="CM224" s="83">
        <v>5859983</v>
      </c>
      <c r="CN224" s="83">
        <v>2193822</v>
      </c>
      <c r="CO224" s="83">
        <v>925643</v>
      </c>
      <c r="CP224" s="90">
        <f t="shared" si="41"/>
        <v>0.33220693962935804</v>
      </c>
      <c r="CQ224" s="90">
        <f t="shared" si="41"/>
        <v>0.43580139684420865</v>
      </c>
      <c r="CR224" s="90">
        <f t="shared" si="41"/>
        <v>0.16315246853575438</v>
      </c>
      <c r="CS224" s="153">
        <f>CK224/CB224-1</f>
        <v>-2.8802155759087622E-2</v>
      </c>
    </row>
    <row r="225" spans="1:96" ht="16.5" thickTop="1" thickBot="1" x14ac:dyDescent="0.3">
      <c r="A225" s="3" t="s">
        <v>297</v>
      </c>
      <c r="B225" s="3">
        <v>1142</v>
      </c>
      <c r="C225" s="3" t="s">
        <v>723</v>
      </c>
      <c r="D225" s="16">
        <v>45225</v>
      </c>
      <c r="E225" s="16" t="s">
        <v>552</v>
      </c>
      <c r="F225" s="16" t="s">
        <v>601</v>
      </c>
      <c r="G225" s="17">
        <f>H225*0.8</f>
        <v>22924</v>
      </c>
      <c r="H225" s="17">
        <v>28655</v>
      </c>
      <c r="I225" s="17" t="s">
        <v>585</v>
      </c>
      <c r="J225" s="18"/>
      <c r="K225" s="18"/>
      <c r="L225" s="18"/>
      <c r="M225" s="18" t="s">
        <v>598</v>
      </c>
      <c r="N225" s="137">
        <v>31596</v>
      </c>
      <c r="O225" s="138">
        <v>18492</v>
      </c>
      <c r="P225" s="138">
        <v>13535</v>
      </c>
      <c r="Q225" s="138">
        <v>6837</v>
      </c>
      <c r="R225" s="135">
        <v>0.58526395746297</v>
      </c>
      <c r="S225" s="135">
        <v>0.42837700974806903</v>
      </c>
      <c r="T225" s="135">
        <v>0.21638815039878501</v>
      </c>
      <c r="U225" s="135">
        <v>0.156886947714901</v>
      </c>
      <c r="V225" s="135">
        <v>0.21198885934928499</v>
      </c>
      <c r="W225" s="135">
        <v>0.11628054184073899</v>
      </c>
      <c r="X225" s="135">
        <v>0.100107608558045</v>
      </c>
      <c r="Y225" s="139">
        <v>86714</v>
      </c>
      <c r="Z225" s="139">
        <v>108139</v>
      </c>
      <c r="AA225" s="139">
        <v>1097782</v>
      </c>
      <c r="AB225" s="138">
        <v>85122</v>
      </c>
      <c r="AC225" s="138">
        <v>87001</v>
      </c>
      <c r="AD225" s="135">
        <v>2.2074199384413001E-2</v>
      </c>
      <c r="AE225" s="135">
        <v>0.264616059527224</v>
      </c>
      <c r="AF225" s="135">
        <v>0.28156058363290298</v>
      </c>
      <c r="AG225" s="135">
        <v>7.0557552689081607E-2</v>
      </c>
      <c r="AH225" s="135">
        <v>6.9688212213058903E-2</v>
      </c>
      <c r="AI225" s="136">
        <v>0.24157092173586101</v>
      </c>
      <c r="AJ225" s="137">
        <v>37229</v>
      </c>
      <c r="AK225" s="138">
        <v>22750</v>
      </c>
      <c r="AL225" s="138">
        <v>16955</v>
      </c>
      <c r="AM225" s="138">
        <v>8762</v>
      </c>
      <c r="AN225" s="135">
        <v>0.61108275806494905</v>
      </c>
      <c r="AO225" s="135">
        <v>0.45542453463697702</v>
      </c>
      <c r="AP225" s="135">
        <v>0.23535415939187199</v>
      </c>
      <c r="AQ225" s="135">
        <v>0.155658223427973</v>
      </c>
      <c r="AR225" s="135">
        <v>0.220070375245105</v>
      </c>
      <c r="AS225" s="135">
        <v>0.123989363130893</v>
      </c>
      <c r="AT225" s="135">
        <v>0.111364796260979</v>
      </c>
      <c r="AU225" s="139">
        <v>91270</v>
      </c>
      <c r="AV225" s="139">
        <v>113251</v>
      </c>
      <c r="AW225" s="139">
        <v>1253134</v>
      </c>
      <c r="AX225" s="138">
        <v>109142</v>
      </c>
      <c r="AY225" s="138">
        <v>112438</v>
      </c>
      <c r="AZ225" s="135">
        <v>3.0199190045995101E-2</v>
      </c>
      <c r="BA225" s="135">
        <v>0.25816762731228898</v>
      </c>
      <c r="BB225" s="135">
        <v>0.26972201352366598</v>
      </c>
      <c r="BC225" s="135">
        <v>7.7477048249069994E-2</v>
      </c>
      <c r="BD225" s="135">
        <v>9.5490278719466401E-2</v>
      </c>
      <c r="BE225" s="136">
        <v>0.25008704256839698</v>
      </c>
      <c r="BF225" s="141">
        <v>44937</v>
      </c>
      <c r="BG225" s="142">
        <v>28444</v>
      </c>
      <c r="BH225" s="142">
        <v>21430</v>
      </c>
      <c r="BI225" s="142">
        <v>11131</v>
      </c>
      <c r="BJ225" s="143">
        <v>0.63297505396443898</v>
      </c>
      <c r="BK225" s="143">
        <v>0.47688986803747502</v>
      </c>
      <c r="BL225" s="143">
        <v>0.24770233882991699</v>
      </c>
      <c r="BM225" s="143">
        <v>0.15608518592696399</v>
      </c>
      <c r="BN225" s="143">
        <v>0.229187529207557</v>
      </c>
      <c r="BO225" s="143">
        <v>0.129269866702272</v>
      </c>
      <c r="BP225" s="143">
        <v>0.118432472127645</v>
      </c>
      <c r="BQ225" s="144">
        <v>95321</v>
      </c>
      <c r="BR225" s="144">
        <v>116918</v>
      </c>
      <c r="BS225" s="144">
        <v>1347551</v>
      </c>
      <c r="BT225" s="142">
        <v>134004</v>
      </c>
      <c r="BU225" s="142">
        <v>140808</v>
      </c>
      <c r="BV225" s="143">
        <v>5.0774603743171803E-2</v>
      </c>
      <c r="BW225" s="143">
        <v>0.28233632753604698</v>
      </c>
      <c r="BX225" s="143">
        <v>0.25658189307781898</v>
      </c>
      <c r="BY225" s="143">
        <v>0.101429808065431</v>
      </c>
      <c r="BZ225" s="143">
        <v>0.103011850392526</v>
      </c>
      <c r="CA225" s="146">
        <v>0.24447777678278301</v>
      </c>
      <c r="CB225" s="98">
        <v>18700000</v>
      </c>
      <c r="CC225" s="83" t="s">
        <v>598</v>
      </c>
      <c r="CD225" s="83" t="s">
        <v>598</v>
      </c>
      <c r="CE225" s="83" t="s">
        <v>598</v>
      </c>
      <c r="CF225" s="83" t="s">
        <v>598</v>
      </c>
      <c r="CG225" s="90" t="str">
        <f t="shared" si="39"/>
        <v/>
      </c>
      <c r="CH225" s="90" t="str">
        <f t="shared" si="39"/>
        <v/>
      </c>
      <c r="CI225" s="90" t="str">
        <f t="shared" si="39"/>
        <v/>
      </c>
      <c r="CK225" s="98">
        <v>18700000</v>
      </c>
      <c r="CL225" s="83"/>
      <c r="CM225" s="83"/>
      <c r="CN225" s="83"/>
      <c r="CO225" s="83"/>
      <c r="CP225" s="90"/>
      <c r="CQ225" s="90"/>
      <c r="CR225" s="90"/>
    </row>
    <row r="226" spans="1:96" ht="49.5" thickTop="1" thickBot="1" x14ac:dyDescent="0.3">
      <c r="A226" s="3" t="s">
        <v>291</v>
      </c>
      <c r="B226" s="3" t="s">
        <v>748</v>
      </c>
      <c r="C226" s="3" t="s">
        <v>748</v>
      </c>
      <c r="D226" s="16" t="s">
        <v>741</v>
      </c>
      <c r="E226" s="16" t="s">
        <v>529</v>
      </c>
      <c r="F226" s="16" t="s">
        <v>747</v>
      </c>
      <c r="G226" s="17">
        <v>20561</v>
      </c>
      <c r="H226" s="17">
        <v>26272</v>
      </c>
      <c r="I226" s="17" t="s">
        <v>585</v>
      </c>
      <c r="J226" s="102"/>
      <c r="K226" s="102"/>
      <c r="L226" s="102"/>
      <c r="M226" s="102"/>
      <c r="N226" s="137">
        <v>14877</v>
      </c>
      <c r="O226" s="138">
        <v>12364</v>
      </c>
      <c r="P226" s="138">
        <v>10993</v>
      </c>
      <c r="Q226" s="138">
        <v>7545</v>
      </c>
      <c r="R226" s="135">
        <v>0.831081535255764</v>
      </c>
      <c r="S226" s="135">
        <v>0.73892585870807304</v>
      </c>
      <c r="T226" s="135">
        <v>0.50715870135107899</v>
      </c>
      <c r="U226" s="135">
        <v>9.2155676547691107E-2</v>
      </c>
      <c r="V226" s="135">
        <v>0.23176715735699399</v>
      </c>
      <c r="W226" s="135">
        <v>0.21872689386301</v>
      </c>
      <c r="X226" s="135">
        <v>0.28843180748806901</v>
      </c>
      <c r="Y226" s="139">
        <v>151091</v>
      </c>
      <c r="Z226" s="139">
        <v>182378</v>
      </c>
      <c r="AA226" s="139">
        <v>1953148</v>
      </c>
      <c r="AB226" s="138">
        <v>49013</v>
      </c>
      <c r="AC226" s="138">
        <v>55995</v>
      </c>
      <c r="AD226" s="135">
        <v>0.142452002529941</v>
      </c>
      <c r="AE226" s="135">
        <v>0.64061612482876096</v>
      </c>
      <c r="AF226" s="135">
        <v>0.112541570603717</v>
      </c>
      <c r="AG226" s="135">
        <v>0.21404525330014501</v>
      </c>
      <c r="AH226" s="135">
        <v>9.4260706343215095E-2</v>
      </c>
      <c r="AI226" s="136">
        <v>0.18978638320445601</v>
      </c>
      <c r="AJ226" s="141">
        <v>49205</v>
      </c>
      <c r="AK226" s="142">
        <v>40180</v>
      </c>
      <c r="AL226" s="142">
        <v>34989</v>
      </c>
      <c r="AM226" s="142">
        <v>22623</v>
      </c>
      <c r="AN226" s="143">
        <v>0.81658368052027197</v>
      </c>
      <c r="AO226" s="143">
        <v>0.71108627172035399</v>
      </c>
      <c r="AP226" s="143">
        <v>0.45977034854181498</v>
      </c>
      <c r="AQ226" s="143">
        <v>0.10549740879991901</v>
      </c>
      <c r="AR226" s="143">
        <v>0.25131592317853901</v>
      </c>
      <c r="AS226" s="143">
        <v>0.20087389492937699</v>
      </c>
      <c r="AT226" s="143">
        <v>0.25889645361243802</v>
      </c>
      <c r="AU226" s="144">
        <v>138740</v>
      </c>
      <c r="AV226" s="144">
        <v>173326</v>
      </c>
      <c r="AW226" s="144">
        <v>1880007</v>
      </c>
      <c r="AX226" s="142">
        <v>161716</v>
      </c>
      <c r="AY226" s="142">
        <v>183354</v>
      </c>
      <c r="AZ226" s="143">
        <v>0.133802468525069</v>
      </c>
      <c r="BA226" s="143">
        <v>0.62846068660022103</v>
      </c>
      <c r="BB226" s="143">
        <v>0.117588859482055</v>
      </c>
      <c r="BC226" s="143">
        <v>0.207326424101511</v>
      </c>
      <c r="BD226" s="143">
        <v>0.10067031091543199</v>
      </c>
      <c r="BE226" s="146">
        <v>0.18734695391921599</v>
      </c>
      <c r="BF226" s="137">
        <v>118173</v>
      </c>
      <c r="BG226" s="138">
        <v>92675</v>
      </c>
      <c r="BH226" s="138">
        <v>79351</v>
      </c>
      <c r="BI226" s="138">
        <v>50324</v>
      </c>
      <c r="BJ226" s="135">
        <v>0.78423159266499098</v>
      </c>
      <c r="BK226" s="135">
        <v>0.67148164132246801</v>
      </c>
      <c r="BL226" s="135">
        <v>0.42585023651764797</v>
      </c>
      <c r="BM226" s="135">
        <v>0.112749951342523</v>
      </c>
      <c r="BN226" s="135">
        <v>0.24563140480482001</v>
      </c>
      <c r="BO226" s="135">
        <v>0.18738628959237699</v>
      </c>
      <c r="BP226" s="135">
        <v>0.23846394692527101</v>
      </c>
      <c r="BQ226" s="139">
        <v>130023</v>
      </c>
      <c r="BR226" s="139">
        <v>164905</v>
      </c>
      <c r="BS226" s="139">
        <v>1549306</v>
      </c>
      <c r="BT226" s="138">
        <v>367639</v>
      </c>
      <c r="BU226" s="138">
        <v>419133</v>
      </c>
      <c r="BV226" s="135">
        <v>0.14006675026316601</v>
      </c>
      <c r="BW226" s="135">
        <v>0.61837805941361401</v>
      </c>
      <c r="BX226" s="135">
        <v>0.13282051142560999</v>
      </c>
      <c r="BY226" s="135">
        <v>0.18771947481088799</v>
      </c>
      <c r="BZ226" s="135">
        <v>0.10919679359371599</v>
      </c>
      <c r="CA226" s="136">
        <v>0.18331841833973</v>
      </c>
      <c r="CB226" s="107">
        <v>28000000</v>
      </c>
      <c r="CC226" s="107">
        <f>CB226*CG226</f>
        <v>7840000.0000000009</v>
      </c>
      <c r="CD226" s="107">
        <f>CB226*CH226</f>
        <v>16239999.999999998</v>
      </c>
      <c r="CG226" s="91">
        <v>0.28000000000000003</v>
      </c>
      <c r="CH226" s="91">
        <v>0.57999999999999996</v>
      </c>
      <c r="CI226" s="91">
        <f>1-CH226-CG226</f>
        <v>0.14000000000000001</v>
      </c>
      <c r="CK226" s="86" t="str">
        <f t="shared" si="40"/>
        <v/>
      </c>
      <c r="CL226" s="83" t="s">
        <v>598</v>
      </c>
      <c r="CM226" s="83" t="s">
        <v>598</v>
      </c>
      <c r="CN226" s="83" t="s">
        <v>598</v>
      </c>
      <c r="CO226" s="83" t="s">
        <v>598</v>
      </c>
      <c r="CP226" s="90" t="str">
        <f t="shared" si="41"/>
        <v/>
      </c>
      <c r="CQ226" s="90" t="str">
        <f t="shared" si="41"/>
        <v/>
      </c>
      <c r="CR226" s="90" t="str">
        <f t="shared" si="41"/>
        <v/>
      </c>
    </row>
    <row r="227" spans="1:96" ht="25.5" thickTop="1" thickBot="1" x14ac:dyDescent="0.3">
      <c r="A227" s="3" t="s">
        <v>312</v>
      </c>
      <c r="B227" s="3">
        <v>2605</v>
      </c>
      <c r="C227" s="3" t="s">
        <v>717</v>
      </c>
      <c r="D227" s="16">
        <v>45358</v>
      </c>
      <c r="E227" s="16" t="s">
        <v>579</v>
      </c>
      <c r="F227" s="16" t="s">
        <v>623</v>
      </c>
      <c r="G227" s="17">
        <v>25000</v>
      </c>
      <c r="H227" s="17">
        <v>38278</v>
      </c>
      <c r="I227" s="17" t="s">
        <v>585</v>
      </c>
      <c r="J227" s="18"/>
      <c r="K227" s="18"/>
      <c r="L227" s="18"/>
      <c r="M227" s="18" t="s">
        <v>598</v>
      </c>
      <c r="N227" s="137">
        <v>29789</v>
      </c>
      <c r="O227" s="138">
        <v>18557</v>
      </c>
      <c r="P227" s="138">
        <v>14238</v>
      </c>
      <c r="Q227" s="138">
        <v>8500</v>
      </c>
      <c r="R227" s="135">
        <v>0.62294806807882097</v>
      </c>
      <c r="S227" s="135">
        <v>0.477961663701366</v>
      </c>
      <c r="T227" s="135">
        <v>0.28534022625801497</v>
      </c>
      <c r="U227" s="135">
        <v>0.144986404377455</v>
      </c>
      <c r="V227" s="135">
        <v>0.192621437443352</v>
      </c>
      <c r="W227" s="135">
        <v>0.127631004733291</v>
      </c>
      <c r="X227" s="135">
        <v>0.157709221524724</v>
      </c>
      <c r="Y227" s="139">
        <v>95227</v>
      </c>
      <c r="Z227" s="139">
        <v>132383</v>
      </c>
      <c r="AA227" s="139">
        <v>1709627</v>
      </c>
      <c r="AB227" s="138">
        <v>72957</v>
      </c>
      <c r="AC227" s="138">
        <v>74273</v>
      </c>
      <c r="AD227" s="135">
        <v>1.80380223967543E-2</v>
      </c>
      <c r="AE227" s="135">
        <v>0.57662063674721897</v>
      </c>
      <c r="AF227" s="135">
        <v>5.0742218018833003E-2</v>
      </c>
      <c r="AG227" s="135">
        <v>0.13912304508134901</v>
      </c>
      <c r="AH227" s="135">
        <v>3.5089162109187597E-2</v>
      </c>
      <c r="AI227" s="136">
        <v>0.26156503145688598</v>
      </c>
      <c r="AJ227" s="141">
        <v>70177</v>
      </c>
      <c r="AK227" s="142">
        <v>44490</v>
      </c>
      <c r="AL227" s="142">
        <v>34774</v>
      </c>
      <c r="AM227" s="142">
        <v>20263</v>
      </c>
      <c r="AN227" s="143">
        <v>0.63396839420322904</v>
      </c>
      <c r="AO227" s="143">
        <v>0.49551847471393801</v>
      </c>
      <c r="AP227" s="143">
        <v>0.28874132550550802</v>
      </c>
      <c r="AQ227" s="143">
        <v>0.138449919489291</v>
      </c>
      <c r="AR227" s="143">
        <v>0.20677714920842999</v>
      </c>
      <c r="AS227" s="143">
        <v>0.129159126209442</v>
      </c>
      <c r="AT227" s="143">
        <v>0.15958219929606601</v>
      </c>
      <c r="AU227" s="144">
        <v>98966</v>
      </c>
      <c r="AV227" s="144">
        <v>135430</v>
      </c>
      <c r="AW227" s="144">
        <v>1808879</v>
      </c>
      <c r="AX227" s="142">
        <v>176456</v>
      </c>
      <c r="AY227" s="142">
        <v>178714</v>
      </c>
      <c r="AZ227" s="143">
        <v>1.2796391168336601E-2</v>
      </c>
      <c r="BA227" s="143">
        <v>0.55371082837119501</v>
      </c>
      <c r="BB227" s="143">
        <v>4.3398920977467503E-2</v>
      </c>
      <c r="BC227" s="143">
        <v>0.12997007752640899</v>
      </c>
      <c r="BD227" s="143">
        <v>4.5597769415604998E-2</v>
      </c>
      <c r="BE227" s="146">
        <v>0.26966495896994203</v>
      </c>
      <c r="BF227" s="137">
        <v>126747</v>
      </c>
      <c r="BG227" s="138">
        <v>78627</v>
      </c>
      <c r="BH227" s="138">
        <v>61205</v>
      </c>
      <c r="BI227" s="138">
        <v>35383</v>
      </c>
      <c r="BJ227" s="135">
        <v>0.62034604369334201</v>
      </c>
      <c r="BK227" s="135">
        <v>0.48289111379361999</v>
      </c>
      <c r="BL227" s="135">
        <v>0.27916242593513102</v>
      </c>
      <c r="BM227" s="135">
        <v>0.137454929899721</v>
      </c>
      <c r="BN227" s="135">
        <v>0.20372868785848999</v>
      </c>
      <c r="BO227" s="135">
        <v>0.120586680552597</v>
      </c>
      <c r="BP227" s="135">
        <v>0.15857574538253399</v>
      </c>
      <c r="BQ227" s="139">
        <v>96098</v>
      </c>
      <c r="BR227" s="139">
        <v>133973</v>
      </c>
      <c r="BS227" s="139">
        <v>1837279</v>
      </c>
      <c r="BT227" s="138">
        <v>327243</v>
      </c>
      <c r="BU227" s="138">
        <v>330360</v>
      </c>
      <c r="BV227" s="135">
        <v>9.5250318570603495E-3</v>
      </c>
      <c r="BW227" s="135">
        <v>0.51859440367601695</v>
      </c>
      <c r="BX227" s="135">
        <v>4.6604511020862202E-2</v>
      </c>
      <c r="BY227" s="135">
        <v>0.132152559413036</v>
      </c>
      <c r="BZ227" s="135">
        <v>6.6916633816460597E-2</v>
      </c>
      <c r="CA227" s="136">
        <v>0.277011272968406</v>
      </c>
      <c r="CB227" s="98">
        <v>17000000</v>
      </c>
      <c r="CC227" s="83" t="s">
        <v>598</v>
      </c>
      <c r="CD227" s="83" t="s">
        <v>598</v>
      </c>
      <c r="CE227" s="83" t="s">
        <v>598</v>
      </c>
      <c r="CF227" s="83" t="s">
        <v>598</v>
      </c>
      <c r="CG227" s="99">
        <v>0.38</v>
      </c>
      <c r="CH227" s="99">
        <v>0.44</v>
      </c>
      <c r="CI227" s="90" t="str">
        <f t="shared" ref="CI227:CI290" si="43">IFERROR(CE227/$CB227,"")</f>
        <v/>
      </c>
      <c r="CK227" s="98">
        <v>17000000</v>
      </c>
      <c r="CL227" s="83" t="s">
        <v>598</v>
      </c>
      <c r="CM227" s="83" t="s">
        <v>598</v>
      </c>
      <c r="CN227" s="83" t="s">
        <v>598</v>
      </c>
      <c r="CO227" s="83" t="s">
        <v>598</v>
      </c>
      <c r="CP227" s="99">
        <v>0.38</v>
      </c>
      <c r="CQ227" s="99">
        <v>0.44</v>
      </c>
      <c r="CR227" s="90" t="str">
        <f t="shared" si="41"/>
        <v/>
      </c>
    </row>
    <row r="228" spans="1:96" ht="37.5" thickTop="1" thickBot="1" x14ac:dyDescent="0.3">
      <c r="A228" s="3" t="s">
        <v>297</v>
      </c>
      <c r="B228" s="3">
        <v>1103</v>
      </c>
      <c r="C228" s="3" t="s">
        <v>169</v>
      </c>
      <c r="D228" s="16">
        <v>39737</v>
      </c>
      <c r="E228" s="16" t="s">
        <v>553</v>
      </c>
      <c r="F228" s="16" t="s">
        <v>438</v>
      </c>
      <c r="G228" s="17">
        <v>17438</v>
      </c>
      <c r="H228" s="17">
        <v>20251</v>
      </c>
      <c r="I228" s="17" t="s">
        <v>584</v>
      </c>
      <c r="J228" s="18"/>
      <c r="K228" s="18" t="s">
        <v>598</v>
      </c>
      <c r="L228" s="18" t="s">
        <v>519</v>
      </c>
      <c r="M228" s="18" t="s">
        <v>598</v>
      </c>
      <c r="N228" s="10">
        <v>68376</v>
      </c>
      <c r="O228" s="11">
        <v>44947</v>
      </c>
      <c r="P228" s="11">
        <v>37187</v>
      </c>
      <c r="Q228" s="11">
        <v>23293</v>
      </c>
      <c r="R228" s="12">
        <v>0.65735053235053198</v>
      </c>
      <c r="S228" s="12">
        <v>0.54386041886041903</v>
      </c>
      <c r="T228" s="12">
        <v>0.34066046566046598</v>
      </c>
      <c r="U228" s="12">
        <v>0.113490113490113</v>
      </c>
      <c r="V228" s="12">
        <v>0.20319995319995299</v>
      </c>
      <c r="W228" s="12">
        <v>0.13068913068913099</v>
      </c>
      <c r="X228" s="12">
        <v>0.20997133497133499</v>
      </c>
      <c r="Y228" s="13">
        <v>107561</v>
      </c>
      <c r="Z228" s="13">
        <v>142145</v>
      </c>
      <c r="AA228" s="13">
        <v>1599050</v>
      </c>
      <c r="AB228" s="11">
        <v>202084</v>
      </c>
      <c r="AC228" s="11">
        <v>208164</v>
      </c>
      <c r="AD228" s="12">
        <v>3.0086498683715698E-2</v>
      </c>
      <c r="AE228" s="12">
        <v>0.58595781984684203</v>
      </c>
      <c r="AF228" s="12">
        <v>0.23052295085212099</v>
      </c>
      <c r="AG228" s="12">
        <v>0.36696126363294501</v>
      </c>
      <c r="AH228" s="12">
        <v>2.0115397557451401E-2</v>
      </c>
      <c r="AI228" s="14">
        <v>0.23261119138576</v>
      </c>
      <c r="AJ228" s="4">
        <v>162484</v>
      </c>
      <c r="AK228" s="5">
        <v>101470</v>
      </c>
      <c r="AL228" s="5">
        <v>82460</v>
      </c>
      <c r="AM228" s="5">
        <v>49682</v>
      </c>
      <c r="AN228" s="6">
        <v>0.62449225769922001</v>
      </c>
      <c r="AO228" s="6">
        <v>0.50749612269515798</v>
      </c>
      <c r="AP228" s="6">
        <v>0.305765490756013</v>
      </c>
      <c r="AQ228" s="6">
        <v>0.116996135004062</v>
      </c>
      <c r="AR228" s="6">
        <v>0.20173063193914501</v>
      </c>
      <c r="AS228" s="6">
        <v>0.124726126880185</v>
      </c>
      <c r="AT228" s="6">
        <v>0.181039363875828</v>
      </c>
      <c r="AU228" s="7">
        <v>101198</v>
      </c>
      <c r="AV228" s="7">
        <v>131517</v>
      </c>
      <c r="AW228" s="7">
        <v>1302349</v>
      </c>
      <c r="AX228" s="5">
        <v>499675</v>
      </c>
      <c r="AY228" s="5">
        <v>524410</v>
      </c>
      <c r="AZ228" s="6">
        <v>4.9502176414669502E-2</v>
      </c>
      <c r="BA228" s="6">
        <v>0.492628482748665</v>
      </c>
      <c r="BB228" s="6">
        <v>0.38489217991694602</v>
      </c>
      <c r="BC228" s="6">
        <v>0.271628558563066</v>
      </c>
      <c r="BD228" s="6">
        <v>1.9680792515134798E-2</v>
      </c>
      <c r="BE228" s="8">
        <v>0.21138339920948601</v>
      </c>
      <c r="BF228" s="10">
        <v>255305</v>
      </c>
      <c r="BG228" s="11">
        <v>154389</v>
      </c>
      <c r="BH228" s="11">
        <v>124332</v>
      </c>
      <c r="BI228" s="11">
        <v>72947</v>
      </c>
      <c r="BJ228" s="12">
        <v>0.60472376177513198</v>
      </c>
      <c r="BK228" s="12">
        <v>0.486993987583479</v>
      </c>
      <c r="BL228" s="12">
        <v>0.28572491725583099</v>
      </c>
      <c r="BM228" s="12">
        <v>0.11772977419165299</v>
      </c>
      <c r="BN228" s="12">
        <v>0.20126907032764699</v>
      </c>
      <c r="BO228" s="12">
        <v>0.11850140028593301</v>
      </c>
      <c r="BP228" s="12">
        <v>0.16722351696989901</v>
      </c>
      <c r="BQ228" s="13">
        <v>96560</v>
      </c>
      <c r="BR228" s="13">
        <v>126647</v>
      </c>
      <c r="BS228" s="13">
        <v>1197092</v>
      </c>
      <c r="BT228" s="11">
        <v>823542</v>
      </c>
      <c r="BU228" s="11">
        <v>856191</v>
      </c>
      <c r="BV228" s="12">
        <v>3.9644608289559E-2</v>
      </c>
      <c r="BW228" s="12">
        <v>0.44140764227159301</v>
      </c>
      <c r="BX228" s="12">
        <v>0.438433012523951</v>
      </c>
      <c r="BY228" s="12">
        <v>0.233028795131274</v>
      </c>
      <c r="BZ228" s="12">
        <v>1.9272848257890898E-2</v>
      </c>
      <c r="CA228" s="14">
        <v>0.204396375655401</v>
      </c>
      <c r="CB228" s="86">
        <f t="shared" ref="CB228:CB236" si="44">IF(SUM(CC228:CF228)=0,"",SUM(CC228:CF228))</f>
        <v>22845303.413610242</v>
      </c>
      <c r="CC228" s="83">
        <v>8753094.73444416</v>
      </c>
      <c r="CD228" s="83">
        <v>10056132.833332799</v>
      </c>
      <c r="CE228" s="83">
        <v>2681924.8158332799</v>
      </c>
      <c r="CF228" s="83">
        <v>1354151.03</v>
      </c>
      <c r="CG228" s="90">
        <f t="shared" ref="CG228:CH236" si="45">IFERROR(CC228/$CB228,"")</f>
        <v>0.38314635511601242</v>
      </c>
      <c r="CH228" s="90">
        <f t="shared" si="45"/>
        <v>0.44018381595850425</v>
      </c>
      <c r="CI228" s="90">
        <f t="shared" si="43"/>
        <v>0.11739501845423096</v>
      </c>
      <c r="CK228" s="86">
        <f t="shared" si="40"/>
        <v>22035257</v>
      </c>
      <c r="CL228" s="83">
        <v>8138445</v>
      </c>
      <c r="CM228" s="83">
        <v>10000363</v>
      </c>
      <c r="CN228" s="83">
        <v>2573982</v>
      </c>
      <c r="CO228" s="83">
        <v>1322467</v>
      </c>
      <c r="CP228" s="90">
        <f t="shared" si="41"/>
        <v>0.36933742138791481</v>
      </c>
      <c r="CQ228" s="90">
        <f t="shared" si="41"/>
        <v>0.45383464327191647</v>
      </c>
      <c r="CR228" s="90">
        <f t="shared" si="41"/>
        <v>0.11681198000095937</v>
      </c>
    </row>
    <row r="229" spans="1:96" ht="61.5" thickTop="1" thickBot="1" x14ac:dyDescent="0.3">
      <c r="A229" s="3" t="s">
        <v>292</v>
      </c>
      <c r="B229" s="3">
        <v>609</v>
      </c>
      <c r="C229" s="3" t="s">
        <v>101</v>
      </c>
      <c r="D229" s="16">
        <v>37827</v>
      </c>
      <c r="E229" s="16" t="s">
        <v>536</v>
      </c>
      <c r="F229" s="16" t="s">
        <v>664</v>
      </c>
      <c r="G229" s="17">
        <v>18411</v>
      </c>
      <c r="H229" s="17">
        <v>21409</v>
      </c>
      <c r="I229" s="17" t="s">
        <v>585</v>
      </c>
      <c r="J229" s="18"/>
      <c r="K229" s="18" t="s">
        <v>598</v>
      </c>
      <c r="L229" s="18"/>
      <c r="M229" s="18" t="s">
        <v>598</v>
      </c>
      <c r="N229" s="10">
        <v>21647</v>
      </c>
      <c r="O229" s="11">
        <v>13159</v>
      </c>
      <c r="P229" s="11">
        <v>10465</v>
      </c>
      <c r="Q229" s="11">
        <v>5789</v>
      </c>
      <c r="R229" s="12">
        <v>0.60789023883217097</v>
      </c>
      <c r="S229" s="12">
        <v>0.48343881369242903</v>
      </c>
      <c r="T229" s="12">
        <v>0.26742735713955701</v>
      </c>
      <c r="U229" s="12">
        <v>0.124451425139742</v>
      </c>
      <c r="V229" s="12">
        <v>0.21601145655287099</v>
      </c>
      <c r="W229" s="12">
        <v>0.10726659583314101</v>
      </c>
      <c r="X229" s="12">
        <v>0.16016076130641699</v>
      </c>
      <c r="Y229" s="13">
        <v>95858</v>
      </c>
      <c r="Z229" s="13">
        <v>125964</v>
      </c>
      <c r="AA229" s="13">
        <v>1250246</v>
      </c>
      <c r="AB229" s="11">
        <v>52837</v>
      </c>
      <c r="AC229" s="11">
        <v>57494</v>
      </c>
      <c r="AD229" s="12">
        <v>8.8138993508336996E-2</v>
      </c>
      <c r="AE229" s="12">
        <v>0.56218214156685098</v>
      </c>
      <c r="AF229" s="12">
        <v>8.5962488407744606E-2</v>
      </c>
      <c r="AG229" s="12">
        <v>4.6955731778867103E-2</v>
      </c>
      <c r="AH229" s="12">
        <v>9.0466907659405293E-2</v>
      </c>
      <c r="AI229" s="14">
        <v>0.22622404754244199</v>
      </c>
      <c r="AJ229" s="4">
        <v>39025</v>
      </c>
      <c r="AK229" s="5">
        <v>24501</v>
      </c>
      <c r="AL229" s="5">
        <v>19404</v>
      </c>
      <c r="AM229" s="5">
        <v>11322</v>
      </c>
      <c r="AN229" s="6">
        <v>0.62782831518257498</v>
      </c>
      <c r="AO229" s="6">
        <v>0.49721973094170402</v>
      </c>
      <c r="AP229" s="6">
        <v>0.290121716848174</v>
      </c>
      <c r="AQ229" s="6">
        <v>0.13060858424087099</v>
      </c>
      <c r="AR229" s="6">
        <v>0.20709801409352999</v>
      </c>
      <c r="AS229" s="6">
        <v>0.111492632927611</v>
      </c>
      <c r="AT229" s="6">
        <v>0.17862908392056401</v>
      </c>
      <c r="AU229" s="7">
        <v>99311</v>
      </c>
      <c r="AV229" s="7">
        <v>132853</v>
      </c>
      <c r="AW229" s="7">
        <v>1506221</v>
      </c>
      <c r="AX229" s="5">
        <v>100095</v>
      </c>
      <c r="AY229" s="5">
        <v>108509</v>
      </c>
      <c r="AZ229" s="6">
        <v>8.4060142864278903E-2</v>
      </c>
      <c r="BA229" s="6">
        <v>0.57216441438107801</v>
      </c>
      <c r="BB229" s="6">
        <v>8.8266147160197803E-2</v>
      </c>
      <c r="BC229" s="6">
        <v>3.9592387232129503E-2</v>
      </c>
      <c r="BD229" s="6">
        <v>9.4550177331535007E-2</v>
      </c>
      <c r="BE229" s="8">
        <v>0.23645536740096901</v>
      </c>
      <c r="BF229" s="10">
        <v>56262</v>
      </c>
      <c r="BG229" s="11">
        <v>34897</v>
      </c>
      <c r="BH229" s="11">
        <v>27663</v>
      </c>
      <c r="BI229" s="11">
        <v>16494</v>
      </c>
      <c r="BJ229" s="12">
        <v>0.62025878923607403</v>
      </c>
      <c r="BK229" s="12">
        <v>0.49168177455476197</v>
      </c>
      <c r="BL229" s="12">
        <v>0.29316412498666899</v>
      </c>
      <c r="BM229" s="12">
        <v>0.128577014681312</v>
      </c>
      <c r="BN229" s="12">
        <v>0.19851764956809201</v>
      </c>
      <c r="BO229" s="12">
        <v>0.11286481106252901</v>
      </c>
      <c r="BP229" s="12">
        <v>0.180299313924141</v>
      </c>
      <c r="BQ229" s="13">
        <v>97942</v>
      </c>
      <c r="BR229" s="13">
        <v>132918</v>
      </c>
      <c r="BS229" s="13">
        <v>1582952</v>
      </c>
      <c r="BT229" s="11">
        <v>145422</v>
      </c>
      <c r="BU229" s="11">
        <v>159014</v>
      </c>
      <c r="BV229" s="12">
        <v>9.3465912998033293E-2</v>
      </c>
      <c r="BW229" s="12">
        <v>0.55942550101065502</v>
      </c>
      <c r="BX229" s="12">
        <v>8.2332796963320506E-2</v>
      </c>
      <c r="BY229" s="12">
        <v>3.86323939981571E-2</v>
      </c>
      <c r="BZ229" s="12">
        <v>0.120476956719066</v>
      </c>
      <c r="CA229" s="14">
        <v>0.243388208111565</v>
      </c>
      <c r="CB229" s="86">
        <f t="shared" si="44"/>
        <v>12695399.378076602</v>
      </c>
      <c r="CC229" s="83">
        <v>9886118.4880766105</v>
      </c>
      <c r="CD229" s="83">
        <v>103601.44</v>
      </c>
      <c r="CE229" s="83">
        <v>2108123.6299999901</v>
      </c>
      <c r="CF229" s="83">
        <v>597555.82000000298</v>
      </c>
      <c r="CG229" s="90">
        <f t="shared" si="45"/>
        <v>0.77871661959282079</v>
      </c>
      <c r="CH229" s="90">
        <f t="shared" si="45"/>
        <v>8.1605498901363427E-3</v>
      </c>
      <c r="CI229" s="90">
        <f t="shared" si="43"/>
        <v>0.16605414034004012</v>
      </c>
      <c r="CK229" s="86">
        <f t="shared" si="40"/>
        <v>14200310</v>
      </c>
      <c r="CL229" s="83">
        <v>10976514</v>
      </c>
      <c r="CM229" s="83">
        <v>131583</v>
      </c>
      <c r="CN229" s="83">
        <v>2360456</v>
      </c>
      <c r="CO229" s="83">
        <v>731757</v>
      </c>
      <c r="CP229" s="90">
        <f t="shared" si="41"/>
        <v>0.77297706881046968</v>
      </c>
      <c r="CQ229" s="90">
        <f t="shared" si="41"/>
        <v>9.2662061602880492E-3</v>
      </c>
      <c r="CR229" s="90">
        <f t="shared" si="41"/>
        <v>0.16622566690445489</v>
      </c>
    </row>
    <row r="230" spans="1:96" ht="49.5" thickTop="1" thickBot="1" x14ac:dyDescent="0.3">
      <c r="A230" s="3" t="s">
        <v>296</v>
      </c>
      <c r="B230" s="3">
        <v>1011</v>
      </c>
      <c r="C230" s="3" t="s">
        <v>164</v>
      </c>
      <c r="D230" s="16">
        <v>43951</v>
      </c>
      <c r="E230" s="16" t="s">
        <v>551</v>
      </c>
      <c r="F230" s="16" t="s">
        <v>435</v>
      </c>
      <c r="G230" s="17">
        <v>16294</v>
      </c>
      <c r="H230" s="17">
        <v>18019</v>
      </c>
      <c r="I230" s="17" t="s">
        <v>584</v>
      </c>
      <c r="J230" s="18"/>
      <c r="K230" s="18" t="s">
        <v>598</v>
      </c>
      <c r="L230" s="18"/>
      <c r="M230" s="18" t="s">
        <v>598</v>
      </c>
      <c r="N230" s="10">
        <v>16227</v>
      </c>
      <c r="O230" s="11">
        <v>11464</v>
      </c>
      <c r="P230" s="11">
        <v>9152</v>
      </c>
      <c r="Q230" s="11">
        <v>4943</v>
      </c>
      <c r="R230" s="12">
        <v>0.70647685955506301</v>
      </c>
      <c r="S230" s="12">
        <v>0.56399827448080397</v>
      </c>
      <c r="T230" s="12">
        <v>0.30461576385037298</v>
      </c>
      <c r="U230" s="12">
        <v>0.14247858507425901</v>
      </c>
      <c r="V230" s="12">
        <v>0.259382510630431</v>
      </c>
      <c r="W230" s="12">
        <v>0.153139828680594</v>
      </c>
      <c r="X230" s="12">
        <v>0.151475935169779</v>
      </c>
      <c r="Y230" s="13">
        <v>108251</v>
      </c>
      <c r="Z230" s="13">
        <v>129434</v>
      </c>
      <c r="AA230" s="13">
        <v>1344299</v>
      </c>
      <c r="AB230" s="11">
        <v>57141</v>
      </c>
      <c r="AC230" s="11">
        <v>63247</v>
      </c>
      <c r="AD230" s="12">
        <v>0.106858472900369</v>
      </c>
      <c r="AE230" s="12">
        <v>0.38979281282921702</v>
      </c>
      <c r="AF230" s="12">
        <v>0.198893964053832</v>
      </c>
      <c r="AG230" s="12">
        <v>2.9523459512434201E-2</v>
      </c>
      <c r="AH230" s="12">
        <v>4.5028963441311798E-2</v>
      </c>
      <c r="AI230" s="14">
        <v>0.16937050454139799</v>
      </c>
      <c r="AJ230" s="4">
        <v>44532</v>
      </c>
      <c r="AK230" s="5">
        <v>29581</v>
      </c>
      <c r="AL230" s="5">
        <v>22733</v>
      </c>
      <c r="AM230" s="5">
        <v>11555</v>
      </c>
      <c r="AN230" s="6">
        <v>0.66426390011676995</v>
      </c>
      <c r="AO230" s="6">
        <v>0.51048684092338104</v>
      </c>
      <c r="AP230" s="6">
        <v>0.25947633162669498</v>
      </c>
      <c r="AQ230" s="6">
        <v>0.15377705919338899</v>
      </c>
      <c r="AR230" s="6">
        <v>0.251010509296686</v>
      </c>
      <c r="AS230" s="6">
        <v>0.14099973053085399</v>
      </c>
      <c r="AT230" s="6">
        <v>0.118476601095841</v>
      </c>
      <c r="AU230" s="7">
        <v>101250</v>
      </c>
      <c r="AV230" s="7">
        <v>119594</v>
      </c>
      <c r="AW230" s="7">
        <v>1219443</v>
      </c>
      <c r="AX230" s="5">
        <v>146304</v>
      </c>
      <c r="AY230" s="5">
        <v>163152</v>
      </c>
      <c r="AZ230" s="6">
        <v>0.11515748031496099</v>
      </c>
      <c r="BA230" s="6">
        <v>0.38028905149297798</v>
      </c>
      <c r="BB230" s="6">
        <v>0.22120379483814501</v>
      </c>
      <c r="BC230" s="6">
        <v>3.8365321522309703E-2</v>
      </c>
      <c r="BD230" s="6">
        <v>4.38880686789151E-2</v>
      </c>
      <c r="BE230" s="8">
        <v>0.17603756561679801</v>
      </c>
      <c r="BF230" s="10">
        <v>88897</v>
      </c>
      <c r="BG230" s="11">
        <v>57818</v>
      </c>
      <c r="BH230" s="11">
        <v>44038</v>
      </c>
      <c r="BI230" s="11">
        <v>21816</v>
      </c>
      <c r="BJ230" s="12">
        <v>0.65039315162491396</v>
      </c>
      <c r="BK230" s="12">
        <v>0.495382296365457</v>
      </c>
      <c r="BL230" s="12">
        <v>0.24540760655590199</v>
      </c>
      <c r="BM230" s="12">
        <v>0.15501085525945801</v>
      </c>
      <c r="BN230" s="12">
        <v>0.24997468980955501</v>
      </c>
      <c r="BO230" s="12">
        <v>0.13585385333588301</v>
      </c>
      <c r="BP230" s="12">
        <v>0.10955375322001901</v>
      </c>
      <c r="BQ230" s="13">
        <v>99024</v>
      </c>
      <c r="BR230" s="13">
        <v>116560</v>
      </c>
      <c r="BS230" s="13">
        <v>1080992</v>
      </c>
      <c r="BT230" s="11">
        <v>288372</v>
      </c>
      <c r="BU230" s="11">
        <v>324757</v>
      </c>
      <c r="BV230" s="12">
        <v>0.12617383102381599</v>
      </c>
      <c r="BW230" s="12">
        <v>0.374238427601018</v>
      </c>
      <c r="BX230" s="12">
        <v>0.22572926636427901</v>
      </c>
      <c r="BY230" s="12">
        <v>4.9231548139209103E-2</v>
      </c>
      <c r="BZ230" s="12">
        <v>4.8229370396571103E-2</v>
      </c>
      <c r="CA230" s="14">
        <v>0.16393061739697301</v>
      </c>
      <c r="CB230" s="86">
        <f t="shared" si="44"/>
        <v>14547488.74999959</v>
      </c>
      <c r="CC230" s="83">
        <v>3872248.1299999198</v>
      </c>
      <c r="CD230" s="83">
        <v>7012743.0299996799</v>
      </c>
      <c r="CE230" s="83">
        <v>2477544.8299999801</v>
      </c>
      <c r="CF230" s="83">
        <v>1184952.76000001</v>
      </c>
      <c r="CG230" s="90">
        <f t="shared" si="45"/>
        <v>0.26617983327191291</v>
      </c>
      <c r="CH230" s="90">
        <f t="shared" si="45"/>
        <v>0.48205866665474323</v>
      </c>
      <c r="CI230" s="90">
        <f t="shared" si="43"/>
        <v>0.1703073893080034</v>
      </c>
      <c r="CK230" s="86">
        <f t="shared" si="40"/>
        <v>14478366</v>
      </c>
      <c r="CL230" s="83">
        <v>3801119</v>
      </c>
      <c r="CM230" s="83">
        <v>6956366</v>
      </c>
      <c r="CN230" s="83">
        <v>2493429</v>
      </c>
      <c r="CO230" s="83">
        <v>1227452</v>
      </c>
      <c r="CP230" s="90">
        <f t="shared" si="41"/>
        <v>0.26253784439487166</v>
      </c>
      <c r="CQ230" s="90">
        <f t="shared" si="41"/>
        <v>0.48046623493286467</v>
      </c>
      <c r="CR230" s="90">
        <f t="shared" si="41"/>
        <v>0.17221756930305532</v>
      </c>
    </row>
    <row r="231" spans="1:96" ht="37.5" thickTop="1" thickBot="1" x14ac:dyDescent="0.3">
      <c r="A231" s="3" t="s">
        <v>288</v>
      </c>
      <c r="B231" s="3">
        <v>221</v>
      </c>
      <c r="C231" s="3" t="s">
        <v>47</v>
      </c>
      <c r="D231" s="16">
        <v>44511</v>
      </c>
      <c r="E231" s="16" t="s">
        <v>521</v>
      </c>
      <c r="F231" s="16" t="s">
        <v>669</v>
      </c>
      <c r="G231" s="17">
        <v>14774</v>
      </c>
      <c r="H231" s="17">
        <v>18167</v>
      </c>
      <c r="I231" s="17" t="s">
        <v>585</v>
      </c>
      <c r="J231" s="18"/>
      <c r="K231" s="18" t="s">
        <v>598</v>
      </c>
      <c r="L231" s="18"/>
      <c r="M231" s="18" t="s">
        <v>598</v>
      </c>
      <c r="N231" s="10">
        <v>90138</v>
      </c>
      <c r="O231" s="11">
        <v>59720</v>
      </c>
      <c r="P231" s="11">
        <v>48773</v>
      </c>
      <c r="Q231" s="11">
        <v>31559</v>
      </c>
      <c r="R231" s="12">
        <v>0.66253966140806297</v>
      </c>
      <c r="S231" s="12">
        <v>0.54109254698351394</v>
      </c>
      <c r="T231" s="12">
        <v>0.350118706871686</v>
      </c>
      <c r="U231" s="12">
        <v>0.121447114424549</v>
      </c>
      <c r="V231" s="12">
        <v>0.190973840111829</v>
      </c>
      <c r="W231" s="12">
        <v>0.12983425414364599</v>
      </c>
      <c r="X231" s="12">
        <v>0.22028445272803901</v>
      </c>
      <c r="Y231" s="13">
        <v>107637</v>
      </c>
      <c r="Z231" s="13">
        <v>154259</v>
      </c>
      <c r="AA231" s="13">
        <v>1152013</v>
      </c>
      <c r="AB231" s="11">
        <v>186370</v>
      </c>
      <c r="AC231" s="11">
        <v>198762</v>
      </c>
      <c r="AD231" s="12">
        <v>6.6491388098943005E-2</v>
      </c>
      <c r="AE231" s="12">
        <v>0.68195789094835302</v>
      </c>
      <c r="AF231" s="12">
        <v>0.137479208027043</v>
      </c>
      <c r="AG231" s="12">
        <v>6.7339164028545395E-2</v>
      </c>
      <c r="AH231" s="12">
        <v>0.25819606159789699</v>
      </c>
      <c r="AI231" s="14">
        <v>0.218940816655041</v>
      </c>
      <c r="AJ231" s="4">
        <v>310328</v>
      </c>
      <c r="AK231" s="5">
        <v>189557</v>
      </c>
      <c r="AL231" s="5">
        <v>152647</v>
      </c>
      <c r="AM231" s="5">
        <v>96960</v>
      </c>
      <c r="AN231" s="6">
        <v>0.610827898223815</v>
      </c>
      <c r="AO231" s="6">
        <v>0.49188922688252401</v>
      </c>
      <c r="AP231" s="6">
        <v>0.31244360805341398</v>
      </c>
      <c r="AQ231" s="6">
        <v>0.11893867134129101</v>
      </c>
      <c r="AR231" s="6">
        <v>0.17944561882911</v>
      </c>
      <c r="AS231" s="6">
        <v>0.11962504189115999</v>
      </c>
      <c r="AT231" s="6">
        <v>0.19281856616225401</v>
      </c>
      <c r="AU231" s="7">
        <v>97857</v>
      </c>
      <c r="AV231" s="7">
        <v>140100</v>
      </c>
      <c r="AW231" s="7">
        <v>902107</v>
      </c>
      <c r="AX231" s="5">
        <v>660696</v>
      </c>
      <c r="AY231" s="5">
        <v>706304</v>
      </c>
      <c r="AZ231" s="6">
        <v>6.9030234782714001E-2</v>
      </c>
      <c r="BA231" s="6">
        <v>0.62968820232827605</v>
      </c>
      <c r="BB231" s="6">
        <v>0.14570695145725099</v>
      </c>
      <c r="BC231" s="6">
        <v>8.0698233378134601E-2</v>
      </c>
      <c r="BD231" s="6">
        <v>0.29719417099543499</v>
      </c>
      <c r="BE231" s="8">
        <v>0.20614473222177801</v>
      </c>
      <c r="BF231" s="10">
        <v>530205</v>
      </c>
      <c r="BG231" s="11">
        <v>327232</v>
      </c>
      <c r="BH231" s="11">
        <v>264590</v>
      </c>
      <c r="BI231" s="11">
        <v>170063</v>
      </c>
      <c r="BJ231" s="12">
        <v>0.61718014730151505</v>
      </c>
      <c r="BK231" s="12">
        <v>0.49903339274431602</v>
      </c>
      <c r="BL231" s="12">
        <v>0.32074952141153001</v>
      </c>
      <c r="BM231" s="12">
        <v>0.1181467545572</v>
      </c>
      <c r="BN231" s="12">
        <v>0.178283871332786</v>
      </c>
      <c r="BO231" s="12">
        <v>0.117386671193218</v>
      </c>
      <c r="BP231" s="12">
        <v>0.20336285021831199</v>
      </c>
      <c r="BQ231" s="13">
        <v>99742</v>
      </c>
      <c r="BR231" s="13">
        <v>143509</v>
      </c>
      <c r="BS231" s="13">
        <v>1051288</v>
      </c>
      <c r="BT231" s="11">
        <v>1182778</v>
      </c>
      <c r="BU231" s="11">
        <v>1254223</v>
      </c>
      <c r="BV231" s="12">
        <v>6.0404403869534301E-2</v>
      </c>
      <c r="BW231" s="12">
        <v>0.61118584586698799</v>
      </c>
      <c r="BX231" s="12">
        <v>0.15087277578717201</v>
      </c>
      <c r="BY231" s="12">
        <v>7.4412949851958704E-2</v>
      </c>
      <c r="BZ231" s="12">
        <v>0.32653887711810697</v>
      </c>
      <c r="CA231" s="14">
        <v>0.21489070645548</v>
      </c>
      <c r="CB231" s="86">
        <f t="shared" si="44"/>
        <v>15047936.086197868</v>
      </c>
      <c r="CC231" s="83">
        <v>11064619.450126501</v>
      </c>
      <c r="CD231" s="83">
        <v>246388.89</v>
      </c>
      <c r="CE231" s="83">
        <v>2961553.8260713601</v>
      </c>
      <c r="CF231" s="83">
        <v>775373.92000000505</v>
      </c>
      <c r="CG231" s="90">
        <f t="shared" si="45"/>
        <v>0.73529149690335882</v>
      </c>
      <c r="CH231" s="90">
        <f t="shared" si="45"/>
        <v>1.6373600245816473E-2</v>
      </c>
      <c r="CI231" s="90">
        <f t="shared" si="43"/>
        <v>0.19680797480178891</v>
      </c>
      <c r="CK231" s="86">
        <f t="shared" si="40"/>
        <v>15509722</v>
      </c>
      <c r="CL231" s="83">
        <v>11290004</v>
      </c>
      <c r="CM231" s="83">
        <v>287993</v>
      </c>
      <c r="CN231" s="83">
        <v>3150601</v>
      </c>
      <c r="CO231" s="83">
        <v>781124</v>
      </c>
      <c r="CP231" s="90">
        <f t="shared" si="41"/>
        <v>0.72793077786951954</v>
      </c>
      <c r="CQ231" s="90">
        <f t="shared" si="41"/>
        <v>1.8568546876597789E-2</v>
      </c>
      <c r="CR231" s="90">
        <f t="shared" si="41"/>
        <v>0.20313716777128565</v>
      </c>
    </row>
    <row r="232" spans="1:96" ht="49.5" thickTop="1" thickBot="1" x14ac:dyDescent="0.3">
      <c r="A232" s="3" t="s">
        <v>292</v>
      </c>
      <c r="B232" s="3">
        <v>613</v>
      </c>
      <c r="C232" s="3" t="s">
        <v>104</v>
      </c>
      <c r="D232" s="16">
        <v>40465</v>
      </c>
      <c r="E232" s="16" t="s">
        <v>536</v>
      </c>
      <c r="F232" s="16" t="s">
        <v>383</v>
      </c>
      <c r="G232" s="17">
        <v>12198</v>
      </c>
      <c r="H232" s="17">
        <v>15368</v>
      </c>
      <c r="I232" s="17" t="s">
        <v>584</v>
      </c>
      <c r="J232" s="18"/>
      <c r="K232" s="18" t="s">
        <v>598</v>
      </c>
      <c r="L232" s="18"/>
      <c r="M232" s="18" t="s">
        <v>598</v>
      </c>
      <c r="N232" s="10">
        <v>22849</v>
      </c>
      <c r="O232" s="11">
        <v>16075</v>
      </c>
      <c r="P232" s="11">
        <v>13335</v>
      </c>
      <c r="Q232" s="11">
        <v>9004</v>
      </c>
      <c r="R232" s="12">
        <v>0.70353188323340199</v>
      </c>
      <c r="S232" s="12">
        <v>0.58361416254540699</v>
      </c>
      <c r="T232" s="12">
        <v>0.39406538579368899</v>
      </c>
      <c r="U232" s="12">
        <v>0.119917720687995</v>
      </c>
      <c r="V232" s="12">
        <v>0.189548776751718</v>
      </c>
      <c r="W232" s="12">
        <v>0.124644404569128</v>
      </c>
      <c r="X232" s="12">
        <v>0.26942098122456098</v>
      </c>
      <c r="Y232" s="13">
        <v>117310</v>
      </c>
      <c r="Z232" s="13">
        <v>158010</v>
      </c>
      <c r="AA232" s="13">
        <v>2226677</v>
      </c>
      <c r="AB232" s="11">
        <v>61030</v>
      </c>
      <c r="AC232" s="11">
        <v>65057</v>
      </c>
      <c r="AD232" s="12">
        <v>6.5983942323447495E-2</v>
      </c>
      <c r="AE232" s="12">
        <v>0.68973123306720396</v>
      </c>
      <c r="AF232" s="12">
        <v>6.4001310830738997E-2</v>
      </c>
      <c r="AG232" s="12">
        <v>0.10961822054727199</v>
      </c>
      <c r="AH232" s="12">
        <v>6.65246600032771E-2</v>
      </c>
      <c r="AI232" s="14">
        <v>0.28086187121088002</v>
      </c>
      <c r="AJ232" s="4">
        <v>66168</v>
      </c>
      <c r="AK232" s="5">
        <v>44677</v>
      </c>
      <c r="AL232" s="5">
        <v>36898</v>
      </c>
      <c r="AM232" s="5">
        <v>24637</v>
      </c>
      <c r="AN232" s="6">
        <v>0.67520553741990097</v>
      </c>
      <c r="AO232" s="6">
        <v>0.55764115584572604</v>
      </c>
      <c r="AP232" s="6">
        <v>0.37234010397775402</v>
      </c>
      <c r="AQ232" s="6">
        <v>0.11756438157417499</v>
      </c>
      <c r="AR232" s="6">
        <v>0.18530105186797199</v>
      </c>
      <c r="AS232" s="6">
        <v>0.12324688671261</v>
      </c>
      <c r="AT232" s="6">
        <v>0.249093217265143</v>
      </c>
      <c r="AU232" s="7">
        <v>111573</v>
      </c>
      <c r="AV232" s="7">
        <v>151892</v>
      </c>
      <c r="AW232" s="7">
        <v>2080707</v>
      </c>
      <c r="AX232" s="5">
        <v>175118</v>
      </c>
      <c r="AY232" s="5">
        <v>187516</v>
      </c>
      <c r="AZ232" s="6">
        <v>7.0797976221747605E-2</v>
      </c>
      <c r="BA232" s="6">
        <v>0.65126283886176095</v>
      </c>
      <c r="BB232" s="6">
        <v>7.0146986603318903E-2</v>
      </c>
      <c r="BC232" s="6">
        <v>9.3496956338012097E-2</v>
      </c>
      <c r="BD232" s="6">
        <v>8.3343802464623806E-2</v>
      </c>
      <c r="BE232" s="8">
        <v>0.26135520049338201</v>
      </c>
      <c r="BF232" s="10">
        <v>120347</v>
      </c>
      <c r="BG232" s="11">
        <v>74758</v>
      </c>
      <c r="BH232" s="11">
        <v>60217</v>
      </c>
      <c r="BI232" s="11">
        <v>38535</v>
      </c>
      <c r="BJ232" s="12">
        <v>0.62118706739677798</v>
      </c>
      <c r="BK232" s="12">
        <v>0.50036145479322303</v>
      </c>
      <c r="BL232" s="12">
        <v>0.32019909096196802</v>
      </c>
      <c r="BM232" s="12">
        <v>0.120825612603555</v>
      </c>
      <c r="BN232" s="12">
        <v>0.180162363831255</v>
      </c>
      <c r="BO232" s="12">
        <v>0.110372506169659</v>
      </c>
      <c r="BP232" s="12">
        <v>0.20982658479230901</v>
      </c>
      <c r="BQ232" s="13">
        <v>100066</v>
      </c>
      <c r="BR232" s="13">
        <v>138430</v>
      </c>
      <c r="BS232" s="13">
        <v>1782290</v>
      </c>
      <c r="BT232" s="11">
        <v>310030</v>
      </c>
      <c r="BU232" s="11">
        <v>334065</v>
      </c>
      <c r="BV232" s="12">
        <v>7.7524755668806206E-2</v>
      </c>
      <c r="BW232" s="12">
        <v>0.61541247504086405</v>
      </c>
      <c r="BX232" s="12">
        <v>8.8913976066832198E-2</v>
      </c>
      <c r="BY232" s="12">
        <v>7.6802244944037701E-2</v>
      </c>
      <c r="BZ232" s="12">
        <v>0.111089249427475</v>
      </c>
      <c r="CA232" s="14">
        <v>0.24717930522852599</v>
      </c>
      <c r="CB232" s="86">
        <f t="shared" si="44"/>
        <v>14963738.238332866</v>
      </c>
      <c r="CC232" s="83">
        <v>11417878.1883329</v>
      </c>
      <c r="CD232" s="83">
        <v>94436.879999999801</v>
      </c>
      <c r="CE232" s="83">
        <v>2689185.6299999598</v>
      </c>
      <c r="CF232" s="83">
        <v>762237.54000000597</v>
      </c>
      <c r="CG232" s="90">
        <f t="shared" si="45"/>
        <v>0.76303648235997112</v>
      </c>
      <c r="CH232" s="90">
        <f t="shared" si="45"/>
        <v>6.3110486494664291E-3</v>
      </c>
      <c r="CI232" s="90">
        <f t="shared" si="43"/>
        <v>0.17971349051743146</v>
      </c>
      <c r="CK232" s="86">
        <f t="shared" si="40"/>
        <v>15172054</v>
      </c>
      <c r="CL232" s="83">
        <v>11575208</v>
      </c>
      <c r="CM232" s="83">
        <v>110300</v>
      </c>
      <c r="CN232" s="83">
        <v>2708844</v>
      </c>
      <c r="CO232" s="83">
        <v>777702</v>
      </c>
      <c r="CP232" s="90">
        <f t="shared" si="41"/>
        <v>0.76292952819703908</v>
      </c>
      <c r="CQ232" s="90">
        <f t="shared" si="41"/>
        <v>7.2699451241077838E-3</v>
      </c>
      <c r="CR232" s="90">
        <f t="shared" si="41"/>
        <v>0.17854167932700477</v>
      </c>
    </row>
    <row r="233" spans="1:96" ht="37.5" thickTop="1" thickBot="1" x14ac:dyDescent="0.3">
      <c r="A233" s="3" t="s">
        <v>291</v>
      </c>
      <c r="B233" s="3">
        <v>521</v>
      </c>
      <c r="C233" s="3" t="s">
        <v>76</v>
      </c>
      <c r="D233" s="16">
        <v>42873</v>
      </c>
      <c r="E233" s="16" t="s">
        <v>529</v>
      </c>
      <c r="F233" s="16" t="s">
        <v>358</v>
      </c>
      <c r="G233" s="17">
        <v>17186</v>
      </c>
      <c r="H233" s="17">
        <v>22750</v>
      </c>
      <c r="I233" s="17" t="s">
        <v>584</v>
      </c>
      <c r="J233" s="18"/>
      <c r="K233" s="18" t="s">
        <v>598</v>
      </c>
      <c r="L233" s="18" t="s">
        <v>587</v>
      </c>
      <c r="M233" s="18" t="s">
        <v>598</v>
      </c>
      <c r="N233" s="10">
        <v>36307</v>
      </c>
      <c r="O233" s="11">
        <v>22764</v>
      </c>
      <c r="P233" s="11">
        <v>18142</v>
      </c>
      <c r="Q233" s="11">
        <v>10552</v>
      </c>
      <c r="R233" s="12">
        <v>0.626986531522847</v>
      </c>
      <c r="S233" s="12">
        <v>0.49968325667226698</v>
      </c>
      <c r="T233" s="12">
        <v>0.29063266036852398</v>
      </c>
      <c r="U233" s="12">
        <v>0.12730327485057999</v>
      </c>
      <c r="V233" s="12">
        <v>0.20905059630374301</v>
      </c>
      <c r="W233" s="12">
        <v>0.11650645880959599</v>
      </c>
      <c r="X233" s="12">
        <v>0.174126201558928</v>
      </c>
      <c r="Y233" s="13">
        <v>99920</v>
      </c>
      <c r="Z233" s="13">
        <v>128133</v>
      </c>
      <c r="AA233" s="13">
        <v>1217674</v>
      </c>
      <c r="AB233" s="11">
        <v>105175</v>
      </c>
      <c r="AC233" s="11">
        <v>118050</v>
      </c>
      <c r="AD233" s="12">
        <v>0.122415022581412</v>
      </c>
      <c r="AE233" s="12">
        <v>0.56536409174011903</v>
      </c>
      <c r="AF233" s="12">
        <v>0.11564535298312301</v>
      </c>
      <c r="AG233" s="12">
        <v>0.19992393629664801</v>
      </c>
      <c r="AH233" s="12">
        <v>0.108552412645591</v>
      </c>
      <c r="AI233" s="14">
        <v>0.214499643451391</v>
      </c>
      <c r="AJ233" s="4">
        <v>90864</v>
      </c>
      <c r="AK233" s="5">
        <v>56620</v>
      </c>
      <c r="AL233" s="5">
        <v>45104</v>
      </c>
      <c r="AM233" s="5">
        <v>26214</v>
      </c>
      <c r="AN233" s="6">
        <v>0.62312907201972201</v>
      </c>
      <c r="AO233" s="6">
        <v>0.49639020954393398</v>
      </c>
      <c r="AP233" s="6">
        <v>0.28849709455890099</v>
      </c>
      <c r="AQ233" s="6">
        <v>0.126738862475788</v>
      </c>
      <c r="AR233" s="6">
        <v>0.20789311498503299</v>
      </c>
      <c r="AS233" s="6">
        <v>0.12503301637612299</v>
      </c>
      <c r="AT233" s="6">
        <v>0.163464078182779</v>
      </c>
      <c r="AU233" s="7">
        <v>99087</v>
      </c>
      <c r="AV233" s="7">
        <v>126059</v>
      </c>
      <c r="AW233" s="7">
        <v>1249467</v>
      </c>
      <c r="AX233" s="5">
        <v>257707</v>
      </c>
      <c r="AY233" s="5">
        <v>290600</v>
      </c>
      <c r="AZ233" s="6">
        <v>0.12763720038648499</v>
      </c>
      <c r="BA233" s="6">
        <v>0.55921013288043198</v>
      </c>
      <c r="BB233" s="6">
        <v>0.121750670334915</v>
      </c>
      <c r="BC233" s="6">
        <v>0.18841552615955301</v>
      </c>
      <c r="BD233" s="6">
        <v>0.11255806012254201</v>
      </c>
      <c r="BE233" s="8">
        <v>0.21623005971898299</v>
      </c>
      <c r="BF233" s="10">
        <v>160721</v>
      </c>
      <c r="BG233" s="11">
        <v>102516</v>
      </c>
      <c r="BH233" s="11">
        <v>81589</v>
      </c>
      <c r="BI233" s="11">
        <v>48219</v>
      </c>
      <c r="BJ233" s="12">
        <v>0.63785068534914502</v>
      </c>
      <c r="BK233" s="12">
        <v>0.507643680664008</v>
      </c>
      <c r="BL233" s="12">
        <v>0.30001679929816299</v>
      </c>
      <c r="BM233" s="12">
        <v>0.13020700468513799</v>
      </c>
      <c r="BN233" s="12">
        <v>0.20762688136584501</v>
      </c>
      <c r="BO233" s="12">
        <v>0.13201137374705199</v>
      </c>
      <c r="BP233" s="12">
        <v>0.16800542555111</v>
      </c>
      <c r="BQ233" s="13">
        <v>101176</v>
      </c>
      <c r="BR233" s="13">
        <v>128190</v>
      </c>
      <c r="BS233" s="13">
        <v>1315920</v>
      </c>
      <c r="BT233" s="11">
        <v>466514</v>
      </c>
      <c r="BU233" s="11">
        <v>522339</v>
      </c>
      <c r="BV233" s="12">
        <v>0.119664147271036</v>
      </c>
      <c r="BW233" s="12">
        <v>0.55408789199644903</v>
      </c>
      <c r="BX233" s="12">
        <v>0.14496027986298399</v>
      </c>
      <c r="BY233" s="12">
        <v>0.18929764165705601</v>
      </c>
      <c r="BZ233" s="12">
        <v>0.11381866353421299</v>
      </c>
      <c r="CA233" s="14">
        <v>0.219217429702003</v>
      </c>
      <c r="CB233" s="86">
        <f t="shared" si="44"/>
        <v>28554516.502499282</v>
      </c>
      <c r="CC233" s="83">
        <v>7958687.5099998098</v>
      </c>
      <c r="CD233" s="83">
        <v>16657217.4699995</v>
      </c>
      <c r="CE233" s="83">
        <v>2647279.5324999602</v>
      </c>
      <c r="CF233" s="83">
        <v>1291331.99000001</v>
      </c>
      <c r="CG233" s="90">
        <f t="shared" si="45"/>
        <v>0.27871904289828237</v>
      </c>
      <c r="CH233" s="90">
        <f t="shared" si="45"/>
        <v>0.58334790815111681</v>
      </c>
      <c r="CI233" s="90">
        <f t="shared" si="43"/>
        <v>9.2709660563443708E-2</v>
      </c>
      <c r="CK233" s="86">
        <f t="shared" si="40"/>
        <v>27356792</v>
      </c>
      <c r="CL233" s="83">
        <v>7508052</v>
      </c>
      <c r="CM233" s="83">
        <v>16126188</v>
      </c>
      <c r="CN233" s="83">
        <v>2522159</v>
      </c>
      <c r="CO233" s="83">
        <v>1200393</v>
      </c>
      <c r="CP233" s="90">
        <f t="shared" si="41"/>
        <v>0.27444928484304737</v>
      </c>
      <c r="CQ233" s="90">
        <f t="shared" si="41"/>
        <v>0.58947657313035828</v>
      </c>
      <c r="CR233" s="90">
        <f t="shared" si="41"/>
        <v>9.2194983973267045E-2</v>
      </c>
    </row>
    <row r="234" spans="1:96" ht="37.5" thickTop="1" thickBot="1" x14ac:dyDescent="0.3">
      <c r="A234" s="3" t="s">
        <v>290</v>
      </c>
      <c r="B234" s="3">
        <v>402</v>
      </c>
      <c r="C234" s="3" t="s">
        <v>55</v>
      </c>
      <c r="D234" s="16">
        <v>35749</v>
      </c>
      <c r="E234" s="16" t="s">
        <v>528</v>
      </c>
      <c r="F234" s="16" t="s">
        <v>338</v>
      </c>
      <c r="G234" s="17">
        <v>29271</v>
      </c>
      <c r="H234" s="17">
        <v>42987</v>
      </c>
      <c r="I234" s="17" t="s">
        <v>585</v>
      </c>
      <c r="J234" s="18" t="s">
        <v>581</v>
      </c>
      <c r="K234" s="18" t="s">
        <v>519</v>
      </c>
      <c r="L234" s="18"/>
      <c r="M234" s="18" t="s">
        <v>598</v>
      </c>
      <c r="N234" s="10">
        <v>24088</v>
      </c>
      <c r="O234" s="11">
        <v>13620</v>
      </c>
      <c r="P234" s="11">
        <v>9702</v>
      </c>
      <c r="Q234" s="11">
        <v>4705</v>
      </c>
      <c r="R234" s="12">
        <v>0.56542676851544305</v>
      </c>
      <c r="S234" s="12">
        <v>0.40277316506144101</v>
      </c>
      <c r="T234" s="12">
        <v>0.19532547326469599</v>
      </c>
      <c r="U234" s="12">
        <v>0.16265360345400201</v>
      </c>
      <c r="V234" s="12">
        <v>0.20744769179674499</v>
      </c>
      <c r="W234" s="12">
        <v>0.10469943540352</v>
      </c>
      <c r="X234" s="12">
        <v>9.0626037861175707E-2</v>
      </c>
      <c r="Y234" s="13">
        <v>83244</v>
      </c>
      <c r="Z234" s="13">
        <v>103525</v>
      </c>
      <c r="AA234" s="13">
        <v>654531</v>
      </c>
      <c r="AB234" s="11">
        <v>63119</v>
      </c>
      <c r="AC234" s="11">
        <v>65533</v>
      </c>
      <c r="AD234" s="12">
        <v>3.8245219347581599E-2</v>
      </c>
      <c r="AE234" s="12">
        <v>0.42867393800229597</v>
      </c>
      <c r="AF234" s="12">
        <v>0.19929022956637499</v>
      </c>
      <c r="AG234" s="12">
        <v>9.3806936104817898E-2</v>
      </c>
      <c r="AH234" s="12">
        <v>0.44636321868217199</v>
      </c>
      <c r="AI234" s="14">
        <v>0.20298166954482799</v>
      </c>
      <c r="AJ234" s="4">
        <v>51979</v>
      </c>
      <c r="AK234" s="5">
        <v>32056</v>
      </c>
      <c r="AL234" s="5">
        <v>23969</v>
      </c>
      <c r="AM234" s="5">
        <v>12585</v>
      </c>
      <c r="AN234" s="6">
        <v>0.61671059466322897</v>
      </c>
      <c r="AO234" s="6">
        <v>0.46112853267665799</v>
      </c>
      <c r="AP234" s="6">
        <v>0.24211700879201201</v>
      </c>
      <c r="AQ234" s="6">
        <v>0.15558206198657201</v>
      </c>
      <c r="AR234" s="6">
        <v>0.21901152388464601</v>
      </c>
      <c r="AS234" s="6">
        <v>0.121856903749591</v>
      </c>
      <c r="AT234" s="6">
        <v>0.120260105042421</v>
      </c>
      <c r="AU234" s="7">
        <v>92318</v>
      </c>
      <c r="AV234" s="7">
        <v>115389</v>
      </c>
      <c r="AW234" s="7">
        <v>1049169</v>
      </c>
      <c r="AX234" s="5">
        <v>146619</v>
      </c>
      <c r="AY234" s="5">
        <v>153685</v>
      </c>
      <c r="AZ234" s="6">
        <v>4.81929354312879E-2</v>
      </c>
      <c r="BA234" s="6">
        <v>0.460735171261487</v>
      </c>
      <c r="BB234" s="6">
        <v>0.16596075542733199</v>
      </c>
      <c r="BC234" s="6">
        <v>0.100225755188618</v>
      </c>
      <c r="BD234" s="6">
        <v>0.42895531956976901</v>
      </c>
      <c r="BE234" s="8">
        <v>0.21264638280168299</v>
      </c>
      <c r="BF234" s="10">
        <v>109379</v>
      </c>
      <c r="BG234" s="11">
        <v>71615</v>
      </c>
      <c r="BH234" s="11">
        <v>55204</v>
      </c>
      <c r="BI234" s="11">
        <v>30091</v>
      </c>
      <c r="BJ234" s="12">
        <v>0.65474176944385998</v>
      </c>
      <c r="BK234" s="12">
        <v>0.50470382797429103</v>
      </c>
      <c r="BL234" s="12">
        <v>0.27510765320582597</v>
      </c>
      <c r="BM234" s="12">
        <v>0.150037941469569</v>
      </c>
      <c r="BN234" s="12">
        <v>0.229596174768466</v>
      </c>
      <c r="BO234" s="12">
        <v>0.13179860850803199</v>
      </c>
      <c r="BP234" s="12">
        <v>0.14330904469779401</v>
      </c>
      <c r="BQ234" s="13">
        <v>100633</v>
      </c>
      <c r="BR234" s="13">
        <v>124873</v>
      </c>
      <c r="BS234" s="13">
        <v>1347825</v>
      </c>
      <c r="BT234" s="11">
        <v>306430</v>
      </c>
      <c r="BU234" s="11">
        <v>322235</v>
      </c>
      <c r="BV234" s="12">
        <v>5.1577848121920199E-2</v>
      </c>
      <c r="BW234" s="12">
        <v>0.49390379933460699</v>
      </c>
      <c r="BX234" s="12">
        <v>0.138152269686388</v>
      </c>
      <c r="BY234" s="12">
        <v>0.114597134745293</v>
      </c>
      <c r="BZ234" s="12">
        <v>0.38713572430897802</v>
      </c>
      <c r="CA234" s="14">
        <v>0.22426655353588101</v>
      </c>
      <c r="CB234" s="86">
        <f t="shared" si="44"/>
        <v>68662413.102204144</v>
      </c>
      <c r="CC234" s="83">
        <v>27826024.208262999</v>
      </c>
      <c r="CD234" s="83">
        <v>26568600.815774899</v>
      </c>
      <c r="CE234" s="83">
        <v>11176968.8461663</v>
      </c>
      <c r="CF234" s="83">
        <v>3090819.23199995</v>
      </c>
      <c r="CG234" s="90">
        <f t="shared" si="45"/>
        <v>0.40525846603794574</v>
      </c>
      <c r="CH234" s="90">
        <f t="shared" si="45"/>
        <v>0.38694534047656443</v>
      </c>
      <c r="CI234" s="90">
        <f t="shared" si="43"/>
        <v>0.16278147448050448</v>
      </c>
      <c r="CK234" s="86">
        <f t="shared" si="40"/>
        <v>69591034</v>
      </c>
      <c r="CL234" s="83">
        <v>27201572</v>
      </c>
      <c r="CM234" s="83">
        <v>28118741</v>
      </c>
      <c r="CN234" s="83">
        <v>11237968</v>
      </c>
      <c r="CO234" s="83">
        <v>3032753</v>
      </c>
      <c r="CP234" s="90">
        <f t="shared" si="41"/>
        <v>0.39087753747127829</v>
      </c>
      <c r="CQ234" s="90">
        <f t="shared" si="41"/>
        <v>0.40405695078478071</v>
      </c>
      <c r="CR234" s="90">
        <f t="shared" si="41"/>
        <v>0.16148586037678359</v>
      </c>
    </row>
    <row r="235" spans="1:96" ht="37.5" thickTop="1" thickBot="1" x14ac:dyDescent="0.3">
      <c r="A235" s="3" t="s">
        <v>297</v>
      </c>
      <c r="B235" s="3">
        <v>1123</v>
      </c>
      <c r="C235" s="3" t="s">
        <v>189</v>
      </c>
      <c r="D235" s="16">
        <v>43055</v>
      </c>
      <c r="E235" s="16" t="s">
        <v>553</v>
      </c>
      <c r="F235" s="16" t="s">
        <v>457</v>
      </c>
      <c r="G235" s="17">
        <v>17841</v>
      </c>
      <c r="H235" s="17">
        <v>22386</v>
      </c>
      <c r="I235" s="17" t="s">
        <v>584</v>
      </c>
      <c r="J235" s="18"/>
      <c r="K235" s="18" t="s">
        <v>598</v>
      </c>
      <c r="L235" s="18"/>
      <c r="M235" s="18" t="s">
        <v>598</v>
      </c>
      <c r="N235" s="10">
        <v>30112</v>
      </c>
      <c r="O235" s="11">
        <v>18264</v>
      </c>
      <c r="P235" s="11">
        <v>13302</v>
      </c>
      <c r="Q235" s="11">
        <v>6457</v>
      </c>
      <c r="R235" s="12">
        <v>0.60653560042508003</v>
      </c>
      <c r="S235" s="12">
        <v>0.44175079702444198</v>
      </c>
      <c r="T235" s="12">
        <v>0.21443278427205101</v>
      </c>
      <c r="U235" s="12">
        <v>0.164784803400638</v>
      </c>
      <c r="V235" s="12">
        <v>0.227318012752391</v>
      </c>
      <c r="W235" s="12">
        <v>9.2986184909670602E-2</v>
      </c>
      <c r="X235" s="12">
        <v>0.12144659936238</v>
      </c>
      <c r="Y235" s="13">
        <v>89366</v>
      </c>
      <c r="Z235" s="13">
        <v>112804</v>
      </c>
      <c r="AA235" s="13">
        <v>1178762</v>
      </c>
      <c r="AB235" s="11">
        <v>92118</v>
      </c>
      <c r="AC235" s="11">
        <v>96898</v>
      </c>
      <c r="AD235" s="12">
        <v>5.1889967215962098E-2</v>
      </c>
      <c r="AE235" s="12">
        <v>0.31867111798713499</v>
      </c>
      <c r="AF235" s="12">
        <v>0.33078225753924301</v>
      </c>
      <c r="AG235" s="12">
        <v>0.115731995918279</v>
      </c>
      <c r="AH235" s="12">
        <v>5.5971688486506403E-2</v>
      </c>
      <c r="AI235" s="14">
        <v>0.222931457478452</v>
      </c>
      <c r="AJ235" s="4">
        <v>59778</v>
      </c>
      <c r="AK235" s="5">
        <v>37470</v>
      </c>
      <c r="AL235" s="5">
        <v>27746</v>
      </c>
      <c r="AM235" s="5">
        <v>13369</v>
      </c>
      <c r="AN235" s="6">
        <v>0.62681923115527405</v>
      </c>
      <c r="AO235" s="6">
        <v>0.46415069088962502</v>
      </c>
      <c r="AP235" s="6">
        <v>0.22364415002174701</v>
      </c>
      <c r="AQ235" s="6">
        <v>0.16266854026565</v>
      </c>
      <c r="AR235" s="6">
        <v>0.24050654086787801</v>
      </c>
      <c r="AS235" s="6">
        <v>0.101057245140353</v>
      </c>
      <c r="AT235" s="6">
        <v>0.122586904881394</v>
      </c>
      <c r="AU235" s="7">
        <v>93124</v>
      </c>
      <c r="AV235" s="7">
        <v>115213</v>
      </c>
      <c r="AW235" s="7">
        <v>1163387</v>
      </c>
      <c r="AX235" s="5">
        <v>188463</v>
      </c>
      <c r="AY235" s="5">
        <v>199486</v>
      </c>
      <c r="AZ235" s="6">
        <v>5.8488934167449297E-2</v>
      </c>
      <c r="BA235" s="6">
        <v>0.33267132504336799</v>
      </c>
      <c r="BB235" s="6">
        <v>0.32219586868509997</v>
      </c>
      <c r="BC235" s="6">
        <v>0.112255455978096</v>
      </c>
      <c r="BD235" s="6">
        <v>5.5851811761459799E-2</v>
      </c>
      <c r="BE235" s="8">
        <v>0.215389758201875</v>
      </c>
      <c r="BF235" s="10">
        <v>89123</v>
      </c>
      <c r="BG235" s="11">
        <v>59213</v>
      </c>
      <c r="BH235" s="11">
        <v>45051</v>
      </c>
      <c r="BI235" s="11">
        <v>22979</v>
      </c>
      <c r="BJ235" s="12">
        <v>0.66439639599205602</v>
      </c>
      <c r="BK235" s="12">
        <v>0.50549240936683004</v>
      </c>
      <c r="BL235" s="12">
        <v>0.25783467791703601</v>
      </c>
      <c r="BM235" s="12">
        <v>0.15890398662522601</v>
      </c>
      <c r="BN235" s="12">
        <v>0.247657731449794</v>
      </c>
      <c r="BO235" s="12">
        <v>0.123761543036029</v>
      </c>
      <c r="BP235" s="12">
        <v>0.134073134881007</v>
      </c>
      <c r="BQ235" s="13">
        <v>100661</v>
      </c>
      <c r="BR235" s="13">
        <v>121800</v>
      </c>
      <c r="BS235" s="13">
        <v>1258139</v>
      </c>
      <c r="BT235" s="11">
        <v>290567</v>
      </c>
      <c r="BU235" s="11">
        <v>309382</v>
      </c>
      <c r="BV235" s="12">
        <v>6.4752707637137003E-2</v>
      </c>
      <c r="BW235" s="12">
        <v>0.34018457488868697</v>
      </c>
      <c r="BX235" s="12">
        <v>0.311139943627459</v>
      </c>
      <c r="BY235" s="12">
        <v>0.118747139214019</v>
      </c>
      <c r="BZ235" s="12">
        <v>5.8723117215650801E-2</v>
      </c>
      <c r="CA235" s="14">
        <v>0.211999297924403</v>
      </c>
      <c r="CB235" s="86">
        <f t="shared" si="44"/>
        <v>16326549.138094671</v>
      </c>
      <c r="CC235" s="83">
        <v>4874685.1780951098</v>
      </c>
      <c r="CD235" s="83">
        <v>8043783.8599995701</v>
      </c>
      <c r="CE235" s="83">
        <v>2280098.2199999802</v>
      </c>
      <c r="CF235" s="83">
        <v>1127981.8800000099</v>
      </c>
      <c r="CG235" s="90">
        <f t="shared" si="45"/>
        <v>0.29857412836378427</v>
      </c>
      <c r="CH235" s="90">
        <f t="shared" si="45"/>
        <v>0.49268120237552476</v>
      </c>
      <c r="CI235" s="90">
        <f t="shared" si="43"/>
        <v>0.13965585750633833</v>
      </c>
      <c r="CK235" s="86">
        <f t="shared" si="40"/>
        <v>15824727</v>
      </c>
      <c r="CL235" s="83">
        <v>4613547</v>
      </c>
      <c r="CM235" s="83">
        <v>8003640</v>
      </c>
      <c r="CN235" s="83">
        <v>2129687</v>
      </c>
      <c r="CO235" s="83">
        <v>1077853</v>
      </c>
      <c r="CP235" s="90">
        <f t="shared" si="41"/>
        <v>0.29154038486730294</v>
      </c>
      <c r="CQ235" s="90">
        <f t="shared" si="41"/>
        <v>0.50576796680283964</v>
      </c>
      <c r="CR235" s="90">
        <f t="shared" si="41"/>
        <v>0.13457969922640686</v>
      </c>
    </row>
    <row r="236" spans="1:96" ht="49.5" thickTop="1" thickBot="1" x14ac:dyDescent="0.3">
      <c r="A236" s="3" t="s">
        <v>291</v>
      </c>
      <c r="B236" s="3">
        <v>508</v>
      </c>
      <c r="C236" s="3" t="s">
        <v>63</v>
      </c>
      <c r="D236" s="16">
        <v>41900</v>
      </c>
      <c r="E236" s="16" t="s">
        <v>529</v>
      </c>
      <c r="F236" s="16" t="s">
        <v>345</v>
      </c>
      <c r="G236" s="17">
        <v>24324</v>
      </c>
      <c r="H236" s="17">
        <v>33207</v>
      </c>
      <c r="I236" s="17" t="s">
        <v>585</v>
      </c>
      <c r="J236" s="18"/>
      <c r="K236" s="18" t="s">
        <v>598</v>
      </c>
      <c r="L236" s="18"/>
      <c r="M236" s="18" t="s">
        <v>598</v>
      </c>
      <c r="N236" s="10">
        <v>45096</v>
      </c>
      <c r="O236" s="11">
        <v>18254</v>
      </c>
      <c r="P236" s="11">
        <v>11784</v>
      </c>
      <c r="Q236" s="11">
        <v>4835</v>
      </c>
      <c r="R236" s="12">
        <v>0.40478091183253501</v>
      </c>
      <c r="S236" s="12">
        <v>0.26130920702501298</v>
      </c>
      <c r="T236" s="12">
        <v>0.107215717580273</v>
      </c>
      <c r="U236" s="12">
        <v>0.143471704807522</v>
      </c>
      <c r="V236" s="12">
        <v>0.15409348944473999</v>
      </c>
      <c r="W236" s="12">
        <v>5.8697001951392602E-2</v>
      </c>
      <c r="X236" s="12">
        <v>4.8518715628880597E-2</v>
      </c>
      <c r="Y236" s="13">
        <v>61507</v>
      </c>
      <c r="Z236" s="13">
        <v>80765</v>
      </c>
      <c r="AA236" s="13">
        <v>630088</v>
      </c>
      <c r="AB236" s="11">
        <v>128993</v>
      </c>
      <c r="AC236" s="11">
        <v>131534</v>
      </c>
      <c r="AD236" s="12">
        <v>1.9698743342662001E-2</v>
      </c>
      <c r="AE236" s="12">
        <v>0.28675334012342002</v>
      </c>
      <c r="AF236" s="12">
        <v>0.30822602776894897</v>
      </c>
      <c r="AG236" s="12">
        <v>9.6369570441806898E-2</v>
      </c>
      <c r="AH236" s="12">
        <v>0.23898196026141</v>
      </c>
      <c r="AI236" s="14">
        <v>0.21751567914538</v>
      </c>
      <c r="AJ236" s="4">
        <v>119670</v>
      </c>
      <c r="AK236" s="5">
        <v>51673</v>
      </c>
      <c r="AL236" s="5">
        <v>34121</v>
      </c>
      <c r="AM236" s="5">
        <v>14687</v>
      </c>
      <c r="AN236" s="6">
        <v>0.43179577170552402</v>
      </c>
      <c r="AO236" s="6">
        <v>0.28512576251357902</v>
      </c>
      <c r="AP236" s="6">
        <v>0.122729171889362</v>
      </c>
      <c r="AQ236" s="6">
        <v>0.14667000919194501</v>
      </c>
      <c r="AR236" s="6">
        <v>0.16239659062421699</v>
      </c>
      <c r="AS236" s="6">
        <v>7.0076042450070999E-2</v>
      </c>
      <c r="AT236" s="6">
        <v>5.2653129439291402E-2</v>
      </c>
      <c r="AU236" s="7">
        <v>64221</v>
      </c>
      <c r="AV236" s="7">
        <v>83391</v>
      </c>
      <c r="AW236" s="7">
        <v>695923</v>
      </c>
      <c r="AX236" s="5">
        <v>347534</v>
      </c>
      <c r="AY236" s="5">
        <v>359464</v>
      </c>
      <c r="AZ236" s="6">
        <v>3.4327576582435099E-2</v>
      </c>
      <c r="BA236" s="6">
        <v>0.30478651574493998</v>
      </c>
      <c r="BB236" s="6">
        <v>0.31527275029205798</v>
      </c>
      <c r="BC236" s="6">
        <v>8.8164035749020195E-2</v>
      </c>
      <c r="BD236" s="6">
        <v>0.23182479987569601</v>
      </c>
      <c r="BE236" s="8">
        <v>0.21327697433920101</v>
      </c>
      <c r="BF236" s="10">
        <v>194890</v>
      </c>
      <c r="BG236" s="11">
        <v>87422</v>
      </c>
      <c r="BH236" s="11">
        <v>59159</v>
      </c>
      <c r="BI236" s="11">
        <v>26337</v>
      </c>
      <c r="BJ236" s="12">
        <v>0.44857098876289198</v>
      </c>
      <c r="BK236" s="12">
        <v>0.30355072091949298</v>
      </c>
      <c r="BL236" s="12">
        <v>0.13513777002411601</v>
      </c>
      <c r="BM236" s="12">
        <v>0.145020267843399</v>
      </c>
      <c r="BN236" s="12">
        <v>0.168412950895377</v>
      </c>
      <c r="BO236" s="12">
        <v>7.4996151675304004E-2</v>
      </c>
      <c r="BP236" s="12">
        <v>6.0141618348812202E-2</v>
      </c>
      <c r="BQ236" s="13">
        <v>66426</v>
      </c>
      <c r="BR236" s="13">
        <v>86625</v>
      </c>
      <c r="BS236" s="13">
        <v>745510</v>
      </c>
      <c r="BT236" s="11">
        <v>559319</v>
      </c>
      <c r="BU236" s="11">
        <v>587309</v>
      </c>
      <c r="BV236" s="12">
        <v>5.0042998718084E-2</v>
      </c>
      <c r="BW236" s="12">
        <v>0.31532713131005002</v>
      </c>
      <c r="BX236" s="12">
        <v>0.30179915218328002</v>
      </c>
      <c r="BY236" s="12">
        <v>8.0932348087585093E-2</v>
      </c>
      <c r="BZ236" s="12">
        <v>0.24946229253789001</v>
      </c>
      <c r="CA236" s="14">
        <v>0.215760594580195</v>
      </c>
      <c r="CB236" s="86">
        <f t="shared" si="44"/>
        <v>28559051.738666251</v>
      </c>
      <c r="CC236" s="83">
        <v>5804452.4946664898</v>
      </c>
      <c r="CD236" s="83">
        <v>18538959.843999799</v>
      </c>
      <c r="CE236" s="83">
        <v>2737744.2899999502</v>
      </c>
      <c r="CF236" s="83">
        <v>1477895.1100000101</v>
      </c>
      <c r="CG236" s="90">
        <f t="shared" si="45"/>
        <v>0.20324388035642693</v>
      </c>
      <c r="CH236" s="90">
        <f t="shared" si="45"/>
        <v>0.64914479702068695</v>
      </c>
      <c r="CI236" s="90">
        <f t="shared" si="43"/>
        <v>9.5862576777831304E-2</v>
      </c>
      <c r="CK236" s="86">
        <f t="shared" si="40"/>
        <v>27854799</v>
      </c>
      <c r="CL236" s="83">
        <v>5515636</v>
      </c>
      <c r="CM236" s="83">
        <v>18277270</v>
      </c>
      <c r="CN236" s="83">
        <v>2652621</v>
      </c>
      <c r="CO236" s="83">
        <v>1409272</v>
      </c>
      <c r="CP236" s="90">
        <f t="shared" si="41"/>
        <v>0.19801385032431934</v>
      </c>
      <c r="CQ236" s="90">
        <f t="shared" si="41"/>
        <v>0.65616233669465718</v>
      </c>
      <c r="CR236" s="90">
        <f t="shared" si="41"/>
        <v>9.5230304839033303E-2</v>
      </c>
    </row>
    <row r="237" spans="1:96" ht="25.5" thickTop="1" thickBot="1" x14ac:dyDescent="0.3">
      <c r="A237" s="3" t="s">
        <v>300</v>
      </c>
      <c r="B237" s="3" t="s">
        <v>730</v>
      </c>
      <c r="C237" s="3" t="s">
        <v>730</v>
      </c>
      <c r="D237" s="16">
        <v>45556</v>
      </c>
      <c r="E237" s="16" t="s">
        <v>561</v>
      </c>
      <c r="F237" s="16" t="s">
        <v>731</v>
      </c>
      <c r="G237" s="17"/>
      <c r="H237" s="17">
        <v>24210</v>
      </c>
      <c r="I237" s="17" t="s">
        <v>585</v>
      </c>
      <c r="J237" s="18"/>
      <c r="K237" s="18"/>
      <c r="L237" s="18"/>
      <c r="M237" s="18" t="s">
        <v>598</v>
      </c>
      <c r="N237" s="42">
        <v>47820</v>
      </c>
      <c r="O237" s="43">
        <v>29161</v>
      </c>
      <c r="P237" s="43">
        <v>24007</v>
      </c>
      <c r="Q237" s="43">
        <v>13963</v>
      </c>
      <c r="R237" s="44">
        <v>0.60980761187787502</v>
      </c>
      <c r="S237" s="44">
        <v>0.50202843998327096</v>
      </c>
      <c r="T237" s="44">
        <v>0.29199079882894202</v>
      </c>
      <c r="U237" s="44">
        <v>0.10777917189460499</v>
      </c>
      <c r="V237" s="44">
        <v>0.21003764115432899</v>
      </c>
      <c r="W237" s="44">
        <v>0.12139272271016301</v>
      </c>
      <c r="X237" s="44">
        <v>0.170598076118779</v>
      </c>
      <c r="Y237" s="45">
        <v>100303</v>
      </c>
      <c r="Z237" s="45">
        <v>134357</v>
      </c>
      <c r="AA237" s="45">
        <v>1061342</v>
      </c>
      <c r="AB237" s="43">
        <v>114481</v>
      </c>
      <c r="AC237" s="43">
        <v>116043</v>
      </c>
      <c r="AD237" s="44">
        <v>1.36441854980302E-2</v>
      </c>
      <c r="AE237" s="44">
        <v>0.47529276299671702</v>
      </c>
      <c r="AF237" s="44">
        <v>0.15617438701618599</v>
      </c>
      <c r="AG237" s="44">
        <v>0.138494597356767</v>
      </c>
      <c r="AH237" s="44">
        <v>9.25044330500258E-2</v>
      </c>
      <c r="AI237" s="46">
        <v>0.249526122238625</v>
      </c>
      <c r="AJ237" s="70">
        <v>105723</v>
      </c>
      <c r="AK237" s="71">
        <v>63806</v>
      </c>
      <c r="AL237" s="71">
        <v>52454</v>
      </c>
      <c r="AM237" s="71">
        <v>31447</v>
      </c>
      <c r="AN237" s="72">
        <v>0.60352052060573402</v>
      </c>
      <c r="AO237" s="72">
        <v>0.49614558799882702</v>
      </c>
      <c r="AP237" s="72">
        <v>0.297447102333456</v>
      </c>
      <c r="AQ237" s="72">
        <v>0.107374932606907</v>
      </c>
      <c r="AR237" s="72">
        <v>0.19869848566537099</v>
      </c>
      <c r="AS237" s="72">
        <v>0.125961238330354</v>
      </c>
      <c r="AT237" s="72">
        <v>0.17148586400310201</v>
      </c>
      <c r="AU237" s="73">
        <v>98873</v>
      </c>
      <c r="AV237" s="73">
        <v>134909</v>
      </c>
      <c r="AW237" s="73">
        <v>1082346</v>
      </c>
      <c r="AX237" s="71">
        <v>266135</v>
      </c>
      <c r="AY237" s="71">
        <v>272181</v>
      </c>
      <c r="AZ237" s="72">
        <v>2.2717793600991999E-2</v>
      </c>
      <c r="BA237" s="72">
        <v>0.46356807809330602</v>
      </c>
      <c r="BB237" s="72">
        <v>0.14273958705168399</v>
      </c>
      <c r="BC237" s="72">
        <v>0.195058898679242</v>
      </c>
      <c r="BD237" s="72">
        <v>0.119894038739737</v>
      </c>
      <c r="BE237" s="74">
        <v>0.25060213801266301</v>
      </c>
      <c r="BF237" s="42">
        <v>217881</v>
      </c>
      <c r="BG237" s="43">
        <v>133307</v>
      </c>
      <c r="BH237" s="43">
        <v>110880</v>
      </c>
      <c r="BI237" s="43">
        <v>69293</v>
      </c>
      <c r="BJ237" s="44">
        <v>0.61183398277041101</v>
      </c>
      <c r="BK237" s="44">
        <v>0.50890164814738303</v>
      </c>
      <c r="BL237" s="44">
        <v>0.31803140246281197</v>
      </c>
      <c r="BM237" s="44">
        <v>0.102932334623028</v>
      </c>
      <c r="BN237" s="44">
        <v>0.190870245684571</v>
      </c>
      <c r="BO237" s="44">
        <v>0.11967082948949199</v>
      </c>
      <c r="BP237" s="44">
        <v>0.19836057297331999</v>
      </c>
      <c r="BQ237" s="45">
        <v>101535</v>
      </c>
      <c r="BR237" s="45">
        <v>142905</v>
      </c>
      <c r="BS237" s="45">
        <v>943532</v>
      </c>
      <c r="BT237" s="43">
        <v>485982</v>
      </c>
      <c r="BU237" s="43">
        <v>506235</v>
      </c>
      <c r="BV237" s="44">
        <v>4.16743830018396E-2</v>
      </c>
      <c r="BW237" s="44">
        <v>0.52544159042435701</v>
      </c>
      <c r="BX237" s="44">
        <v>0.12350868962224899</v>
      </c>
      <c r="BY237" s="44">
        <v>0.207890415694408</v>
      </c>
      <c r="BZ237" s="44">
        <v>0.122245268343272</v>
      </c>
      <c r="CA237" s="46">
        <v>0.23981958179521101</v>
      </c>
      <c r="CB237" s="98">
        <v>18000000</v>
      </c>
      <c r="CC237" s="83"/>
      <c r="CD237" s="83"/>
      <c r="CE237" s="83"/>
      <c r="CF237" s="83"/>
      <c r="CG237" s="99">
        <v>0.28000000000000003</v>
      </c>
      <c r="CH237" s="99">
        <v>0.54</v>
      </c>
      <c r="CI237" s="90">
        <f t="shared" si="43"/>
        <v>0</v>
      </c>
      <c r="CK237" s="98">
        <v>18000000</v>
      </c>
      <c r="CL237" s="83"/>
      <c r="CM237" s="83"/>
      <c r="CN237" s="83"/>
      <c r="CO237" s="83"/>
      <c r="CP237" s="99">
        <v>0.28000000000000003</v>
      </c>
      <c r="CQ237" s="99">
        <v>0.54</v>
      </c>
      <c r="CR237" s="90">
        <f t="shared" si="41"/>
        <v>0</v>
      </c>
    </row>
    <row r="238" spans="1:96" ht="49.5" thickTop="1" thickBot="1" x14ac:dyDescent="0.3">
      <c r="A238" s="3" t="s">
        <v>297</v>
      </c>
      <c r="B238" s="3">
        <v>1122</v>
      </c>
      <c r="C238" s="3" t="s">
        <v>188</v>
      </c>
      <c r="D238" s="16">
        <v>43706</v>
      </c>
      <c r="E238" s="16" t="s">
        <v>553</v>
      </c>
      <c r="F238" s="16" t="s">
        <v>456</v>
      </c>
      <c r="G238" s="17">
        <v>10231</v>
      </c>
      <c r="H238" s="17">
        <v>11740</v>
      </c>
      <c r="I238" s="17" t="s">
        <v>583</v>
      </c>
      <c r="J238" s="18"/>
      <c r="K238" s="18" t="s">
        <v>598</v>
      </c>
      <c r="L238" s="18" t="s">
        <v>519</v>
      </c>
      <c r="M238" s="18" t="s">
        <v>519</v>
      </c>
      <c r="N238" s="10">
        <v>56136</v>
      </c>
      <c r="O238" s="11">
        <v>35653</v>
      </c>
      <c r="P238" s="11">
        <v>30500</v>
      </c>
      <c r="Q238" s="11">
        <v>19878</v>
      </c>
      <c r="R238" s="12">
        <v>0.63511828416702298</v>
      </c>
      <c r="S238" s="12">
        <v>0.543323357560211</v>
      </c>
      <c r="T238" s="12">
        <v>0.35410431808465198</v>
      </c>
      <c r="U238" s="12">
        <v>9.1794926606812002E-2</v>
      </c>
      <c r="V238" s="12">
        <v>0.18921903947555899</v>
      </c>
      <c r="W238" s="12">
        <v>0.114080091207069</v>
      </c>
      <c r="X238" s="12">
        <v>0.24002422687758301</v>
      </c>
      <c r="Y238" s="13">
        <v>108186</v>
      </c>
      <c r="Z238" s="13">
        <v>154221</v>
      </c>
      <c r="AA238" s="13">
        <v>1487843</v>
      </c>
      <c r="AB238" s="11">
        <v>134999</v>
      </c>
      <c r="AC238" s="11">
        <v>138448</v>
      </c>
      <c r="AD238" s="12">
        <v>2.55483373950918E-2</v>
      </c>
      <c r="AE238" s="12">
        <v>0.66288629642868702</v>
      </c>
      <c r="AF238" s="12">
        <v>0.13148986288787301</v>
      </c>
      <c r="AG238" s="12">
        <v>0.21309787479907299</v>
      </c>
      <c r="AH238" s="12">
        <v>1.38593619211994E-2</v>
      </c>
      <c r="AI238" s="14">
        <v>0.22392758464877499</v>
      </c>
      <c r="AJ238" s="4">
        <v>132610</v>
      </c>
      <c r="AK238" s="5">
        <v>84041</v>
      </c>
      <c r="AL238" s="5">
        <v>69292</v>
      </c>
      <c r="AM238" s="5">
        <v>42798</v>
      </c>
      <c r="AN238" s="6">
        <v>0.63374556971570795</v>
      </c>
      <c r="AO238" s="6">
        <v>0.52252469647839495</v>
      </c>
      <c r="AP238" s="6">
        <v>0.32273584194253802</v>
      </c>
      <c r="AQ238" s="6">
        <v>0.111220873237312</v>
      </c>
      <c r="AR238" s="6">
        <v>0.19978885453585701</v>
      </c>
      <c r="AS238" s="6">
        <v>0.11633360983334599</v>
      </c>
      <c r="AT238" s="6">
        <v>0.20640223210919201</v>
      </c>
      <c r="AU238" s="7">
        <v>103778</v>
      </c>
      <c r="AV238" s="7">
        <v>143884</v>
      </c>
      <c r="AW238" s="7">
        <v>1352786</v>
      </c>
      <c r="AX238" s="5">
        <v>344017</v>
      </c>
      <c r="AY238" s="5">
        <v>356299</v>
      </c>
      <c r="AZ238" s="6">
        <v>3.5701724042707203E-2</v>
      </c>
      <c r="BA238" s="6">
        <v>0.57416835754505202</v>
      </c>
      <c r="BB238" s="6">
        <v>0.23052349157163701</v>
      </c>
      <c r="BC238" s="6">
        <v>0.220332134749155</v>
      </c>
      <c r="BD238" s="6">
        <v>1.7045669254717101E-2</v>
      </c>
      <c r="BE238" s="8">
        <v>0.22252388690093799</v>
      </c>
      <c r="BF238" s="10">
        <v>218821</v>
      </c>
      <c r="BG238" s="11">
        <v>136927</v>
      </c>
      <c r="BH238" s="11">
        <v>111830</v>
      </c>
      <c r="BI238" s="11">
        <v>66524</v>
      </c>
      <c r="BJ238" s="12">
        <v>0.62574889978567005</v>
      </c>
      <c r="BK238" s="12">
        <v>0.51105698264791799</v>
      </c>
      <c r="BL238" s="12">
        <v>0.30401104098783899</v>
      </c>
      <c r="BM238" s="12">
        <v>0.11469191713775199</v>
      </c>
      <c r="BN238" s="12">
        <v>0.207045941660078</v>
      </c>
      <c r="BO238" s="12">
        <v>0.116981459731927</v>
      </c>
      <c r="BP238" s="12">
        <v>0.18702958125591199</v>
      </c>
      <c r="BQ238" s="13">
        <v>101722</v>
      </c>
      <c r="BR238" s="13">
        <v>136138</v>
      </c>
      <c r="BS238" s="13">
        <v>1346016</v>
      </c>
      <c r="BT238" s="11">
        <v>640727</v>
      </c>
      <c r="BU238" s="11">
        <v>658644</v>
      </c>
      <c r="BV238" s="12">
        <v>2.7963547657582698E-2</v>
      </c>
      <c r="BW238" s="12">
        <v>0.48953112653959002</v>
      </c>
      <c r="BX238" s="12">
        <v>0.34089713715825898</v>
      </c>
      <c r="BY238" s="12">
        <v>0.215026056339127</v>
      </c>
      <c r="BZ238" s="12">
        <v>1.5997452893354001E-2</v>
      </c>
      <c r="CA238" s="14">
        <v>0.21975505948711399</v>
      </c>
      <c r="CB238" s="86">
        <f>IF(SUM(CC238:CF238)=0,"",SUM(CC238:CF238))</f>
        <v>13918112.719999591</v>
      </c>
      <c r="CC238" s="83">
        <v>6677173.0299997898</v>
      </c>
      <c r="CD238" s="83">
        <v>5450251.3299997896</v>
      </c>
      <c r="CE238" s="83">
        <v>1131300.3900000099</v>
      </c>
      <c r="CF238" s="83">
        <v>659387.970000003</v>
      </c>
      <c r="CG238" s="90">
        <f>IFERROR(CC238/$CB238,"")</f>
        <v>0.47974701486682497</v>
      </c>
      <c r="CH238" s="90">
        <f>IFERROR(CD238/$CB238,"")</f>
        <v>0.39159413633488305</v>
      </c>
      <c r="CI238" s="90">
        <f t="shared" si="43"/>
        <v>8.1282600073671704E-2</v>
      </c>
      <c r="CK238" s="86">
        <f t="shared" si="40"/>
        <v>13567146</v>
      </c>
      <c r="CL238" s="83">
        <v>6418961</v>
      </c>
      <c r="CM238" s="83">
        <v>5373927</v>
      </c>
      <c r="CN238" s="83">
        <v>1116509</v>
      </c>
      <c r="CO238" s="83">
        <v>657749</v>
      </c>
      <c r="CP238" s="90">
        <f t="shared" si="41"/>
        <v>0.47312537213058664</v>
      </c>
      <c r="CQ238" s="90">
        <f t="shared" si="41"/>
        <v>0.39609856044889619</v>
      </c>
      <c r="CR238" s="90">
        <f t="shared" si="41"/>
        <v>8.2295053064218512E-2</v>
      </c>
    </row>
    <row r="239" spans="1:96" ht="25.5" thickTop="1" thickBot="1" x14ac:dyDescent="0.3">
      <c r="A239" s="3" t="s">
        <v>297</v>
      </c>
      <c r="B239" s="3">
        <v>1143</v>
      </c>
      <c r="C239" s="3" t="s">
        <v>734</v>
      </c>
      <c r="D239" s="16">
        <v>45484</v>
      </c>
      <c r="E239" s="16" t="s">
        <v>553</v>
      </c>
      <c r="F239" s="16" t="s">
        <v>599</v>
      </c>
      <c r="G239" s="17">
        <f>H239*0.8</f>
        <v>12000</v>
      </c>
      <c r="H239" s="17">
        <v>15000</v>
      </c>
      <c r="I239" s="17" t="s">
        <v>583</v>
      </c>
      <c r="J239" s="18"/>
      <c r="K239" s="18"/>
      <c r="L239" s="18"/>
      <c r="M239" s="18" t="s">
        <v>598</v>
      </c>
      <c r="N239" s="141">
        <v>117740</v>
      </c>
      <c r="O239" s="142">
        <v>74243</v>
      </c>
      <c r="P239" s="142">
        <v>61222</v>
      </c>
      <c r="Q239" s="142">
        <v>40545</v>
      </c>
      <c r="R239" s="143">
        <v>0.63056735179208401</v>
      </c>
      <c r="S239" s="143">
        <v>0.51997621878715805</v>
      </c>
      <c r="T239" s="143">
        <v>0.34436045524036002</v>
      </c>
      <c r="U239" s="143">
        <v>0.110591133004926</v>
      </c>
      <c r="V239" s="143">
        <v>0.175615763546798</v>
      </c>
      <c r="W239" s="143">
        <v>0.112374723968065</v>
      </c>
      <c r="X239" s="143">
        <v>0.23198573127229499</v>
      </c>
      <c r="Y239" s="144">
        <v>103937</v>
      </c>
      <c r="Z239" s="144">
        <v>153495</v>
      </c>
      <c r="AA239" s="144">
        <v>1228259</v>
      </c>
      <c r="AB239" s="142">
        <v>255331</v>
      </c>
      <c r="AC239" s="142">
        <v>261686</v>
      </c>
      <c r="AD239" s="143">
        <v>2.4889261390117101E-2</v>
      </c>
      <c r="AE239" s="143">
        <v>0.71989697009301001</v>
      </c>
      <c r="AF239" s="143">
        <v>0.12924008443941401</v>
      </c>
      <c r="AG239" s="143">
        <v>0.18259827439676299</v>
      </c>
      <c r="AH239" s="143">
        <v>2.88840759641407E-2</v>
      </c>
      <c r="AI239" s="146">
        <v>0.219366234417286</v>
      </c>
      <c r="AJ239" s="137">
        <v>238384</v>
      </c>
      <c r="AK239" s="138">
        <v>150198</v>
      </c>
      <c r="AL239" s="138">
        <v>122131</v>
      </c>
      <c r="AM239" s="138">
        <v>80801</v>
      </c>
      <c r="AN239" s="135">
        <v>0.63006745419155696</v>
      </c>
      <c r="AO239" s="135">
        <v>0.51232884757366304</v>
      </c>
      <c r="AP239" s="135">
        <v>0.33895311765890301</v>
      </c>
      <c r="AQ239" s="135">
        <v>0.117738606617894</v>
      </c>
      <c r="AR239" s="135">
        <v>0.173375729914759</v>
      </c>
      <c r="AS239" s="135">
        <v>0.108459460366468</v>
      </c>
      <c r="AT239" s="135">
        <v>0.23049365729243601</v>
      </c>
      <c r="AU239" s="139">
        <v>102423</v>
      </c>
      <c r="AV239" s="139">
        <v>153108</v>
      </c>
      <c r="AW239" s="139">
        <v>1270766</v>
      </c>
      <c r="AX239" s="138">
        <v>521090</v>
      </c>
      <c r="AY239" s="138">
        <v>530470</v>
      </c>
      <c r="AZ239" s="135">
        <v>1.80007292406302E-2</v>
      </c>
      <c r="BA239" s="135">
        <v>0.67812563412819404</v>
      </c>
      <c r="BB239" s="135">
        <v>0.17632270816941401</v>
      </c>
      <c r="BC239" s="135">
        <v>0.153887044464488</v>
      </c>
      <c r="BD239" s="135">
        <v>3.8208370914813203E-2</v>
      </c>
      <c r="BE239" s="136">
        <v>0.23076435932372499</v>
      </c>
      <c r="BF239" s="137">
        <v>366789</v>
      </c>
      <c r="BG239" s="138">
        <v>229779</v>
      </c>
      <c r="BH239" s="138">
        <v>187190</v>
      </c>
      <c r="BI239" s="138">
        <v>122132</v>
      </c>
      <c r="BJ239" s="135">
        <v>0.62646098983339205</v>
      </c>
      <c r="BK239" s="135">
        <v>0.51034791119690104</v>
      </c>
      <c r="BL239" s="135">
        <v>0.332976179765478</v>
      </c>
      <c r="BM239" s="135">
        <v>0.11611307863649099</v>
      </c>
      <c r="BN239" s="135">
        <v>0.17737173143142199</v>
      </c>
      <c r="BO239" s="135">
        <v>0.106827085872259</v>
      </c>
      <c r="BP239" s="135">
        <v>0.22614909389321899</v>
      </c>
      <c r="BQ239" s="139">
        <v>101966</v>
      </c>
      <c r="BR239" s="139">
        <v>151221</v>
      </c>
      <c r="BS239" s="139">
        <v>1254099</v>
      </c>
      <c r="BT239" s="138">
        <v>798792</v>
      </c>
      <c r="BU239" s="138">
        <v>816600</v>
      </c>
      <c r="BV239" s="135">
        <v>2.2293663431782001E-2</v>
      </c>
      <c r="BW239" s="135">
        <v>0.65624622102787999</v>
      </c>
      <c r="BX239" s="135">
        <v>0.18681584192130099</v>
      </c>
      <c r="BY239" s="135">
        <v>0.139689681418943</v>
      </c>
      <c r="BZ239" s="135">
        <v>7.4282166070766903E-2</v>
      </c>
      <c r="CA239" s="136">
        <v>0.23450535308315601</v>
      </c>
      <c r="CB239" s="98">
        <v>30000000</v>
      </c>
      <c r="CC239" s="83" t="s">
        <v>598</v>
      </c>
      <c r="CD239" s="83" t="s">
        <v>598</v>
      </c>
      <c r="CE239" s="83" t="s">
        <v>598</v>
      </c>
      <c r="CF239" s="83" t="s">
        <v>598</v>
      </c>
      <c r="CG239" s="99">
        <v>0.35</v>
      </c>
      <c r="CH239" s="99">
        <v>0.47</v>
      </c>
      <c r="CI239" s="90" t="str">
        <f t="shared" si="43"/>
        <v/>
      </c>
      <c r="CK239" s="98">
        <v>30000000</v>
      </c>
      <c r="CL239" s="83" t="s">
        <v>598</v>
      </c>
      <c r="CM239" s="83" t="s">
        <v>598</v>
      </c>
      <c r="CN239" s="83" t="s">
        <v>598</v>
      </c>
      <c r="CO239" s="83" t="s">
        <v>598</v>
      </c>
      <c r="CP239" s="99">
        <v>0.35</v>
      </c>
      <c r="CQ239" s="99">
        <v>0.47</v>
      </c>
      <c r="CR239" s="90" t="str">
        <f t="shared" si="41"/>
        <v/>
      </c>
    </row>
    <row r="240" spans="1:96" ht="49.5" thickTop="1" thickBot="1" x14ac:dyDescent="0.3">
      <c r="A240" s="3" t="s">
        <v>291</v>
      </c>
      <c r="B240" s="3">
        <v>530</v>
      </c>
      <c r="C240" s="3" t="s">
        <v>85</v>
      </c>
      <c r="D240" s="16">
        <v>43783</v>
      </c>
      <c r="E240" s="16" t="s">
        <v>532</v>
      </c>
      <c r="F240" s="16" t="s">
        <v>367</v>
      </c>
      <c r="G240" s="17">
        <v>18117</v>
      </c>
      <c r="H240" s="17">
        <v>23300</v>
      </c>
      <c r="I240" s="17" t="s">
        <v>584</v>
      </c>
      <c r="J240" s="18"/>
      <c r="K240" s="18" t="s">
        <v>598</v>
      </c>
      <c r="L240" s="18"/>
      <c r="M240" s="18" t="s">
        <v>519</v>
      </c>
      <c r="N240" s="10">
        <v>98475</v>
      </c>
      <c r="O240" s="11">
        <v>56633</v>
      </c>
      <c r="P240" s="11">
        <v>45499</v>
      </c>
      <c r="Q240" s="11">
        <v>29897</v>
      </c>
      <c r="R240" s="12">
        <v>0.575100279258695</v>
      </c>
      <c r="S240" s="12">
        <v>0.46203604975882201</v>
      </c>
      <c r="T240" s="12">
        <v>0.30359989845138402</v>
      </c>
      <c r="U240" s="12">
        <v>0.11306422949987301</v>
      </c>
      <c r="V240" s="12">
        <v>0.15843615130743799</v>
      </c>
      <c r="W240" s="12">
        <v>0.10308200050774299</v>
      </c>
      <c r="X240" s="12">
        <v>0.200517897943641</v>
      </c>
      <c r="Y240" s="13">
        <v>90141</v>
      </c>
      <c r="Z240" s="13">
        <v>135676</v>
      </c>
      <c r="AA240" s="13">
        <v>793692</v>
      </c>
      <c r="AB240" s="11">
        <v>210012</v>
      </c>
      <c r="AC240" s="11">
        <v>241265</v>
      </c>
      <c r="AD240" s="12">
        <v>0.14881530579204999</v>
      </c>
      <c r="AE240" s="12">
        <v>0.619109310717468</v>
      </c>
      <c r="AF240" s="12">
        <v>0.40178656457726197</v>
      </c>
      <c r="AG240" s="12">
        <v>5.10589871054987E-2</v>
      </c>
      <c r="AH240" s="12">
        <v>0.133525703293145</v>
      </c>
      <c r="AI240" s="14">
        <v>0.217978020303602</v>
      </c>
      <c r="AJ240" s="4">
        <v>200017</v>
      </c>
      <c r="AK240" s="5">
        <v>101251</v>
      </c>
      <c r="AL240" s="5">
        <v>80469</v>
      </c>
      <c r="AM240" s="5">
        <v>53044</v>
      </c>
      <c r="AN240" s="6">
        <v>0.50621197198238199</v>
      </c>
      <c r="AO240" s="6">
        <v>0.40231080358169602</v>
      </c>
      <c r="AP240" s="6">
        <v>0.26519745821605201</v>
      </c>
      <c r="AQ240" s="6">
        <v>0.103901168400686</v>
      </c>
      <c r="AR240" s="6">
        <v>0.13711334536564401</v>
      </c>
      <c r="AS240" s="6">
        <v>8.7287580555652805E-2</v>
      </c>
      <c r="AT240" s="6">
        <v>0.17790987766039901</v>
      </c>
      <c r="AU240" s="7">
        <v>76170</v>
      </c>
      <c r="AV240" s="7">
        <v>124224</v>
      </c>
      <c r="AW240" s="7">
        <v>891370</v>
      </c>
      <c r="AX240" s="5">
        <v>457775</v>
      </c>
      <c r="AY240" s="5">
        <v>511753</v>
      </c>
      <c r="AZ240" s="6">
        <v>0.11791382229261101</v>
      </c>
      <c r="BA240" s="6">
        <v>0.54590329981450703</v>
      </c>
      <c r="BB240" s="6">
        <v>0.40409808311943601</v>
      </c>
      <c r="BC240" s="6">
        <v>5.4568292283326998E-2</v>
      </c>
      <c r="BD240" s="6">
        <v>0.18385014472175201</v>
      </c>
      <c r="BE240" s="8">
        <v>0.221069302604992</v>
      </c>
      <c r="BF240" s="10">
        <v>341768</v>
      </c>
      <c r="BG240" s="11">
        <v>152517</v>
      </c>
      <c r="BH240" s="11">
        <v>117701</v>
      </c>
      <c r="BI240" s="11">
        <v>75397</v>
      </c>
      <c r="BJ240" s="12">
        <v>0.44625886566325701</v>
      </c>
      <c r="BK240" s="12">
        <v>0.34438859109103298</v>
      </c>
      <c r="BL240" s="12">
        <v>0.22060871702441401</v>
      </c>
      <c r="BM240" s="12">
        <v>0.101870274572224</v>
      </c>
      <c r="BN240" s="12">
        <v>0.123779874066618</v>
      </c>
      <c r="BO240" s="12">
        <v>6.9892441656328297E-2</v>
      </c>
      <c r="BP240" s="12">
        <v>0.15071627536808599</v>
      </c>
      <c r="BQ240" s="13">
        <v>64262</v>
      </c>
      <c r="BR240" s="13">
        <v>111986</v>
      </c>
      <c r="BS240" s="13">
        <v>840113</v>
      </c>
      <c r="BT240" s="11">
        <v>827100</v>
      </c>
      <c r="BU240" s="11">
        <v>899720</v>
      </c>
      <c r="BV240" s="12">
        <v>8.7800749607060802E-2</v>
      </c>
      <c r="BW240" s="12">
        <v>0.47846404896890099</v>
      </c>
      <c r="BX240" s="12">
        <v>0.44178575746584497</v>
      </c>
      <c r="BY240" s="12">
        <v>6.2704630637165998E-2</v>
      </c>
      <c r="BZ240" s="12">
        <v>0.18940515052593401</v>
      </c>
      <c r="CA240" s="14">
        <v>0.21339620360295</v>
      </c>
      <c r="CB240" s="86">
        <f>IF(SUM(CC240:CF240)=0,"",SUM(CC240:CF240))</f>
        <v>29231642.344332278</v>
      </c>
      <c r="CC240" s="83">
        <v>9369769.8163330201</v>
      </c>
      <c r="CD240" s="83">
        <v>15744103.3899993</v>
      </c>
      <c r="CE240" s="83">
        <v>2684827.6999999601</v>
      </c>
      <c r="CF240" s="83">
        <v>1432941.4380000001</v>
      </c>
      <c r="CG240" s="90">
        <f>IFERROR(CC240/$CB240,"")</f>
        <v>0.32053518259297276</v>
      </c>
      <c r="CH240" s="90">
        <f>IFERROR(CD240/$CB240,"")</f>
        <v>0.53859797559585032</v>
      </c>
      <c r="CI240" s="90">
        <f t="shared" si="43"/>
        <v>9.184662525540653E-2</v>
      </c>
      <c r="CK240" s="86">
        <f t="shared" si="40"/>
        <v>30139290</v>
      </c>
      <c r="CL240" s="83">
        <v>9378929</v>
      </c>
      <c r="CM240" s="83">
        <v>16601665</v>
      </c>
      <c r="CN240" s="83">
        <v>2732106</v>
      </c>
      <c r="CO240" s="83">
        <v>1426590</v>
      </c>
      <c r="CP240" s="90">
        <f t="shared" si="41"/>
        <v>0.31118612946754881</v>
      </c>
      <c r="CQ240" s="90">
        <f t="shared" si="41"/>
        <v>0.55083132349833064</v>
      </c>
      <c r="CR240" s="90">
        <f t="shared" si="41"/>
        <v>9.0649315229389946E-2</v>
      </c>
    </row>
    <row r="241" spans="1:97" ht="25.5" thickTop="1" thickBot="1" x14ac:dyDescent="0.3">
      <c r="A241" s="3" t="s">
        <v>289</v>
      </c>
      <c r="B241" s="3" t="s">
        <v>739</v>
      </c>
      <c r="C241" s="3" t="s">
        <v>740</v>
      </c>
      <c r="D241" s="16">
        <v>45512</v>
      </c>
      <c r="E241" s="16" t="s">
        <v>741</v>
      </c>
      <c r="F241" s="16" t="s">
        <v>742</v>
      </c>
      <c r="G241" s="101">
        <f>H241*0.8</f>
        <v>25472.800000000003</v>
      </c>
      <c r="H241" s="17">
        <v>31841</v>
      </c>
      <c r="I241" s="17" t="s">
        <v>585</v>
      </c>
      <c r="J241" s="102"/>
      <c r="K241" s="102"/>
      <c r="L241" s="102"/>
      <c r="M241" s="102"/>
      <c r="N241" s="42">
        <v>42485</v>
      </c>
      <c r="O241" s="43">
        <v>22727</v>
      </c>
      <c r="P241" s="43">
        <v>18027</v>
      </c>
      <c r="Q241" s="43">
        <v>10655</v>
      </c>
      <c r="R241" s="44">
        <v>0.53494174414499196</v>
      </c>
      <c r="S241" s="44">
        <v>0.42431446392844502</v>
      </c>
      <c r="T241" s="44">
        <v>0.25079439802283199</v>
      </c>
      <c r="U241" s="44">
        <v>0.110627280216547</v>
      </c>
      <c r="V241" s="44">
        <v>0.173520065905614</v>
      </c>
      <c r="W241" s="44">
        <v>0.115217135459574</v>
      </c>
      <c r="X241" s="44">
        <v>0.135577262563258</v>
      </c>
      <c r="Y241" s="45">
        <v>81562</v>
      </c>
      <c r="Z241" s="45">
        <v>117035</v>
      </c>
      <c r="AA241" s="45">
        <v>1043785</v>
      </c>
      <c r="AB241" s="43">
        <v>132138</v>
      </c>
      <c r="AC241" s="43">
        <v>133205</v>
      </c>
      <c r="AD241" s="44">
        <v>8.0748914014136704E-3</v>
      </c>
      <c r="AE241" s="44">
        <v>0.43023560046347598</v>
      </c>
      <c r="AF241" s="44">
        <v>0.37980747400444997</v>
      </c>
      <c r="AG241" s="44">
        <v>0.157940940531868</v>
      </c>
      <c r="AH241" s="44">
        <v>0.151061768756906</v>
      </c>
      <c r="AI241" s="46">
        <v>0.18811394148541699</v>
      </c>
      <c r="AJ241" s="70">
        <v>87919</v>
      </c>
      <c r="AK241" s="71">
        <v>52746</v>
      </c>
      <c r="AL241" s="71">
        <v>42220</v>
      </c>
      <c r="AM241" s="71">
        <v>25698</v>
      </c>
      <c r="AN241" s="72">
        <v>0.59993857982916099</v>
      </c>
      <c r="AO241" s="72">
        <v>0.48021474311582302</v>
      </c>
      <c r="AP241" s="72">
        <v>0.29229176855969702</v>
      </c>
      <c r="AQ241" s="72">
        <v>0.119723836713338</v>
      </c>
      <c r="AR241" s="72">
        <v>0.187922974556126</v>
      </c>
      <c r="AS241" s="72">
        <v>0.12843640168791701</v>
      </c>
      <c r="AT241" s="72">
        <v>0.16385536687178001</v>
      </c>
      <c r="AU241" s="73">
        <v>94920</v>
      </c>
      <c r="AV241" s="73">
        <v>130442</v>
      </c>
      <c r="AW241" s="73">
        <v>1319832</v>
      </c>
      <c r="AX241" s="71">
        <v>265431</v>
      </c>
      <c r="AY241" s="71">
        <v>266017</v>
      </c>
      <c r="AZ241" s="72">
        <v>2.2077300692081902E-3</v>
      </c>
      <c r="BA241" s="72">
        <v>0.48957385212545401</v>
      </c>
      <c r="BB241" s="72">
        <v>0.26197015420203401</v>
      </c>
      <c r="BC241" s="72">
        <v>0.21919067478930501</v>
      </c>
      <c r="BD241" s="72">
        <v>0.142168774559113</v>
      </c>
      <c r="BE241" s="74">
        <v>0.214251538064506</v>
      </c>
      <c r="BF241" s="42">
        <v>140344</v>
      </c>
      <c r="BG241" s="43">
        <v>90027</v>
      </c>
      <c r="BH241" s="43">
        <v>72707</v>
      </c>
      <c r="BI241" s="43">
        <v>44489</v>
      </c>
      <c r="BJ241" s="44">
        <v>0.641473807216554</v>
      </c>
      <c r="BK241" s="44">
        <v>0.51806276007524399</v>
      </c>
      <c r="BL241" s="44">
        <v>0.31699965798324098</v>
      </c>
      <c r="BM241" s="44">
        <v>0.12341104714131</v>
      </c>
      <c r="BN241" s="44">
        <v>0.20106310209200301</v>
      </c>
      <c r="BO241" s="44">
        <v>0.136300803739383</v>
      </c>
      <c r="BP241" s="44">
        <v>0.18069885424385801</v>
      </c>
      <c r="BQ241" s="45">
        <v>102977</v>
      </c>
      <c r="BR241" s="45">
        <v>138231</v>
      </c>
      <c r="BS241" s="45">
        <v>1536057</v>
      </c>
      <c r="BT241" s="43">
        <v>412591</v>
      </c>
      <c r="BU241" s="43">
        <v>413639</v>
      </c>
      <c r="BV241" s="44">
        <v>2.5400457111279702E-3</v>
      </c>
      <c r="BW241" s="44">
        <v>0.50796781520356105</v>
      </c>
      <c r="BX241" s="44">
        <v>0.20924353657738501</v>
      </c>
      <c r="BY241" s="44">
        <v>0.26723316795567498</v>
      </c>
      <c r="BZ241" s="44">
        <v>0.131306790501974</v>
      </c>
      <c r="CA241" s="46">
        <v>0.22912278745779699</v>
      </c>
      <c r="CI241" s="90" t="str">
        <f t="shared" si="43"/>
        <v/>
      </c>
      <c r="CK241" s="86" t="str">
        <f t="shared" si="40"/>
        <v/>
      </c>
      <c r="CL241" s="83" t="s">
        <v>598</v>
      </c>
      <c r="CM241" s="83" t="s">
        <v>598</v>
      </c>
      <c r="CN241" s="83" t="s">
        <v>598</v>
      </c>
      <c r="CO241" s="83" t="s">
        <v>598</v>
      </c>
      <c r="CP241" s="90" t="str">
        <f t="shared" si="41"/>
        <v/>
      </c>
      <c r="CQ241" s="90" t="str">
        <f t="shared" si="41"/>
        <v/>
      </c>
      <c r="CR241" s="90" t="str">
        <f t="shared" si="41"/>
        <v/>
      </c>
    </row>
    <row r="242" spans="1:97" ht="37.5" thickTop="1" thickBot="1" x14ac:dyDescent="0.3">
      <c r="A242" s="3" t="s">
        <v>300</v>
      </c>
      <c r="B242" s="3">
        <v>1411</v>
      </c>
      <c r="C242" s="3" t="s">
        <v>223</v>
      </c>
      <c r="D242" s="16">
        <v>42656</v>
      </c>
      <c r="E242" s="16" t="s">
        <v>561</v>
      </c>
      <c r="F242" s="16" t="s">
        <v>481</v>
      </c>
      <c r="G242" s="17">
        <v>21665</v>
      </c>
      <c r="H242" s="17">
        <v>25000</v>
      </c>
      <c r="I242" s="17" t="s">
        <v>585</v>
      </c>
      <c r="J242" s="18"/>
      <c r="K242" s="18" t="s">
        <v>598</v>
      </c>
      <c r="L242" s="18"/>
      <c r="M242" s="18" t="s">
        <v>598</v>
      </c>
      <c r="N242" s="10">
        <v>123935</v>
      </c>
      <c r="O242" s="11">
        <v>80096</v>
      </c>
      <c r="P242" s="11">
        <v>68043</v>
      </c>
      <c r="Q242" s="11">
        <v>46594</v>
      </c>
      <c r="R242" s="12">
        <v>0.64627425666680105</v>
      </c>
      <c r="S242" s="12">
        <v>0.549021664582241</v>
      </c>
      <c r="T242" s="12">
        <v>0.37595513777383299</v>
      </c>
      <c r="U242" s="12">
        <v>9.7252592084560496E-2</v>
      </c>
      <c r="V242" s="12">
        <v>0.17306652680840801</v>
      </c>
      <c r="W242" s="12">
        <v>0.13141566143542999</v>
      </c>
      <c r="X242" s="12">
        <v>0.24453947633840301</v>
      </c>
      <c r="Y242" s="13">
        <v>110533</v>
      </c>
      <c r="Z242" s="13">
        <v>155284</v>
      </c>
      <c r="AA242" s="13">
        <v>889860</v>
      </c>
      <c r="AB242" s="11">
        <v>217448</v>
      </c>
      <c r="AC242" s="11">
        <v>241194</v>
      </c>
      <c r="AD242" s="12">
        <v>0.109203119826349</v>
      </c>
      <c r="AE242" s="12">
        <v>0.75688430698739995</v>
      </c>
      <c r="AF242" s="12">
        <v>6.4695927302159603E-2</v>
      </c>
      <c r="AG242" s="12">
        <v>0.12979195025937201</v>
      </c>
      <c r="AH242" s="12">
        <v>4.52797910304992E-2</v>
      </c>
      <c r="AI242" s="14">
        <v>0.214538648320518</v>
      </c>
      <c r="AJ242" s="4">
        <v>240985</v>
      </c>
      <c r="AK242" s="5">
        <v>148432</v>
      </c>
      <c r="AL242" s="5">
        <v>126695</v>
      </c>
      <c r="AM242" s="5">
        <v>87364</v>
      </c>
      <c r="AN242" s="6">
        <v>0.615938751374567</v>
      </c>
      <c r="AO242" s="6">
        <v>0.52573811648027902</v>
      </c>
      <c r="AP242" s="6">
        <v>0.36252878809884398</v>
      </c>
      <c r="AQ242" s="6">
        <v>9.0200634894288007E-2</v>
      </c>
      <c r="AR242" s="6">
        <v>0.16320932838143501</v>
      </c>
      <c r="AS242" s="6">
        <v>0.125406145610723</v>
      </c>
      <c r="AT242" s="6">
        <v>0.23712264248812201</v>
      </c>
      <c r="AU242" s="7">
        <v>105629</v>
      </c>
      <c r="AV242" s="7">
        <v>150556</v>
      </c>
      <c r="AW242" s="7">
        <v>1070031</v>
      </c>
      <c r="AX242" s="5">
        <v>477778</v>
      </c>
      <c r="AY242" s="5">
        <v>529017</v>
      </c>
      <c r="AZ242" s="6">
        <v>0.10724436872354901</v>
      </c>
      <c r="BA242" s="6">
        <v>0.72614000707503501</v>
      </c>
      <c r="BB242" s="6">
        <v>6.8898107489252305E-2</v>
      </c>
      <c r="BC242" s="6">
        <v>0.15305225439430001</v>
      </c>
      <c r="BD242" s="6">
        <v>6.4781132659938304E-2</v>
      </c>
      <c r="BE242" s="8">
        <v>0.21493455119323199</v>
      </c>
      <c r="BF242" s="10">
        <v>317638</v>
      </c>
      <c r="BG242" s="11">
        <v>192242</v>
      </c>
      <c r="BH242" s="11">
        <v>163563</v>
      </c>
      <c r="BI242" s="11">
        <v>112254</v>
      </c>
      <c r="BJ242" s="12">
        <v>0.60522355637549696</v>
      </c>
      <c r="BK242" s="12">
        <v>0.51493524074575503</v>
      </c>
      <c r="BL242" s="12">
        <v>0.35340230073228002</v>
      </c>
      <c r="BM242" s="12">
        <v>9.0288315629742003E-2</v>
      </c>
      <c r="BN242" s="12">
        <v>0.16153294001347401</v>
      </c>
      <c r="BO242" s="12">
        <v>0.124248358193919</v>
      </c>
      <c r="BP242" s="12">
        <v>0.22915394253836099</v>
      </c>
      <c r="BQ242" s="13">
        <v>103222</v>
      </c>
      <c r="BR242" s="13">
        <v>147409</v>
      </c>
      <c r="BS242" s="13">
        <v>1158894</v>
      </c>
      <c r="BT242" s="11">
        <v>652607</v>
      </c>
      <c r="BU242" s="11">
        <v>715912</v>
      </c>
      <c r="BV242" s="12">
        <v>9.7003250041755598E-2</v>
      </c>
      <c r="BW242" s="12">
        <v>0.69531552937488095</v>
      </c>
      <c r="BX242" s="12">
        <v>7.1005980628463999E-2</v>
      </c>
      <c r="BY242" s="12">
        <v>0.16884434276678001</v>
      </c>
      <c r="BZ242" s="12">
        <v>7.3356553025021198E-2</v>
      </c>
      <c r="CA242" s="14">
        <v>0.22633223364138</v>
      </c>
      <c r="CB242" s="86">
        <f>IF(SUM(CC242:CF242)=0,"",SUM(CC242:CF242))</f>
        <v>21660514.650905583</v>
      </c>
      <c r="CC242" s="83">
        <v>7967543.6053785402</v>
      </c>
      <c r="CD242" s="83">
        <v>10118495.115384201</v>
      </c>
      <c r="CE242" s="83">
        <v>2423167.4501428301</v>
      </c>
      <c r="CF242" s="83">
        <v>1151308.48000001</v>
      </c>
      <c r="CG242" s="90">
        <f t="shared" ref="CG242:CH254" si="46">IFERROR(CC242/$CB242,"")</f>
        <v>0.36783722519009643</v>
      </c>
      <c r="CH242" s="90">
        <f t="shared" si="46"/>
        <v>0.4671401062467907</v>
      </c>
      <c r="CI242" s="90">
        <f t="shared" si="43"/>
        <v>0.11187026205037665</v>
      </c>
      <c r="CK242" s="86">
        <f t="shared" si="40"/>
        <v>21754594</v>
      </c>
      <c r="CL242" s="83">
        <v>7851369</v>
      </c>
      <c r="CM242" s="83">
        <v>10335434</v>
      </c>
      <c r="CN242" s="83">
        <v>2419444</v>
      </c>
      <c r="CO242" s="83">
        <v>1148347</v>
      </c>
      <c r="CP242" s="90">
        <f t="shared" si="41"/>
        <v>0.36090625272068971</v>
      </c>
      <c r="CQ242" s="90">
        <f t="shared" si="41"/>
        <v>0.4750920196442186</v>
      </c>
      <c r="CR242" s="90">
        <f t="shared" si="41"/>
        <v>0.111215313878071</v>
      </c>
    </row>
    <row r="243" spans="1:97" ht="37.5" thickTop="1" thickBot="1" x14ac:dyDescent="0.3">
      <c r="A243" s="3" t="s">
        <v>313</v>
      </c>
      <c r="B243" s="3">
        <v>2704</v>
      </c>
      <c r="C243" s="3" t="s">
        <v>277</v>
      </c>
      <c r="D243" s="16">
        <v>44826</v>
      </c>
      <c r="E243" s="16" t="s">
        <v>580</v>
      </c>
      <c r="F243" s="16" t="s">
        <v>635</v>
      </c>
      <c r="G243" s="17">
        <v>18131</v>
      </c>
      <c r="H243" s="17">
        <v>25988</v>
      </c>
      <c r="I243" s="17" t="s">
        <v>584</v>
      </c>
      <c r="J243" s="18"/>
      <c r="K243" s="18" t="s">
        <v>598</v>
      </c>
      <c r="L243" s="18"/>
      <c r="M243" s="18" t="s">
        <v>598</v>
      </c>
      <c r="N243" s="10">
        <v>16688</v>
      </c>
      <c r="O243" s="11">
        <v>11609</v>
      </c>
      <c r="P243" s="11">
        <v>9554</v>
      </c>
      <c r="Q243" s="11">
        <v>5723</v>
      </c>
      <c r="R243" s="12">
        <v>0.69564956855225302</v>
      </c>
      <c r="S243" s="12">
        <v>0.57250719079578105</v>
      </c>
      <c r="T243" s="12">
        <v>0.34294103547459298</v>
      </c>
      <c r="U243" s="12">
        <v>0.12314237775647199</v>
      </c>
      <c r="V243" s="12">
        <v>0.22956615532118901</v>
      </c>
      <c r="W243" s="12">
        <v>0.17701342281879201</v>
      </c>
      <c r="X243" s="12">
        <v>0.165927612655801</v>
      </c>
      <c r="Y243" s="13">
        <v>111309</v>
      </c>
      <c r="Z243" s="13">
        <v>134970</v>
      </c>
      <c r="AA243" s="13">
        <v>1319511</v>
      </c>
      <c r="AB243" s="11">
        <v>52071</v>
      </c>
      <c r="AC243" s="11">
        <v>57921</v>
      </c>
      <c r="AD243" s="12">
        <v>0.11234660367575</v>
      </c>
      <c r="AE243" s="12">
        <v>0.636091532296997</v>
      </c>
      <c r="AF243" s="12">
        <v>5.6826256457529097E-2</v>
      </c>
      <c r="AG243" s="12">
        <v>7.8469781644293399E-2</v>
      </c>
      <c r="AH243" s="12">
        <v>9.0856714870081207E-2</v>
      </c>
      <c r="AI243" s="14">
        <v>0.15317547195175801</v>
      </c>
      <c r="AJ243" s="4">
        <v>38887</v>
      </c>
      <c r="AK243" s="5">
        <v>27642</v>
      </c>
      <c r="AL243" s="5">
        <v>22750</v>
      </c>
      <c r="AM243" s="5">
        <v>13939</v>
      </c>
      <c r="AN243" s="6">
        <v>0.71082881168513901</v>
      </c>
      <c r="AO243" s="6">
        <v>0.58502841566590402</v>
      </c>
      <c r="AP243" s="6">
        <v>0.35844883894360602</v>
      </c>
      <c r="AQ243" s="6">
        <v>0.12580039601923501</v>
      </c>
      <c r="AR243" s="6">
        <v>0.226579576722298</v>
      </c>
      <c r="AS243" s="6">
        <v>0.16478514670712599</v>
      </c>
      <c r="AT243" s="6">
        <v>0.19366369223648</v>
      </c>
      <c r="AU243" s="7">
        <v>113882</v>
      </c>
      <c r="AV243" s="7">
        <v>142224</v>
      </c>
      <c r="AW243" s="7">
        <v>1685146</v>
      </c>
      <c r="AX243" s="5">
        <v>115253</v>
      </c>
      <c r="AY243" s="5">
        <v>127112</v>
      </c>
      <c r="AZ243" s="6">
        <v>0.102895369317935</v>
      </c>
      <c r="BA243" s="6">
        <v>0.63779627539503403</v>
      </c>
      <c r="BB243" s="6">
        <v>4.8406549070306198E-2</v>
      </c>
      <c r="BC243" s="6">
        <v>6.74169002108405E-2</v>
      </c>
      <c r="BD243" s="6">
        <v>7.4141237104457094E-2</v>
      </c>
      <c r="BE243" s="8">
        <v>0.193704285354828</v>
      </c>
      <c r="BF243" s="10">
        <v>69497</v>
      </c>
      <c r="BG243" s="11">
        <v>45146</v>
      </c>
      <c r="BH243" s="11">
        <v>36023</v>
      </c>
      <c r="BI243" s="11">
        <v>20597</v>
      </c>
      <c r="BJ243" s="12">
        <v>0.64961077456580896</v>
      </c>
      <c r="BK243" s="12">
        <v>0.51833892110450797</v>
      </c>
      <c r="BL243" s="12">
        <v>0.29637250528799802</v>
      </c>
      <c r="BM243" s="12">
        <v>0.13127185346129999</v>
      </c>
      <c r="BN243" s="12">
        <v>0.22196641581651</v>
      </c>
      <c r="BO243" s="12">
        <v>0.13643754406665001</v>
      </c>
      <c r="BP243" s="12">
        <v>0.15993496122134801</v>
      </c>
      <c r="BQ243" s="13">
        <v>102647</v>
      </c>
      <c r="BR243" s="13">
        <v>128475</v>
      </c>
      <c r="BS243" s="13">
        <v>1487406</v>
      </c>
      <c r="BT243" s="11">
        <v>194585</v>
      </c>
      <c r="BU243" s="11">
        <v>213042</v>
      </c>
      <c r="BV243" s="12">
        <v>9.4853149009430301E-2</v>
      </c>
      <c r="BW243" s="12">
        <v>0.58270794623681899</v>
      </c>
      <c r="BX243" s="12">
        <v>4.6899812421306898E-2</v>
      </c>
      <c r="BY243" s="12">
        <v>6.0045738366266699E-2</v>
      </c>
      <c r="BZ243" s="12">
        <v>6.9948865534342305E-2</v>
      </c>
      <c r="CA243" s="14">
        <v>0.215093660868001</v>
      </c>
      <c r="CB243" s="98">
        <v>13500000</v>
      </c>
      <c r="CC243" s="83" t="s">
        <v>598</v>
      </c>
      <c r="CD243" s="83" t="s">
        <v>598</v>
      </c>
      <c r="CE243" s="83" t="s">
        <v>598</v>
      </c>
      <c r="CF243" s="83" t="s">
        <v>598</v>
      </c>
      <c r="CG243" s="90" t="str">
        <f t="shared" si="46"/>
        <v/>
      </c>
      <c r="CH243" s="90" t="str">
        <f t="shared" si="46"/>
        <v/>
      </c>
      <c r="CI243" s="90" t="str">
        <f t="shared" si="43"/>
        <v/>
      </c>
      <c r="CK243" s="86">
        <f t="shared" si="40"/>
        <v>18553888</v>
      </c>
      <c r="CL243" s="83">
        <v>5798532</v>
      </c>
      <c r="CM243" s="83">
        <v>8401777</v>
      </c>
      <c r="CN243" s="83">
        <v>3373072</v>
      </c>
      <c r="CO243" s="83">
        <v>980507</v>
      </c>
      <c r="CP243" s="90">
        <f t="shared" si="41"/>
        <v>0.31252382250016814</v>
      </c>
      <c r="CQ243" s="90">
        <f t="shared" si="41"/>
        <v>0.4528310723876311</v>
      </c>
      <c r="CR243" s="90">
        <f t="shared" si="41"/>
        <v>0.18179866128328467</v>
      </c>
      <c r="CS243" s="153">
        <f>CK243/CB243-1</f>
        <v>0.37436207407407407</v>
      </c>
    </row>
    <row r="244" spans="1:97" ht="37.5" thickTop="1" thickBot="1" x14ac:dyDescent="0.3">
      <c r="A244" s="3" t="s">
        <v>304</v>
      </c>
      <c r="B244" s="3">
        <v>1801</v>
      </c>
      <c r="C244" s="3" t="s">
        <v>247</v>
      </c>
      <c r="D244" s="16">
        <v>42250</v>
      </c>
      <c r="E244" s="16" t="s">
        <v>569</v>
      </c>
      <c r="F244" s="16" t="s">
        <v>499</v>
      </c>
      <c r="G244" s="17">
        <v>19718</v>
      </c>
      <c r="H244" s="17">
        <v>23920</v>
      </c>
      <c r="I244" s="17" t="s">
        <v>584</v>
      </c>
      <c r="J244" s="18"/>
      <c r="K244" s="18" t="s">
        <v>598</v>
      </c>
      <c r="L244" s="18"/>
      <c r="M244" s="18" t="s">
        <v>598</v>
      </c>
      <c r="N244" s="10">
        <v>25645</v>
      </c>
      <c r="O244" s="11">
        <v>15819</v>
      </c>
      <c r="P244" s="11">
        <v>12572</v>
      </c>
      <c r="Q244" s="11">
        <v>7777</v>
      </c>
      <c r="R244" s="12">
        <v>0.61684538896470997</v>
      </c>
      <c r="S244" s="12">
        <v>0.49023201403782402</v>
      </c>
      <c r="T244" s="12">
        <v>0.303255995320725</v>
      </c>
      <c r="U244" s="12">
        <v>0.12661337492688601</v>
      </c>
      <c r="V244" s="12">
        <v>0.18697601871709901</v>
      </c>
      <c r="W244" s="12">
        <v>0.10848118541626001</v>
      </c>
      <c r="X244" s="12">
        <v>0.194774809904465</v>
      </c>
      <c r="Y244" s="13">
        <v>97565</v>
      </c>
      <c r="Z244" s="13">
        <v>141712</v>
      </c>
      <c r="AA244" s="13">
        <v>2272619</v>
      </c>
      <c r="AB244" s="11">
        <v>63952</v>
      </c>
      <c r="AC244" s="11">
        <v>64602</v>
      </c>
      <c r="AD244" s="12">
        <v>1.01638729046785E-2</v>
      </c>
      <c r="AE244" s="12">
        <v>0.63014818160311403</v>
      </c>
      <c r="AF244" s="12">
        <v>3.4525894420815599E-2</v>
      </c>
      <c r="AG244" s="12">
        <v>8.6799474605954496E-2</v>
      </c>
      <c r="AH244" s="12">
        <v>3.5792469352014002E-2</v>
      </c>
      <c r="AI244" s="14">
        <v>0.27817738303727801</v>
      </c>
      <c r="AJ244" s="4">
        <v>65540</v>
      </c>
      <c r="AK244" s="5">
        <v>41991</v>
      </c>
      <c r="AL244" s="5">
        <v>34243</v>
      </c>
      <c r="AM244" s="5">
        <v>21279</v>
      </c>
      <c r="AN244" s="6">
        <v>0.64069270674397305</v>
      </c>
      <c r="AO244" s="6">
        <v>0.52247482453463501</v>
      </c>
      <c r="AP244" s="6">
        <v>0.32467195605736998</v>
      </c>
      <c r="AQ244" s="6">
        <v>0.118217882209338</v>
      </c>
      <c r="AR244" s="6">
        <v>0.197802868477266</v>
      </c>
      <c r="AS244" s="6">
        <v>0.12142203234665901</v>
      </c>
      <c r="AT244" s="6">
        <v>0.20324992371071099</v>
      </c>
      <c r="AU244" s="7">
        <v>103817</v>
      </c>
      <c r="AV244" s="7">
        <v>146331</v>
      </c>
      <c r="AW244" s="7">
        <v>2376480</v>
      </c>
      <c r="AX244" s="5">
        <v>164434</v>
      </c>
      <c r="AY244" s="5">
        <v>165739</v>
      </c>
      <c r="AZ244" s="6">
        <v>7.9363148740528092E-3</v>
      </c>
      <c r="BA244" s="6">
        <v>0.64230279844615001</v>
      </c>
      <c r="BB244" s="6">
        <v>3.06080251042972E-2</v>
      </c>
      <c r="BC244" s="6">
        <v>8.2379556539401794E-2</v>
      </c>
      <c r="BD244" s="6">
        <v>3.8343651556247499E-2</v>
      </c>
      <c r="BE244" s="8">
        <v>0.281650996752496</v>
      </c>
      <c r="BF244" s="10">
        <v>122844</v>
      </c>
      <c r="BG244" s="11">
        <v>78397</v>
      </c>
      <c r="BH244" s="11">
        <v>63892</v>
      </c>
      <c r="BI244" s="11">
        <v>39619</v>
      </c>
      <c r="BJ244" s="12">
        <v>0.63818338706001099</v>
      </c>
      <c r="BK244" s="12">
        <v>0.52010680212301796</v>
      </c>
      <c r="BL244" s="12">
        <v>0.322514734134349</v>
      </c>
      <c r="BM244" s="12">
        <v>0.118076584936993</v>
      </c>
      <c r="BN244" s="12">
        <v>0.19759206798866899</v>
      </c>
      <c r="BO244" s="12">
        <v>0.12071407638956699</v>
      </c>
      <c r="BP244" s="12">
        <v>0.20180065774478201</v>
      </c>
      <c r="BQ244" s="13">
        <v>103400</v>
      </c>
      <c r="BR244" s="13">
        <v>145597</v>
      </c>
      <c r="BS244" s="13">
        <v>2294669</v>
      </c>
      <c r="BT244" s="11">
        <v>305134</v>
      </c>
      <c r="BU244" s="11">
        <v>308248</v>
      </c>
      <c r="BV244" s="12">
        <v>1.0205352402551E-2</v>
      </c>
      <c r="BW244" s="12">
        <v>0.64383828764483098</v>
      </c>
      <c r="BX244" s="12">
        <v>3.1625449802381897E-2</v>
      </c>
      <c r="BY244" s="12">
        <v>7.9912431915158594E-2</v>
      </c>
      <c r="BZ244" s="12">
        <v>5.08366815890723E-2</v>
      </c>
      <c r="CA244" s="14">
        <v>0.28386544927802199</v>
      </c>
      <c r="CB244" s="86">
        <f>IF(SUM(CC244:CF244)=0,"",SUM(CC244:CF244))</f>
        <v>20751695.324332811</v>
      </c>
      <c r="CC244" s="83">
        <v>8967168.1543331593</v>
      </c>
      <c r="CD244" s="83">
        <v>7813649.4599996796</v>
      </c>
      <c r="CE244" s="83">
        <v>2886804.9399999599</v>
      </c>
      <c r="CF244" s="83">
        <v>1084072.77000001</v>
      </c>
      <c r="CG244" s="90">
        <f t="shared" si="46"/>
        <v>0.43211737711947462</v>
      </c>
      <c r="CH244" s="90">
        <f t="shared" si="46"/>
        <v>0.37653065630920429</v>
      </c>
      <c r="CI244" s="90">
        <f t="shared" si="43"/>
        <v>0.13911176387670746</v>
      </c>
      <c r="CK244" s="86">
        <f t="shared" si="40"/>
        <v>19819313</v>
      </c>
      <c r="CL244" s="83">
        <v>8416947</v>
      </c>
      <c r="CM244" s="83">
        <v>7544007</v>
      </c>
      <c r="CN244" s="83">
        <v>2805690</v>
      </c>
      <c r="CO244" s="83">
        <v>1052669</v>
      </c>
      <c r="CP244" s="90">
        <f t="shared" si="41"/>
        <v>0.4246840947514175</v>
      </c>
      <c r="CQ244" s="90">
        <f t="shared" si="41"/>
        <v>0.38063917755373256</v>
      </c>
      <c r="CR244" s="90">
        <f t="shared" si="41"/>
        <v>0.141563433606402</v>
      </c>
    </row>
    <row r="245" spans="1:97" ht="37.5" thickTop="1" thickBot="1" x14ac:dyDescent="0.3">
      <c r="A245" s="3" t="s">
        <v>300</v>
      </c>
      <c r="B245" s="3">
        <v>1409</v>
      </c>
      <c r="C245" s="3" t="s">
        <v>221</v>
      </c>
      <c r="D245" s="16">
        <v>41942</v>
      </c>
      <c r="E245" s="16" t="s">
        <v>561</v>
      </c>
      <c r="F245" s="16" t="s">
        <v>479</v>
      </c>
      <c r="G245" s="17">
        <v>22331</v>
      </c>
      <c r="H245" s="17">
        <v>24663</v>
      </c>
      <c r="I245" s="17" t="s">
        <v>585</v>
      </c>
      <c r="J245" s="18"/>
      <c r="K245" s="18" t="s">
        <v>598</v>
      </c>
      <c r="L245" s="18" t="s">
        <v>587</v>
      </c>
      <c r="M245" s="18" t="s">
        <v>598</v>
      </c>
      <c r="N245" s="10">
        <v>90819</v>
      </c>
      <c r="O245" s="11">
        <v>53114</v>
      </c>
      <c r="P245" s="11">
        <v>44269</v>
      </c>
      <c r="Q245" s="11">
        <v>29641</v>
      </c>
      <c r="R245" s="12">
        <v>0.58483357006793701</v>
      </c>
      <c r="S245" s="12">
        <v>0.487442055076581</v>
      </c>
      <c r="T245" s="12">
        <v>0.32637443706713398</v>
      </c>
      <c r="U245" s="12">
        <v>9.7391514991356398E-2</v>
      </c>
      <c r="V245" s="12">
        <v>0.16106761800944699</v>
      </c>
      <c r="W245" s="12">
        <v>0.12448936896464401</v>
      </c>
      <c r="X245" s="12">
        <v>0.20188506810248999</v>
      </c>
      <c r="Y245" s="13">
        <v>96064</v>
      </c>
      <c r="Z245" s="13">
        <v>138807</v>
      </c>
      <c r="AA245" s="13">
        <v>1280664</v>
      </c>
      <c r="AB245" s="11">
        <v>202987</v>
      </c>
      <c r="AC245" s="11">
        <v>217214</v>
      </c>
      <c r="AD245" s="12">
        <v>7.0088232251326404E-2</v>
      </c>
      <c r="AE245" s="12">
        <v>0.657262937044365</v>
      </c>
      <c r="AF245" s="12">
        <v>7.5142743131333498E-2</v>
      </c>
      <c r="AG245" s="12">
        <v>0.16861670944444701</v>
      </c>
      <c r="AH245" s="12">
        <v>5.4166030336918101E-2</v>
      </c>
      <c r="AI245" s="14">
        <v>0.239591697990512</v>
      </c>
      <c r="AJ245" s="4">
        <v>187904</v>
      </c>
      <c r="AK245" s="5">
        <v>114548</v>
      </c>
      <c r="AL245" s="5">
        <v>96181</v>
      </c>
      <c r="AM245" s="5">
        <v>65354</v>
      </c>
      <c r="AN245" s="6">
        <v>0.609609162125341</v>
      </c>
      <c r="AO245" s="6">
        <v>0.51186244039509499</v>
      </c>
      <c r="AP245" s="6">
        <v>0.34780526226157998</v>
      </c>
      <c r="AQ245" s="6">
        <v>9.7746721730245206E-2</v>
      </c>
      <c r="AR245" s="6">
        <v>0.164057178133515</v>
      </c>
      <c r="AS245" s="6">
        <v>0.124590216280654</v>
      </c>
      <c r="AT245" s="6">
        <v>0.22321504598092601</v>
      </c>
      <c r="AU245" s="7">
        <v>102492</v>
      </c>
      <c r="AV245" s="7">
        <v>146001</v>
      </c>
      <c r="AW245" s="7">
        <v>1429877</v>
      </c>
      <c r="AX245" s="5">
        <v>428866</v>
      </c>
      <c r="AY245" s="5">
        <v>459321</v>
      </c>
      <c r="AZ245" s="6">
        <v>7.1012857162843404E-2</v>
      </c>
      <c r="BA245" s="6">
        <v>0.67530814226771796</v>
      </c>
      <c r="BB245" s="6">
        <v>6.6559251607728298E-2</v>
      </c>
      <c r="BC245" s="6">
        <v>0.167182756385444</v>
      </c>
      <c r="BD245" s="6">
        <v>4.1607401845798003E-2</v>
      </c>
      <c r="BE245" s="8">
        <v>0.232303330177725</v>
      </c>
      <c r="BF245" s="10">
        <v>355151</v>
      </c>
      <c r="BG245" s="11">
        <v>222019</v>
      </c>
      <c r="BH245" s="11">
        <v>185827</v>
      </c>
      <c r="BI245" s="11">
        <v>125170</v>
      </c>
      <c r="BJ245" s="12">
        <v>0.62513972929824202</v>
      </c>
      <c r="BK245" s="12">
        <v>0.52323377943466298</v>
      </c>
      <c r="BL245" s="12">
        <v>0.35244163750066898</v>
      </c>
      <c r="BM245" s="12">
        <v>0.101905949863579</v>
      </c>
      <c r="BN245" s="12">
        <v>0.170792141933994</v>
      </c>
      <c r="BO245" s="12">
        <v>0.12793994667057099</v>
      </c>
      <c r="BP245" s="12">
        <v>0.22450169083009799</v>
      </c>
      <c r="BQ245" s="13">
        <v>104771</v>
      </c>
      <c r="BR245" s="13">
        <v>147372</v>
      </c>
      <c r="BS245" s="13">
        <v>1320837</v>
      </c>
      <c r="BT245" s="11">
        <v>756962</v>
      </c>
      <c r="BU245" s="11">
        <v>822086</v>
      </c>
      <c r="BV245" s="12">
        <v>8.6033380803791998E-2</v>
      </c>
      <c r="BW245" s="12">
        <v>0.66971842534956205</v>
      </c>
      <c r="BX245" s="12">
        <v>7.2454099413180595E-2</v>
      </c>
      <c r="BY245" s="12">
        <v>0.15681104203381399</v>
      </c>
      <c r="BZ245" s="12">
        <v>4.8125269168069203E-2</v>
      </c>
      <c r="CA245" s="14">
        <v>0.236009205217699</v>
      </c>
      <c r="CB245" s="86">
        <f>IF(SUM(CC245:CF245)=0,"",SUM(CC245:CF245))</f>
        <v>17347997.539999437</v>
      </c>
      <c r="CC245" s="83">
        <v>5078409.6099998597</v>
      </c>
      <c r="CD245" s="83">
        <v>9018541.4099995997</v>
      </c>
      <c r="CE245" s="83">
        <v>2389684.2899999698</v>
      </c>
      <c r="CF245" s="83">
        <v>861362.23000000697</v>
      </c>
      <c r="CG245" s="90">
        <f t="shared" si="46"/>
        <v>0.29273751038357737</v>
      </c>
      <c r="CH245" s="90">
        <f t="shared" si="46"/>
        <v>0.51986065764682443</v>
      </c>
      <c r="CI245" s="90">
        <f t="shared" si="43"/>
        <v>0.13774986331938616</v>
      </c>
      <c r="CK245" s="86">
        <f t="shared" si="40"/>
        <v>17103727</v>
      </c>
      <c r="CL245" s="83">
        <v>4902032</v>
      </c>
      <c r="CM245" s="83">
        <v>8981425</v>
      </c>
      <c r="CN245" s="83">
        <v>2371297</v>
      </c>
      <c r="CO245" s="83">
        <v>848973</v>
      </c>
      <c r="CP245" s="90">
        <f t="shared" si="41"/>
        <v>0.28660607129662441</v>
      </c>
      <c r="CQ245" s="90">
        <f t="shared" si="41"/>
        <v>0.52511508164273202</v>
      </c>
      <c r="CR245" s="90">
        <f t="shared" si="41"/>
        <v>0.13864212168494036</v>
      </c>
    </row>
    <row r="246" spans="1:97" ht="25.5" thickTop="1" thickBot="1" x14ac:dyDescent="0.3">
      <c r="A246" s="3" t="s">
        <v>288</v>
      </c>
      <c r="B246" s="3">
        <v>222</v>
      </c>
      <c r="C246" s="3" t="s">
        <v>743</v>
      </c>
      <c r="D246" s="16">
        <v>45484</v>
      </c>
      <c r="E246" s="16" t="s">
        <v>521</v>
      </c>
      <c r="F246" s="16" t="s">
        <v>604</v>
      </c>
      <c r="G246" s="17">
        <f>H246*0.8</f>
        <v>10074.400000000001</v>
      </c>
      <c r="H246" s="17">
        <v>12593</v>
      </c>
      <c r="I246" s="17" t="s">
        <v>584</v>
      </c>
      <c r="J246" s="18"/>
      <c r="K246" s="18"/>
      <c r="L246" s="18"/>
      <c r="M246" s="18" t="s">
        <v>598</v>
      </c>
      <c r="N246" s="42">
        <v>44712</v>
      </c>
      <c r="O246" s="43">
        <v>26418</v>
      </c>
      <c r="P246" s="43">
        <v>19102</v>
      </c>
      <c r="Q246" s="43">
        <v>8644</v>
      </c>
      <c r="R246" s="44">
        <v>0.59084809447128295</v>
      </c>
      <c r="S246" s="44">
        <v>0.42722311683664299</v>
      </c>
      <c r="T246" s="44">
        <v>0.19332617641796401</v>
      </c>
      <c r="U246" s="44">
        <v>0.16362497763463901</v>
      </c>
      <c r="V246" s="44">
        <v>0.23389694041868</v>
      </c>
      <c r="W246" s="44">
        <v>9.6573626766863499E-2</v>
      </c>
      <c r="X246" s="44">
        <v>9.6752549651100403E-2</v>
      </c>
      <c r="Y246" s="45">
        <v>86976</v>
      </c>
      <c r="Z246" s="45">
        <v>106941</v>
      </c>
      <c r="AA246" s="45">
        <v>933615</v>
      </c>
      <c r="AB246" s="43">
        <v>134252</v>
      </c>
      <c r="AC246" s="43">
        <v>141920</v>
      </c>
      <c r="AD246" s="44">
        <v>5.7116467538658601E-2</v>
      </c>
      <c r="AE246" s="44">
        <v>0.34134478152152797</v>
      </c>
      <c r="AF246" s="44">
        <v>0.34854601793641798</v>
      </c>
      <c r="AG246" s="44">
        <v>8.5332062092184802E-2</v>
      </c>
      <c r="AH246" s="44">
        <v>0.263593838453058</v>
      </c>
      <c r="AI246" s="46">
        <v>0.20792241456365601</v>
      </c>
      <c r="AJ246" s="141">
        <v>77260</v>
      </c>
      <c r="AK246" s="142">
        <v>50770</v>
      </c>
      <c r="AL246" s="142">
        <v>39101</v>
      </c>
      <c r="AM246" s="142">
        <v>20413</v>
      </c>
      <c r="AN246" s="143">
        <v>0.65713176287859199</v>
      </c>
      <c r="AO246" s="143">
        <v>0.50609629821382296</v>
      </c>
      <c r="AP246" s="143">
        <v>0.26421175252394502</v>
      </c>
      <c r="AQ246" s="143">
        <v>0.151035464664768</v>
      </c>
      <c r="AR246" s="143">
        <v>0.24188454568987799</v>
      </c>
      <c r="AS246" s="143">
        <v>0.121938907584779</v>
      </c>
      <c r="AT246" s="143">
        <v>0.142272844939166</v>
      </c>
      <c r="AU246" s="144">
        <v>100758</v>
      </c>
      <c r="AV246" s="144">
        <v>123769</v>
      </c>
      <c r="AW246" s="144">
        <v>1376954</v>
      </c>
      <c r="AX246" s="142">
        <v>233384</v>
      </c>
      <c r="AY246" s="142">
        <v>248211</v>
      </c>
      <c r="AZ246" s="143">
        <v>6.35304905220581E-2</v>
      </c>
      <c r="BA246" s="143">
        <v>0.40259377960009901</v>
      </c>
      <c r="BB246" s="143">
        <v>0.28600932368971299</v>
      </c>
      <c r="BC246" s="143">
        <v>9.3018373153258102E-2</v>
      </c>
      <c r="BD246" s="143">
        <v>0.27120111061598101</v>
      </c>
      <c r="BE246" s="146">
        <v>0.224736914270044</v>
      </c>
      <c r="BF246" s="137">
        <v>102491</v>
      </c>
      <c r="BG246" s="138">
        <v>69504</v>
      </c>
      <c r="BH246" s="138">
        <v>54921</v>
      </c>
      <c r="BI246" s="138">
        <v>30925</v>
      </c>
      <c r="BJ246" s="135">
        <v>0.67814734952337297</v>
      </c>
      <c r="BK246" s="135">
        <v>0.53586168541627999</v>
      </c>
      <c r="BL246" s="135">
        <v>0.30173381077362899</v>
      </c>
      <c r="BM246" s="135">
        <v>0.14228566410709201</v>
      </c>
      <c r="BN246" s="135">
        <v>0.234127874642652</v>
      </c>
      <c r="BO246" s="135">
        <v>0.12982603350538099</v>
      </c>
      <c r="BP246" s="135">
        <v>0.17190777726824799</v>
      </c>
      <c r="BQ246" s="139">
        <v>105011</v>
      </c>
      <c r="BR246" s="139">
        <v>133674</v>
      </c>
      <c r="BS246" s="139">
        <v>1597272</v>
      </c>
      <c r="BT246" s="138">
        <v>311383</v>
      </c>
      <c r="BU246" s="138">
        <v>329196</v>
      </c>
      <c r="BV246" s="135">
        <v>5.7206077403069502E-2</v>
      </c>
      <c r="BW246" s="135">
        <v>0.43387004582400901</v>
      </c>
      <c r="BX246" s="135">
        <v>0.25396697957178099</v>
      </c>
      <c r="BY246" s="135">
        <v>0.10743682217719</v>
      </c>
      <c r="BZ246" s="135">
        <v>0.26361747430013799</v>
      </c>
      <c r="CA246" s="136">
        <v>0.23584139146966901</v>
      </c>
      <c r="CB246" s="98">
        <v>8700000</v>
      </c>
      <c r="CC246" s="83" t="s">
        <v>598</v>
      </c>
      <c r="CD246" s="83" t="s">
        <v>598</v>
      </c>
      <c r="CE246" s="83" t="s">
        <v>598</v>
      </c>
      <c r="CF246" s="83" t="s">
        <v>598</v>
      </c>
      <c r="CG246" s="99">
        <v>0.63</v>
      </c>
      <c r="CH246" s="99" t="str">
        <f t="shared" si="46"/>
        <v/>
      </c>
      <c r="CI246" s="90" t="str">
        <f t="shared" si="43"/>
        <v/>
      </c>
      <c r="CK246" s="98">
        <v>8700000</v>
      </c>
      <c r="CL246" s="83" t="s">
        <v>598</v>
      </c>
      <c r="CM246" s="83" t="s">
        <v>598</v>
      </c>
      <c r="CN246" s="83" t="s">
        <v>598</v>
      </c>
      <c r="CO246" s="83" t="s">
        <v>598</v>
      </c>
      <c r="CP246" s="99">
        <v>0.63</v>
      </c>
      <c r="CQ246" s="99" t="str">
        <f t="shared" ref="CQ246" si="47">IFERROR(CM246/$CB246,"")</f>
        <v/>
      </c>
      <c r="CR246" s="90" t="str">
        <f t="shared" si="41"/>
        <v/>
      </c>
    </row>
    <row r="247" spans="1:97" ht="37.5" thickTop="1" thickBot="1" x14ac:dyDescent="0.3">
      <c r="A247" s="3" t="s">
        <v>309</v>
      </c>
      <c r="B247" s="3">
        <v>2302</v>
      </c>
      <c r="C247" s="3" t="s">
        <v>264</v>
      </c>
      <c r="D247" s="16">
        <v>43762</v>
      </c>
      <c r="E247" s="16" t="s">
        <v>576</v>
      </c>
      <c r="F247" s="16" t="s">
        <v>513</v>
      </c>
      <c r="G247" s="17">
        <v>28975</v>
      </c>
      <c r="H247" s="17">
        <v>44300</v>
      </c>
      <c r="I247" s="17" t="s">
        <v>585</v>
      </c>
      <c r="J247" s="18" t="s">
        <v>581</v>
      </c>
      <c r="K247" s="18" t="s">
        <v>519</v>
      </c>
      <c r="L247" s="18"/>
      <c r="M247" s="18" t="s">
        <v>598</v>
      </c>
      <c r="N247" s="10">
        <v>33945</v>
      </c>
      <c r="O247" s="11">
        <v>23948</v>
      </c>
      <c r="P247" s="11">
        <v>19408</v>
      </c>
      <c r="Q247" s="11">
        <v>11496</v>
      </c>
      <c r="R247" s="12">
        <v>0.70549418176461898</v>
      </c>
      <c r="S247" s="12">
        <v>0.57174841655619402</v>
      </c>
      <c r="T247" s="12">
        <v>0.33866548828988102</v>
      </c>
      <c r="U247" s="12">
        <v>0.13374576520842499</v>
      </c>
      <c r="V247" s="12">
        <v>0.23308292826631299</v>
      </c>
      <c r="W247" s="12">
        <v>0.13733981440565601</v>
      </c>
      <c r="X247" s="12">
        <v>0.20132567388422401</v>
      </c>
      <c r="Y247" s="13">
        <v>110943</v>
      </c>
      <c r="Z247" s="13">
        <v>146385</v>
      </c>
      <c r="AA247" s="13">
        <v>1897977</v>
      </c>
      <c r="AB247" s="11">
        <v>80130</v>
      </c>
      <c r="AC247" s="11">
        <v>87129</v>
      </c>
      <c r="AD247" s="12">
        <v>8.7345563459378495E-2</v>
      </c>
      <c r="AE247" s="12">
        <v>0.67022739291380196</v>
      </c>
      <c r="AF247" s="12">
        <v>8.5261450143516798E-2</v>
      </c>
      <c r="AG247" s="12">
        <v>8.7370522900287004E-2</v>
      </c>
      <c r="AH247" s="12">
        <v>2.4747285660801199E-2</v>
      </c>
      <c r="AI247" s="14">
        <v>0.26310994633720203</v>
      </c>
      <c r="AJ247" s="4">
        <v>89577</v>
      </c>
      <c r="AK247" s="5">
        <v>62592</v>
      </c>
      <c r="AL247" s="5">
        <v>51085</v>
      </c>
      <c r="AM247" s="5">
        <v>30754</v>
      </c>
      <c r="AN247" s="6">
        <v>0.69875079540507001</v>
      </c>
      <c r="AO247" s="6">
        <v>0.57029148107215</v>
      </c>
      <c r="AP247" s="6">
        <v>0.34332473737678199</v>
      </c>
      <c r="AQ247" s="6">
        <v>0.12845931433291999</v>
      </c>
      <c r="AR247" s="6">
        <v>0.22696674369536801</v>
      </c>
      <c r="AS247" s="6">
        <v>0.143708764526608</v>
      </c>
      <c r="AT247" s="6">
        <v>0.19961597285017399</v>
      </c>
      <c r="AU247" s="7">
        <v>111081</v>
      </c>
      <c r="AV247" s="7">
        <v>144996</v>
      </c>
      <c r="AW247" s="7">
        <v>1897933</v>
      </c>
      <c r="AX247" s="5">
        <v>220993</v>
      </c>
      <c r="AY247" s="5">
        <v>239819</v>
      </c>
      <c r="AZ247" s="6">
        <v>8.5188218631359405E-2</v>
      </c>
      <c r="BA247" s="6">
        <v>0.660240901336827</v>
      </c>
      <c r="BB247" s="6">
        <v>8.6943930350735096E-2</v>
      </c>
      <c r="BC247" s="6">
        <v>8.4916716819084803E-2</v>
      </c>
      <c r="BD247" s="6">
        <v>2.6439751485341199E-2</v>
      </c>
      <c r="BE247" s="8">
        <v>0.25125230210911698</v>
      </c>
      <c r="BF247" s="10">
        <v>172977</v>
      </c>
      <c r="BG247" s="11">
        <v>114878</v>
      </c>
      <c r="BH247" s="11">
        <v>92614</v>
      </c>
      <c r="BI247" s="11">
        <v>54895</v>
      </c>
      <c r="BJ247" s="12">
        <v>0.664122975886968</v>
      </c>
      <c r="BK247" s="12">
        <v>0.53541222243419695</v>
      </c>
      <c r="BL247" s="12">
        <v>0.317354330344497</v>
      </c>
      <c r="BM247" s="12">
        <v>0.128710753452771</v>
      </c>
      <c r="BN247" s="12">
        <v>0.2180578920897</v>
      </c>
      <c r="BO247" s="12">
        <v>0.13744601883487401</v>
      </c>
      <c r="BP247" s="12">
        <v>0.179908311509623</v>
      </c>
      <c r="BQ247" s="13">
        <v>105448</v>
      </c>
      <c r="BR247" s="13">
        <v>137375</v>
      </c>
      <c r="BS247" s="13">
        <v>1760337</v>
      </c>
      <c r="BT247" s="11">
        <v>432775</v>
      </c>
      <c r="BU247" s="11">
        <v>464565</v>
      </c>
      <c r="BV247" s="12">
        <v>7.3456183929293498E-2</v>
      </c>
      <c r="BW247" s="12">
        <v>0.61147848368176305</v>
      </c>
      <c r="BX247" s="12">
        <v>0.103176015250419</v>
      </c>
      <c r="BY247" s="12">
        <v>7.5279302177805998E-2</v>
      </c>
      <c r="BZ247" s="12">
        <v>4.2983074345791697E-2</v>
      </c>
      <c r="CA247" s="14">
        <v>0.25075847726878903</v>
      </c>
      <c r="CB247" s="86">
        <f t="shared" ref="CB247:CB252" si="48">IF(SUM(CC247:CF247)=0,"",SUM(CC247:CF247))</f>
        <v>33791117.34402658</v>
      </c>
      <c r="CC247" s="83">
        <v>15062520.6502773</v>
      </c>
      <c r="CD247" s="83">
        <v>13465912.6037494</v>
      </c>
      <c r="CE247" s="83">
        <v>3963813.70999987</v>
      </c>
      <c r="CF247" s="83">
        <v>1298870.3800000099</v>
      </c>
      <c r="CG247" s="90">
        <f t="shared" ref="CG247:CG254" si="49">IFERROR(CC247/$CB247,"")</f>
        <v>0.44575384995193046</v>
      </c>
      <c r="CH247" s="90">
        <f t="shared" si="46"/>
        <v>0.3985045083491397</v>
      </c>
      <c r="CI247" s="90">
        <f t="shared" si="43"/>
        <v>0.11730342236524394</v>
      </c>
      <c r="CK247" s="86">
        <f t="shared" si="40"/>
        <v>33026400</v>
      </c>
      <c r="CL247" s="83">
        <v>14070288</v>
      </c>
      <c r="CM247" s="83">
        <v>13781035</v>
      </c>
      <c r="CN247" s="83">
        <v>3921826</v>
      </c>
      <c r="CO247" s="83">
        <v>1253251</v>
      </c>
      <c r="CP247" s="90">
        <f t="shared" si="41"/>
        <v>0.42603153840563912</v>
      </c>
      <c r="CQ247" s="90">
        <f t="shared" si="41"/>
        <v>0.41727330257006517</v>
      </c>
      <c r="CR247" s="90">
        <f t="shared" si="41"/>
        <v>0.11874821355037182</v>
      </c>
    </row>
    <row r="248" spans="1:97" ht="37.5" thickTop="1" thickBot="1" x14ac:dyDescent="0.3">
      <c r="A248" s="3" t="s">
        <v>291</v>
      </c>
      <c r="B248" s="3">
        <v>515</v>
      </c>
      <c r="C248" s="3" t="s">
        <v>70</v>
      </c>
      <c r="D248" s="16">
        <v>42761</v>
      </c>
      <c r="E248" s="16" t="s">
        <v>532</v>
      </c>
      <c r="F248" s="16" t="s">
        <v>352</v>
      </c>
      <c r="G248" s="17">
        <v>19036</v>
      </c>
      <c r="H248" s="17">
        <v>24780</v>
      </c>
      <c r="I248" s="17" t="s">
        <v>584</v>
      </c>
      <c r="J248" s="18"/>
      <c r="K248" s="18" t="s">
        <v>598</v>
      </c>
      <c r="L248" s="18"/>
      <c r="M248" s="18" t="s">
        <v>598</v>
      </c>
      <c r="N248" s="10">
        <v>33042</v>
      </c>
      <c r="O248" s="11">
        <v>14340</v>
      </c>
      <c r="P248" s="11">
        <v>9703</v>
      </c>
      <c r="Q248" s="11">
        <v>4529</v>
      </c>
      <c r="R248" s="12">
        <v>0.43399309969130201</v>
      </c>
      <c r="S248" s="12">
        <v>0.29365655831971399</v>
      </c>
      <c r="T248" s="12">
        <v>0.13706797409357799</v>
      </c>
      <c r="U248" s="12">
        <v>0.14033654137158799</v>
      </c>
      <c r="V248" s="12">
        <v>0.156588584226136</v>
      </c>
      <c r="W248" s="12">
        <v>6.6006900308698005E-2</v>
      </c>
      <c r="X248" s="12">
        <v>7.1061073784879802E-2</v>
      </c>
      <c r="Y248" s="13">
        <v>65265</v>
      </c>
      <c r="Z248" s="13">
        <v>88736</v>
      </c>
      <c r="AA248" s="13">
        <v>745508</v>
      </c>
      <c r="AB248" s="11">
        <v>80610</v>
      </c>
      <c r="AC248" s="11">
        <v>84029</v>
      </c>
      <c r="AD248" s="12">
        <v>4.2414092544349302E-2</v>
      </c>
      <c r="AE248" s="12">
        <v>0.38872821921769901</v>
      </c>
      <c r="AF248" s="12">
        <v>0.28361245503039301</v>
      </c>
      <c r="AG248" s="12">
        <v>0.10994913782409101</v>
      </c>
      <c r="AH248" s="12">
        <v>0.110755489393376</v>
      </c>
      <c r="AI248" s="14">
        <v>0.21604019352437701</v>
      </c>
      <c r="AJ248" s="4">
        <v>76885</v>
      </c>
      <c r="AK248" s="5">
        <v>42501</v>
      </c>
      <c r="AL248" s="5">
        <v>32836</v>
      </c>
      <c r="AM248" s="5">
        <v>17719</v>
      </c>
      <c r="AN248" s="6">
        <v>0.55278662938154399</v>
      </c>
      <c r="AO248" s="6">
        <v>0.42707940430513103</v>
      </c>
      <c r="AP248" s="6">
        <v>0.230461078233726</v>
      </c>
      <c r="AQ248" s="6">
        <v>0.12570722507641299</v>
      </c>
      <c r="AR248" s="6">
        <v>0.196618326071405</v>
      </c>
      <c r="AS248" s="6">
        <v>0.10217857839630599</v>
      </c>
      <c r="AT248" s="6">
        <v>0.12828249983741999</v>
      </c>
      <c r="AU248" s="7">
        <v>83880</v>
      </c>
      <c r="AV248" s="7">
        <v>113217</v>
      </c>
      <c r="AW248" s="7">
        <v>1300206</v>
      </c>
      <c r="AX248" s="5">
        <v>204846</v>
      </c>
      <c r="AY248" s="5">
        <v>216635</v>
      </c>
      <c r="AZ248" s="6">
        <v>5.7550550169395497E-2</v>
      </c>
      <c r="BA248" s="6">
        <v>0.46532141130981203</v>
      </c>
      <c r="BB248" s="6">
        <v>0.23455180965212899</v>
      </c>
      <c r="BC248" s="6">
        <v>0.107607666246839</v>
      </c>
      <c r="BD248" s="6">
        <v>8.11682922781016E-2</v>
      </c>
      <c r="BE248" s="8">
        <v>0.243172920144889</v>
      </c>
      <c r="BF248" s="10">
        <v>126824</v>
      </c>
      <c r="BG248" s="11">
        <v>72224</v>
      </c>
      <c r="BH248" s="11">
        <v>55783</v>
      </c>
      <c r="BI248" s="11">
        <v>29210</v>
      </c>
      <c r="BJ248" s="12">
        <v>0.56948211694947304</v>
      </c>
      <c r="BK248" s="12">
        <v>0.43984577051662099</v>
      </c>
      <c r="BL248" s="12">
        <v>0.23031918248911901</v>
      </c>
      <c r="BM248" s="12">
        <v>0.12963634643285199</v>
      </c>
      <c r="BN248" s="12">
        <v>0.20952658802750301</v>
      </c>
      <c r="BO248" s="12">
        <v>0.104885510628903</v>
      </c>
      <c r="BP248" s="12">
        <v>0.12543367186021601</v>
      </c>
      <c r="BQ248" s="13">
        <v>86697</v>
      </c>
      <c r="BR248" s="13">
        <v>113367</v>
      </c>
      <c r="BS248" s="13">
        <v>1312246</v>
      </c>
      <c r="BT248" s="11">
        <v>345510</v>
      </c>
      <c r="BU248" s="11">
        <v>367495</v>
      </c>
      <c r="BV248" s="12">
        <v>6.3630575091893099E-2</v>
      </c>
      <c r="BW248" s="12">
        <v>0.43893579007087402</v>
      </c>
      <c r="BX248" s="12">
        <v>0.26135567711498903</v>
      </c>
      <c r="BY248" s="12">
        <v>0.10296084049665701</v>
      </c>
      <c r="BZ248" s="12">
        <v>9.0981447714972102E-2</v>
      </c>
      <c r="CA248" s="14">
        <v>0.24301467396023299</v>
      </c>
      <c r="CB248" s="86">
        <f t="shared" si="48"/>
        <v>30277030.99888844</v>
      </c>
      <c r="CC248" s="83">
        <v>6832057.6788887</v>
      </c>
      <c r="CD248" s="83">
        <v>18660718.7999998</v>
      </c>
      <c r="CE248" s="83">
        <v>3289296.9899999299</v>
      </c>
      <c r="CF248" s="83">
        <v>1494957.53000001</v>
      </c>
      <c r="CG248" s="90">
        <f t="shared" si="49"/>
        <v>0.22565150721480998</v>
      </c>
      <c r="CH248" s="90">
        <f t="shared" si="46"/>
        <v>0.61633251954872625</v>
      </c>
      <c r="CI248" s="90">
        <f t="shared" si="43"/>
        <v>0.10864001130496216</v>
      </c>
      <c r="CK248" s="86">
        <f t="shared" si="40"/>
        <v>30473650</v>
      </c>
      <c r="CL248" s="83">
        <v>6749771</v>
      </c>
      <c r="CM248" s="83">
        <v>18913701</v>
      </c>
      <c r="CN248" s="83">
        <v>3365053</v>
      </c>
      <c r="CO248" s="83">
        <v>1445125</v>
      </c>
      <c r="CP248" s="90">
        <f t="shared" si="41"/>
        <v>0.2214953246493282</v>
      </c>
      <c r="CQ248" s="90">
        <f t="shared" si="41"/>
        <v>0.62065755168809777</v>
      </c>
      <c r="CR248" s="90">
        <f t="shared" si="41"/>
        <v>0.11042500652202805</v>
      </c>
    </row>
    <row r="249" spans="1:97" ht="37.5" thickTop="1" thickBot="1" x14ac:dyDescent="0.3">
      <c r="A249" s="3" t="s">
        <v>291</v>
      </c>
      <c r="B249" s="3">
        <v>501</v>
      </c>
      <c r="C249" s="3" t="s">
        <v>56</v>
      </c>
      <c r="D249" s="16">
        <v>41053</v>
      </c>
      <c r="E249" s="16" t="s">
        <v>529</v>
      </c>
      <c r="F249" s="16" t="s">
        <v>339</v>
      </c>
      <c r="G249" s="17">
        <v>21947</v>
      </c>
      <c r="H249" s="17">
        <v>29863</v>
      </c>
      <c r="I249" s="17" t="s">
        <v>585</v>
      </c>
      <c r="J249" s="18" t="s">
        <v>581</v>
      </c>
      <c r="K249" s="18" t="s">
        <v>519</v>
      </c>
      <c r="L249" s="18"/>
      <c r="M249" s="18" t="s">
        <v>598</v>
      </c>
      <c r="N249" s="10">
        <v>71023</v>
      </c>
      <c r="O249" s="11">
        <v>36044</v>
      </c>
      <c r="P249" s="11">
        <v>28882</v>
      </c>
      <c r="Q249" s="11">
        <v>19460</v>
      </c>
      <c r="R249" s="12">
        <v>0.50749757120932704</v>
      </c>
      <c r="S249" s="12">
        <v>0.40665699843712599</v>
      </c>
      <c r="T249" s="12">
        <v>0.27399574785632802</v>
      </c>
      <c r="U249" s="12">
        <v>0.100840572772201</v>
      </c>
      <c r="V249" s="12">
        <v>0.132661250580798</v>
      </c>
      <c r="W249" s="12">
        <v>6.2416400321022802E-2</v>
      </c>
      <c r="X249" s="12">
        <v>0.211579347535305</v>
      </c>
      <c r="Y249" s="13">
        <v>76465</v>
      </c>
      <c r="Z249" s="13">
        <v>138748</v>
      </c>
      <c r="AA249" s="13">
        <v>1609167</v>
      </c>
      <c r="AB249" s="11">
        <v>163797</v>
      </c>
      <c r="AC249" s="11">
        <v>174839</v>
      </c>
      <c r="AD249" s="12">
        <v>6.7412712076533807E-2</v>
      </c>
      <c r="AE249" s="12">
        <v>0.61879098583384695</v>
      </c>
      <c r="AF249" s="12">
        <v>0.236744262715434</v>
      </c>
      <c r="AG249" s="12">
        <v>6.0581085123659201E-2</v>
      </c>
      <c r="AH249" s="12">
        <v>0.13284126082895301</v>
      </c>
      <c r="AI249" s="14">
        <v>0.21627990744641201</v>
      </c>
      <c r="AJ249" s="4">
        <v>189335</v>
      </c>
      <c r="AK249" s="5">
        <v>94179</v>
      </c>
      <c r="AL249" s="5">
        <v>74090</v>
      </c>
      <c r="AM249" s="5">
        <v>47114</v>
      </c>
      <c r="AN249" s="6">
        <v>0.497419917078195</v>
      </c>
      <c r="AO249" s="6">
        <v>0.391316977843505</v>
      </c>
      <c r="AP249" s="6">
        <v>0.248839358808461</v>
      </c>
      <c r="AQ249" s="6">
        <v>0.10610293923469</v>
      </c>
      <c r="AR249" s="6">
        <v>0.142477619035044</v>
      </c>
      <c r="AS249" s="6">
        <v>6.5598014101988497E-2</v>
      </c>
      <c r="AT249" s="6">
        <v>0.18324134470647299</v>
      </c>
      <c r="AU249" s="7">
        <v>74425</v>
      </c>
      <c r="AV249" s="7">
        <v>128623</v>
      </c>
      <c r="AW249" s="7">
        <v>1348097</v>
      </c>
      <c r="AX249" s="5">
        <v>438835</v>
      </c>
      <c r="AY249" s="5">
        <v>471133</v>
      </c>
      <c r="AZ249" s="6">
        <v>7.3599416637232698E-2</v>
      </c>
      <c r="BA249" s="6">
        <v>0.56633464862264604</v>
      </c>
      <c r="BB249" s="6">
        <v>0.303510431027607</v>
      </c>
      <c r="BC249" s="6">
        <v>6.0888488839768898E-2</v>
      </c>
      <c r="BD249" s="6">
        <v>0.14401996194469399</v>
      </c>
      <c r="BE249" s="8">
        <v>0.21299349413788801</v>
      </c>
      <c r="BF249" s="10">
        <v>357717</v>
      </c>
      <c r="BG249" s="11">
        <v>167295</v>
      </c>
      <c r="BH249" s="11">
        <v>124005</v>
      </c>
      <c r="BI249" s="11">
        <v>70623</v>
      </c>
      <c r="BJ249" s="12">
        <v>0.46767416700911602</v>
      </c>
      <c r="BK249" s="12">
        <v>0.34665671466550402</v>
      </c>
      <c r="BL249" s="12">
        <v>0.19742701632855</v>
      </c>
      <c r="BM249" s="12">
        <v>0.121017452343612</v>
      </c>
      <c r="BN249" s="12">
        <v>0.14922969833695399</v>
      </c>
      <c r="BO249" s="12">
        <v>6.3080591640878106E-2</v>
      </c>
      <c r="BP249" s="12">
        <v>0.13434642468767199</v>
      </c>
      <c r="BQ249" s="13">
        <v>68777</v>
      </c>
      <c r="BR249" s="13">
        <v>110812</v>
      </c>
      <c r="BS249" s="13">
        <v>980784</v>
      </c>
      <c r="BT249" s="11">
        <v>849710</v>
      </c>
      <c r="BU249" s="11">
        <v>911990</v>
      </c>
      <c r="BV249" s="12">
        <v>7.3295594967694902E-2</v>
      </c>
      <c r="BW249" s="12">
        <v>0.48989864859010801</v>
      </c>
      <c r="BX249" s="12">
        <v>0.38193618999423301</v>
      </c>
      <c r="BY249" s="12">
        <v>6.4622047522095799E-2</v>
      </c>
      <c r="BZ249" s="12">
        <v>0.142641607136552</v>
      </c>
      <c r="CA249" s="14">
        <v>0.20322227583528499</v>
      </c>
      <c r="CB249" s="86">
        <f t="shared" si="48"/>
        <v>39780146.833332837</v>
      </c>
      <c r="CC249" s="83">
        <v>16208620.325332901</v>
      </c>
      <c r="CD249" s="83">
        <v>19118548.780000001</v>
      </c>
      <c r="CE249" s="83">
        <v>3005079.4279999398</v>
      </c>
      <c r="CF249" s="83">
        <v>1447898.3</v>
      </c>
      <c r="CG249" s="90">
        <f t="shared" si="49"/>
        <v>0.40745501501646719</v>
      </c>
      <c r="CH249" s="90">
        <f t="shared" si="46"/>
        <v>0.48060528434198901</v>
      </c>
      <c r="CI249" s="90">
        <f t="shared" si="43"/>
        <v>7.5542190444654267E-2</v>
      </c>
      <c r="CK249" s="86">
        <f t="shared" si="40"/>
        <v>40451217</v>
      </c>
      <c r="CL249" s="83">
        <v>16431842</v>
      </c>
      <c r="CM249" s="83">
        <v>19641464</v>
      </c>
      <c r="CN249" s="83">
        <v>2982241</v>
      </c>
      <c r="CO249" s="83">
        <v>1395670</v>
      </c>
      <c r="CP249" s="90">
        <f t="shared" si="41"/>
        <v>0.40621378585469997</v>
      </c>
      <c r="CQ249" s="90">
        <f t="shared" si="41"/>
        <v>0.4855592849035914</v>
      </c>
      <c r="CR249" s="90">
        <f t="shared" si="41"/>
        <v>7.3724382631059029E-2</v>
      </c>
    </row>
    <row r="250" spans="1:97" ht="37.5" thickTop="1" thickBot="1" x14ac:dyDescent="0.3">
      <c r="A250" s="3" t="s">
        <v>304</v>
      </c>
      <c r="B250" s="3">
        <v>1803</v>
      </c>
      <c r="C250" s="3" t="s">
        <v>249</v>
      </c>
      <c r="D250" s="16">
        <v>42327</v>
      </c>
      <c r="E250" s="16" t="s">
        <v>569</v>
      </c>
      <c r="F250" s="16" t="s">
        <v>501</v>
      </c>
      <c r="G250" s="17">
        <v>22684</v>
      </c>
      <c r="H250" s="17">
        <v>40926</v>
      </c>
      <c r="I250" s="17" t="s">
        <v>585</v>
      </c>
      <c r="J250" s="18"/>
      <c r="K250" s="18" t="s">
        <v>598</v>
      </c>
      <c r="L250" s="18"/>
      <c r="M250" s="18" t="s">
        <v>598</v>
      </c>
      <c r="N250" s="10">
        <v>20154</v>
      </c>
      <c r="O250" s="11">
        <v>13988</v>
      </c>
      <c r="P250" s="11">
        <v>11989</v>
      </c>
      <c r="Q250" s="11">
        <v>8183</v>
      </c>
      <c r="R250" s="12">
        <v>0.69405577056663703</v>
      </c>
      <c r="S250" s="12">
        <v>0.59486950481293999</v>
      </c>
      <c r="T250" s="12">
        <v>0.40602361814032001</v>
      </c>
      <c r="U250" s="12">
        <v>9.9186265753696504E-2</v>
      </c>
      <c r="V250" s="12">
        <v>0.18884588667262101</v>
      </c>
      <c r="W250" s="12">
        <v>0.140617247196586</v>
      </c>
      <c r="X250" s="12">
        <v>0.26540637094373298</v>
      </c>
      <c r="Y250" s="13">
        <v>120261</v>
      </c>
      <c r="Z250" s="13">
        <v>170937</v>
      </c>
      <c r="AA250" s="13">
        <v>2870771</v>
      </c>
      <c r="AB250" s="11">
        <v>50027</v>
      </c>
      <c r="AC250" s="11">
        <v>51078</v>
      </c>
      <c r="AD250" s="12">
        <v>2.10086553261239E-2</v>
      </c>
      <c r="AE250" s="12">
        <v>0.71213943914240696</v>
      </c>
      <c r="AF250" s="12">
        <v>3.3601854998300901E-2</v>
      </c>
      <c r="AG250" s="12">
        <v>0.11265916405141201</v>
      </c>
      <c r="AH250" s="12">
        <v>2.9344154156755401E-2</v>
      </c>
      <c r="AI250" s="14">
        <v>0.31171167569512498</v>
      </c>
      <c r="AJ250" s="4">
        <v>47303</v>
      </c>
      <c r="AK250" s="5">
        <v>31871</v>
      </c>
      <c r="AL250" s="5">
        <v>26807</v>
      </c>
      <c r="AM250" s="5">
        <v>17502</v>
      </c>
      <c r="AN250" s="6">
        <v>0.67376276346109099</v>
      </c>
      <c r="AO250" s="6">
        <v>0.56670824260617703</v>
      </c>
      <c r="AP250" s="6">
        <v>0.369997674566095</v>
      </c>
      <c r="AQ250" s="6">
        <v>0.107054520854914</v>
      </c>
      <c r="AR250" s="6">
        <v>0.196710568040082</v>
      </c>
      <c r="AS250" s="6">
        <v>0.135572796651375</v>
      </c>
      <c r="AT250" s="6">
        <v>0.23442487791472</v>
      </c>
      <c r="AU250" s="7">
        <v>112649</v>
      </c>
      <c r="AV250" s="7">
        <v>158287</v>
      </c>
      <c r="AW250" s="7">
        <v>2597742</v>
      </c>
      <c r="AX250" s="5">
        <v>122314</v>
      </c>
      <c r="AY250" s="5">
        <v>123893</v>
      </c>
      <c r="AZ250" s="6">
        <v>1.29093971254313E-2</v>
      </c>
      <c r="BA250" s="6">
        <v>0.65559395297004597</v>
      </c>
      <c r="BB250" s="6">
        <v>3.4329676079598401E-2</v>
      </c>
      <c r="BC250" s="6">
        <v>9.5900714554343694E-2</v>
      </c>
      <c r="BD250" s="6">
        <v>3.2596432133688701E-2</v>
      </c>
      <c r="BE250" s="8">
        <v>0.299434243013882</v>
      </c>
      <c r="BF250" s="10">
        <v>90812</v>
      </c>
      <c r="BG250" s="11">
        <v>60110</v>
      </c>
      <c r="BH250" s="11">
        <v>49370</v>
      </c>
      <c r="BI250" s="11">
        <v>30324</v>
      </c>
      <c r="BJ250" s="12">
        <v>0.66191692727833296</v>
      </c>
      <c r="BK250" s="12">
        <v>0.54365061886094301</v>
      </c>
      <c r="BL250" s="12">
        <v>0.33392062722988203</v>
      </c>
      <c r="BM250" s="12">
        <v>0.11826630841739</v>
      </c>
      <c r="BN250" s="12">
        <v>0.20972999163106201</v>
      </c>
      <c r="BO250" s="12">
        <v>0.12867242214685301</v>
      </c>
      <c r="BP250" s="12">
        <v>0.20524820508302899</v>
      </c>
      <c r="BQ250" s="13">
        <v>107211</v>
      </c>
      <c r="BR250" s="13">
        <v>148284</v>
      </c>
      <c r="BS250" s="13">
        <v>2316157</v>
      </c>
      <c r="BT250" s="11">
        <v>235125</v>
      </c>
      <c r="BU250" s="11">
        <v>238994</v>
      </c>
      <c r="BV250" s="12">
        <v>1.6455077086656E-2</v>
      </c>
      <c r="BW250" s="12">
        <v>0.62737350195795405</v>
      </c>
      <c r="BX250" s="12">
        <v>3.4513556618819802E-2</v>
      </c>
      <c r="BY250" s="12">
        <v>9.0419989367357803E-2</v>
      </c>
      <c r="BZ250" s="12">
        <v>4.1339712918660301E-2</v>
      </c>
      <c r="CA250" s="14">
        <v>0.28984582668793202</v>
      </c>
      <c r="CB250" s="86">
        <f t="shared" si="48"/>
        <v>19027757.71072166</v>
      </c>
      <c r="CC250" s="83">
        <v>8351488.2882220102</v>
      </c>
      <c r="CD250" s="83">
        <v>7171601.5124996603</v>
      </c>
      <c r="CE250" s="83">
        <v>2386590.30999998</v>
      </c>
      <c r="CF250" s="83">
        <v>1118077.6000000101</v>
      </c>
      <c r="CG250" s="90">
        <f t="shared" si="49"/>
        <v>0.4389107962792777</v>
      </c>
      <c r="CH250" s="90">
        <f t="shared" si="46"/>
        <v>0.37690208281654985</v>
      </c>
      <c r="CI250" s="90">
        <f t="shared" si="43"/>
        <v>0.12542677630665838</v>
      </c>
      <c r="CK250" s="86">
        <f t="shared" si="40"/>
        <v>18765426</v>
      </c>
      <c r="CL250" s="83">
        <v>8057278</v>
      </c>
      <c r="CM250" s="83">
        <v>7214744</v>
      </c>
      <c r="CN250" s="83">
        <v>2367623</v>
      </c>
      <c r="CO250" s="83">
        <v>1125781</v>
      </c>
      <c r="CP250" s="90">
        <f t="shared" si="41"/>
        <v>0.42936824349204755</v>
      </c>
      <c r="CQ250" s="90">
        <f t="shared" si="41"/>
        <v>0.38447003547907732</v>
      </c>
      <c r="CR250" s="90">
        <f t="shared" si="41"/>
        <v>0.12616942455769456</v>
      </c>
    </row>
    <row r="251" spans="1:97" ht="37.5" thickTop="1" thickBot="1" x14ac:dyDescent="0.3">
      <c r="A251" s="3" t="s">
        <v>302</v>
      </c>
      <c r="B251" s="3">
        <v>1606</v>
      </c>
      <c r="C251" s="3" t="s">
        <v>235</v>
      </c>
      <c r="D251" s="16">
        <v>42507</v>
      </c>
      <c r="E251" s="16" t="s">
        <v>567</v>
      </c>
      <c r="F251" s="16" t="s">
        <v>490</v>
      </c>
      <c r="G251" s="17">
        <v>15932</v>
      </c>
      <c r="H251" s="17">
        <v>19909</v>
      </c>
      <c r="I251" s="17" t="s">
        <v>583</v>
      </c>
      <c r="J251" s="18"/>
      <c r="K251" s="18" t="s">
        <v>598</v>
      </c>
      <c r="L251" s="18"/>
      <c r="M251" s="18" t="s">
        <v>598</v>
      </c>
      <c r="N251" s="10">
        <v>17682</v>
      </c>
      <c r="O251" s="11">
        <v>13414</v>
      </c>
      <c r="P251" s="11">
        <v>11438</v>
      </c>
      <c r="Q251" s="11">
        <v>8083</v>
      </c>
      <c r="R251" s="12">
        <v>0.75862458997850901</v>
      </c>
      <c r="S251" s="12">
        <v>0.64687252573238296</v>
      </c>
      <c r="T251" s="12">
        <v>0.45713154620517998</v>
      </c>
      <c r="U251" s="12">
        <v>0.11175206424612601</v>
      </c>
      <c r="V251" s="12">
        <v>0.18974097952720301</v>
      </c>
      <c r="W251" s="12">
        <v>0.15371564302680699</v>
      </c>
      <c r="X251" s="12">
        <v>0.30341590317837303</v>
      </c>
      <c r="Y251" s="13">
        <v>135082</v>
      </c>
      <c r="Z251" s="13">
        <v>169516</v>
      </c>
      <c r="AA251" s="13">
        <v>2679697</v>
      </c>
      <c r="AB251" s="11">
        <v>49375</v>
      </c>
      <c r="AC251" s="11">
        <v>51273</v>
      </c>
      <c r="AD251" s="12">
        <v>3.8440506329113902E-2</v>
      </c>
      <c r="AE251" s="12">
        <v>0.68704855685603905</v>
      </c>
      <c r="AF251" s="12">
        <v>2.5296202531645599E-2</v>
      </c>
      <c r="AG251" s="12">
        <v>7.60101265822785E-2</v>
      </c>
      <c r="AH251" s="12">
        <v>2.8010126582278499E-2</v>
      </c>
      <c r="AI251" s="14">
        <v>0.30557974683544298</v>
      </c>
      <c r="AJ251" s="4">
        <v>47856</v>
      </c>
      <c r="AK251" s="5">
        <v>31705</v>
      </c>
      <c r="AL251" s="5">
        <v>25639</v>
      </c>
      <c r="AM251" s="5">
        <v>16835</v>
      </c>
      <c r="AN251" s="6">
        <v>0.66250835840855904</v>
      </c>
      <c r="AO251" s="6">
        <v>0.53575309261116699</v>
      </c>
      <c r="AP251" s="6">
        <v>0.35178452022734902</v>
      </c>
      <c r="AQ251" s="6">
        <v>0.12675526579739199</v>
      </c>
      <c r="AR251" s="6">
        <v>0.183968572383818</v>
      </c>
      <c r="AS251" s="6">
        <v>0.12698512203276499</v>
      </c>
      <c r="AT251" s="6">
        <v>0.224799398194584</v>
      </c>
      <c r="AU251" s="7">
        <v>106882</v>
      </c>
      <c r="AV251" s="7">
        <v>143954</v>
      </c>
      <c r="AW251" s="7">
        <v>2103706</v>
      </c>
      <c r="AX251" s="5">
        <v>125092</v>
      </c>
      <c r="AY251" s="5">
        <v>130236</v>
      </c>
      <c r="AZ251" s="6">
        <v>4.1121734403479E-2</v>
      </c>
      <c r="BA251" s="6">
        <v>0.60033547342240701</v>
      </c>
      <c r="BB251" s="6">
        <v>5.1386179771688002E-2</v>
      </c>
      <c r="BC251" s="6">
        <v>7.0923800083138797E-2</v>
      </c>
      <c r="BD251" s="6">
        <v>5.5335273238896199E-2</v>
      </c>
      <c r="BE251" s="8">
        <v>0.28208038883381797</v>
      </c>
      <c r="BF251" s="10">
        <v>82594</v>
      </c>
      <c r="BG251" s="11">
        <v>55214</v>
      </c>
      <c r="BH251" s="11">
        <v>44600</v>
      </c>
      <c r="BI251" s="11">
        <v>28903</v>
      </c>
      <c r="BJ251" s="12">
        <v>0.66849892243988696</v>
      </c>
      <c r="BK251" s="12">
        <v>0.53999079836307695</v>
      </c>
      <c r="BL251" s="12">
        <v>0.34994067365668202</v>
      </c>
      <c r="BM251" s="12">
        <v>0.128508124076809</v>
      </c>
      <c r="BN251" s="12">
        <v>0.19005012470639501</v>
      </c>
      <c r="BO251" s="12">
        <v>0.13022737729132899</v>
      </c>
      <c r="BP251" s="12">
        <v>0.219713296365353</v>
      </c>
      <c r="BQ251" s="13">
        <v>107457</v>
      </c>
      <c r="BR251" s="13">
        <v>143930</v>
      </c>
      <c r="BS251" s="13">
        <v>2066231</v>
      </c>
      <c r="BT251" s="11">
        <v>216229</v>
      </c>
      <c r="BU251" s="11">
        <v>225859</v>
      </c>
      <c r="BV251" s="12">
        <v>4.45361168020941E-2</v>
      </c>
      <c r="BW251" s="12">
        <v>0.58240424775913302</v>
      </c>
      <c r="BX251" s="12">
        <v>5.3452589615639E-2</v>
      </c>
      <c r="BY251" s="12">
        <v>6.9273779187805501E-2</v>
      </c>
      <c r="BZ251" s="12">
        <v>5.6417039342548901E-2</v>
      </c>
      <c r="CA251" s="14">
        <v>0.26649061874216701</v>
      </c>
      <c r="CB251" s="86">
        <f t="shared" si="48"/>
        <v>33226598.600332379</v>
      </c>
      <c r="CC251" s="83">
        <v>13063539.6901663</v>
      </c>
      <c r="CD251" s="83">
        <v>11192143.199999601</v>
      </c>
      <c r="CE251" s="83">
        <v>8058774.37416647</v>
      </c>
      <c r="CF251" s="83">
        <v>912141.33600000502</v>
      </c>
      <c r="CG251" s="90">
        <f t="shared" si="49"/>
        <v>0.39316512193443781</v>
      </c>
      <c r="CH251" s="90">
        <f t="shared" si="46"/>
        <v>0.33684288104914961</v>
      </c>
      <c r="CI251" s="90">
        <f t="shared" si="43"/>
        <v>0.2425398540218274</v>
      </c>
      <c r="CK251" s="86">
        <f t="shared" si="40"/>
        <v>33397900</v>
      </c>
      <c r="CL251" s="83">
        <v>12817973</v>
      </c>
      <c r="CM251" s="83">
        <v>11259432</v>
      </c>
      <c r="CN251" s="83">
        <v>8404189</v>
      </c>
      <c r="CO251" s="83">
        <v>916306</v>
      </c>
      <c r="CP251" s="90">
        <f t="shared" si="41"/>
        <v>0.38379577757882982</v>
      </c>
      <c r="CQ251" s="90">
        <f t="shared" si="41"/>
        <v>0.33712993930756124</v>
      </c>
      <c r="CR251" s="90">
        <f t="shared" si="41"/>
        <v>0.2516382467161109</v>
      </c>
    </row>
    <row r="252" spans="1:97" ht="37.5" thickTop="1" thickBot="1" x14ac:dyDescent="0.3">
      <c r="A252" s="3" t="s">
        <v>288</v>
      </c>
      <c r="B252" s="3">
        <v>202</v>
      </c>
      <c r="C252" s="3" t="s">
        <v>29</v>
      </c>
      <c r="D252" s="16">
        <v>35735</v>
      </c>
      <c r="E252" s="16" t="s">
        <v>521</v>
      </c>
      <c r="F252" s="16" t="s">
        <v>317</v>
      </c>
      <c r="G252" s="17">
        <v>10198</v>
      </c>
      <c r="H252" s="17">
        <v>13688</v>
      </c>
      <c r="I252" s="17" t="s">
        <v>584</v>
      </c>
      <c r="J252" s="18"/>
      <c r="K252" s="18" t="s">
        <v>598</v>
      </c>
      <c r="L252" s="18" t="s">
        <v>587</v>
      </c>
      <c r="M252" s="18" t="s">
        <v>598</v>
      </c>
      <c r="N252" s="10">
        <v>43354</v>
      </c>
      <c r="O252" s="11">
        <v>31002</v>
      </c>
      <c r="P252" s="11">
        <v>25604</v>
      </c>
      <c r="Q252" s="11">
        <v>15509</v>
      </c>
      <c r="R252" s="12">
        <v>0.71508972643816004</v>
      </c>
      <c r="S252" s="12">
        <v>0.59057987728929295</v>
      </c>
      <c r="T252" s="12">
        <v>0.35772939059832998</v>
      </c>
      <c r="U252" s="12">
        <v>0.12450984914886699</v>
      </c>
      <c r="V252" s="12">
        <v>0.232850486690963</v>
      </c>
      <c r="W252" s="12">
        <v>0.17340960465009</v>
      </c>
      <c r="X252" s="12">
        <v>0.18431978594824</v>
      </c>
      <c r="Y252" s="13">
        <v>114421</v>
      </c>
      <c r="Z252" s="13">
        <v>143306</v>
      </c>
      <c r="AA252" s="13">
        <v>1847657</v>
      </c>
      <c r="AB252" s="11">
        <v>116185</v>
      </c>
      <c r="AC252" s="11">
        <v>117584</v>
      </c>
      <c r="AD252" s="12">
        <v>1.2041141283298199E-2</v>
      </c>
      <c r="AE252" s="12">
        <v>0.53844108118562894</v>
      </c>
      <c r="AF252" s="12">
        <v>0.193871842320437</v>
      </c>
      <c r="AG252" s="12">
        <v>0.20085208934027601</v>
      </c>
      <c r="AH252" s="12">
        <v>0.14120583552093599</v>
      </c>
      <c r="AI252" s="14">
        <v>0.25315660369238702</v>
      </c>
      <c r="AJ252" s="4">
        <v>126019</v>
      </c>
      <c r="AK252" s="5">
        <v>85890</v>
      </c>
      <c r="AL252" s="5">
        <v>70148</v>
      </c>
      <c r="AM252" s="5">
        <v>44210</v>
      </c>
      <c r="AN252" s="6">
        <v>0.68156389115926996</v>
      </c>
      <c r="AO252" s="6">
        <v>0.55664622001444197</v>
      </c>
      <c r="AP252" s="6">
        <v>0.35082011442719002</v>
      </c>
      <c r="AQ252" s="6">
        <v>0.12491767114482701</v>
      </c>
      <c r="AR252" s="6">
        <v>0.20582610558725301</v>
      </c>
      <c r="AS252" s="6">
        <v>0.15281822582308999</v>
      </c>
      <c r="AT252" s="6">
        <v>0.19800188860409901</v>
      </c>
      <c r="AU252" s="7">
        <v>109886</v>
      </c>
      <c r="AV252" s="7">
        <v>145349</v>
      </c>
      <c r="AW252" s="7">
        <v>1897495</v>
      </c>
      <c r="AX252" s="5">
        <v>339666</v>
      </c>
      <c r="AY252" s="5">
        <v>343052</v>
      </c>
      <c r="AZ252" s="6">
        <v>9.9686162288836703E-3</v>
      </c>
      <c r="BA252" s="6">
        <v>0.544970806849435</v>
      </c>
      <c r="BB252" s="6">
        <v>0.207948396365842</v>
      </c>
      <c r="BC252" s="6">
        <v>0.17851359865279401</v>
      </c>
      <c r="BD252" s="6">
        <v>0.15740757096677299</v>
      </c>
      <c r="BE252" s="8">
        <v>0.24924779047652701</v>
      </c>
      <c r="BF252" s="10">
        <v>266525</v>
      </c>
      <c r="BG252" s="11">
        <v>177276</v>
      </c>
      <c r="BH252" s="11">
        <v>144900</v>
      </c>
      <c r="BI252" s="11">
        <v>92475</v>
      </c>
      <c r="BJ252" s="12">
        <v>0.66513835475096195</v>
      </c>
      <c r="BK252" s="12">
        <v>0.54366382140512104</v>
      </c>
      <c r="BL252" s="12">
        <v>0.34696557546196399</v>
      </c>
      <c r="BM252" s="12">
        <v>0.12147453334584001</v>
      </c>
      <c r="BN252" s="12">
        <v>0.19669824594315699</v>
      </c>
      <c r="BO252" s="12">
        <v>0.142511959478473</v>
      </c>
      <c r="BP252" s="12">
        <v>0.20445361598349099</v>
      </c>
      <c r="BQ252" s="13">
        <v>107852</v>
      </c>
      <c r="BR252" s="13">
        <v>147000</v>
      </c>
      <c r="BS252" s="13">
        <v>1767173</v>
      </c>
      <c r="BT252" s="11">
        <v>701404</v>
      </c>
      <c r="BU252" s="11">
        <v>715754</v>
      </c>
      <c r="BV252" s="12">
        <v>2.0458965161305E-2</v>
      </c>
      <c r="BW252" s="12">
        <v>0.56500308320613002</v>
      </c>
      <c r="BX252" s="12">
        <v>0.219360026461212</v>
      </c>
      <c r="BY252" s="12">
        <v>0.160354089797036</v>
      </c>
      <c r="BZ252" s="12">
        <v>0.154195014570775</v>
      </c>
      <c r="CA252" s="14">
        <v>0.244133195704615</v>
      </c>
      <c r="CB252" s="86">
        <f t="shared" si="48"/>
        <v>14549868.922777373</v>
      </c>
      <c r="CC252" s="83">
        <v>8924923.4527774993</v>
      </c>
      <c r="CD252" s="83">
        <v>193410.73</v>
      </c>
      <c r="CE252" s="83">
        <v>4794715.4999998696</v>
      </c>
      <c r="CF252" s="83">
        <v>636819.24000000302</v>
      </c>
      <c r="CG252" s="90">
        <f t="shared" si="49"/>
        <v>0.61340232686260188</v>
      </c>
      <c r="CH252" s="90">
        <f t="shared" si="46"/>
        <v>1.3292953429788047E-2</v>
      </c>
      <c r="CI252" s="90">
        <f t="shared" si="43"/>
        <v>0.32953668005172815</v>
      </c>
      <c r="CK252" s="86">
        <f t="shared" si="40"/>
        <v>14378170</v>
      </c>
      <c r="CL252" s="83">
        <v>8651060</v>
      </c>
      <c r="CM252" s="83">
        <v>224030</v>
      </c>
      <c r="CN252" s="83">
        <v>4873483</v>
      </c>
      <c r="CO252" s="83">
        <v>629597</v>
      </c>
      <c r="CP252" s="90">
        <f t="shared" si="41"/>
        <v>0.60168018600419937</v>
      </c>
      <c r="CQ252" s="90">
        <f t="shared" si="41"/>
        <v>1.5581259645699001E-2</v>
      </c>
      <c r="CR252" s="90">
        <f t="shared" si="41"/>
        <v>0.33895015846940185</v>
      </c>
    </row>
    <row r="253" spans="1:97" ht="61.5" thickTop="1" thickBot="1" x14ac:dyDescent="0.3">
      <c r="A253" s="3" t="s">
        <v>297</v>
      </c>
      <c r="B253" s="3">
        <v>1138</v>
      </c>
      <c r="C253" s="3" t="s">
        <v>204</v>
      </c>
      <c r="D253" s="16">
        <v>44987</v>
      </c>
      <c r="E253" s="16" t="s">
        <v>553</v>
      </c>
      <c r="F253" s="16" t="s">
        <v>678</v>
      </c>
      <c r="G253" s="17">
        <v>19964</v>
      </c>
      <c r="H253" s="17">
        <v>24907</v>
      </c>
      <c r="I253" s="17" t="s">
        <v>585</v>
      </c>
      <c r="J253" s="18"/>
      <c r="K253" s="18" t="s">
        <v>598</v>
      </c>
      <c r="L253" s="18" t="s">
        <v>588</v>
      </c>
      <c r="M253" s="18" t="s">
        <v>598</v>
      </c>
      <c r="N253" s="10">
        <v>31596</v>
      </c>
      <c r="O253" s="11">
        <v>23143</v>
      </c>
      <c r="P253" s="11">
        <v>19040</v>
      </c>
      <c r="Q253" s="11">
        <v>11493</v>
      </c>
      <c r="R253" s="12">
        <v>0.73246613495379198</v>
      </c>
      <c r="S253" s="12">
        <v>0.60260792505380401</v>
      </c>
      <c r="T253" s="12">
        <v>0.36374857576908498</v>
      </c>
      <c r="U253" s="12">
        <v>0.129858209899987</v>
      </c>
      <c r="V253" s="12">
        <v>0.23885934928472</v>
      </c>
      <c r="W253" s="12">
        <v>0.145588049120142</v>
      </c>
      <c r="X253" s="12">
        <v>0.218160526648943</v>
      </c>
      <c r="Y253" s="13">
        <v>116172</v>
      </c>
      <c r="Z253" s="13">
        <v>146524</v>
      </c>
      <c r="AA253" s="13">
        <v>1781724</v>
      </c>
      <c r="AB253" s="11">
        <v>89352</v>
      </c>
      <c r="AC253" s="11">
        <v>90425</v>
      </c>
      <c r="AD253" s="12">
        <v>1.20086847524398E-2</v>
      </c>
      <c r="AE253" s="12">
        <v>0.481876817598414</v>
      </c>
      <c r="AF253" s="12">
        <v>0.205042976094547</v>
      </c>
      <c r="AG253" s="12">
        <v>0.16505506312113899</v>
      </c>
      <c r="AH253" s="12">
        <v>2.8057570059987502E-2</v>
      </c>
      <c r="AI253" s="14">
        <v>0.25298818157399899</v>
      </c>
      <c r="AJ253" s="4">
        <v>61031</v>
      </c>
      <c r="AK253" s="5">
        <v>43702</v>
      </c>
      <c r="AL253" s="5">
        <v>35922</v>
      </c>
      <c r="AM253" s="5">
        <v>21533</v>
      </c>
      <c r="AN253" s="6">
        <v>0.71606232898035405</v>
      </c>
      <c r="AO253" s="6">
        <v>0.588586128360997</v>
      </c>
      <c r="AP253" s="6">
        <v>0.35282069767822899</v>
      </c>
      <c r="AQ253" s="6">
        <v>0.12747620061935699</v>
      </c>
      <c r="AR253" s="6">
        <v>0.23576543068276801</v>
      </c>
      <c r="AS253" s="6">
        <v>0.14844914879323601</v>
      </c>
      <c r="AT253" s="6">
        <v>0.20437154888499301</v>
      </c>
      <c r="AU253" s="7">
        <v>113797</v>
      </c>
      <c r="AV253" s="7">
        <v>142587</v>
      </c>
      <c r="AW253" s="7">
        <v>1732380</v>
      </c>
      <c r="AX253" s="5">
        <v>192750</v>
      </c>
      <c r="AY253" s="5">
        <v>195233</v>
      </c>
      <c r="AZ253" s="6">
        <v>1.28819714656291E-2</v>
      </c>
      <c r="BA253" s="6">
        <v>0.415445712523134</v>
      </c>
      <c r="BB253" s="6">
        <v>0.282339818417639</v>
      </c>
      <c r="BC253" s="6">
        <v>0.13245136186770401</v>
      </c>
      <c r="BD253" s="6">
        <v>3.9408560311284001E-2</v>
      </c>
      <c r="BE253" s="8">
        <v>0.237727626459144</v>
      </c>
      <c r="BF253" s="10">
        <v>81188</v>
      </c>
      <c r="BG253" s="11">
        <v>55714</v>
      </c>
      <c r="BH253" s="11">
        <v>44943</v>
      </c>
      <c r="BI253" s="11">
        <v>26093</v>
      </c>
      <c r="BJ253" s="12">
        <v>0.68623441887963699</v>
      </c>
      <c r="BK253" s="12">
        <v>0.55356702961028703</v>
      </c>
      <c r="BL253" s="12">
        <v>0.32138986057052799</v>
      </c>
      <c r="BM253" s="12">
        <v>0.13266738926935001</v>
      </c>
      <c r="BN253" s="12">
        <v>0.23217716903975999</v>
      </c>
      <c r="BO253" s="12">
        <v>0.13806227521308601</v>
      </c>
      <c r="BP253" s="12">
        <v>0.18332758535744201</v>
      </c>
      <c r="BQ253" s="13">
        <v>107886</v>
      </c>
      <c r="BR253" s="13">
        <v>135121</v>
      </c>
      <c r="BS253" s="13">
        <v>1582533</v>
      </c>
      <c r="BT253" s="11">
        <v>256239</v>
      </c>
      <c r="BU253" s="11">
        <v>260547</v>
      </c>
      <c r="BV253" s="12">
        <v>1.68124290213434E-2</v>
      </c>
      <c r="BW253" s="12">
        <v>0.39280549530007203</v>
      </c>
      <c r="BX253" s="12">
        <v>0.31180655559848403</v>
      </c>
      <c r="BY253" s="12">
        <v>0.12673324513442499</v>
      </c>
      <c r="BZ253" s="12">
        <v>4.2038877766460203E-2</v>
      </c>
      <c r="CA253" s="14">
        <v>0.23446079636589301</v>
      </c>
      <c r="CB253" s="98">
        <v>16700000</v>
      </c>
      <c r="CC253" s="83" t="s">
        <v>598</v>
      </c>
      <c r="CD253" s="83" t="s">
        <v>598</v>
      </c>
      <c r="CE253" s="83" t="s">
        <v>598</v>
      </c>
      <c r="CF253" s="83" t="s">
        <v>598</v>
      </c>
      <c r="CG253" s="90" t="str">
        <f t="shared" si="49"/>
        <v/>
      </c>
      <c r="CH253" s="90" t="str">
        <f t="shared" si="46"/>
        <v/>
      </c>
      <c r="CI253" s="90" t="str">
        <f t="shared" si="43"/>
        <v/>
      </c>
      <c r="CK253" s="86">
        <f t="shared" si="40"/>
        <v>12685676</v>
      </c>
      <c r="CL253" s="83">
        <v>3893431</v>
      </c>
      <c r="CM253" s="83">
        <v>6415520</v>
      </c>
      <c r="CN253" s="83">
        <v>1601767</v>
      </c>
      <c r="CO253" s="83">
        <v>774958</v>
      </c>
      <c r="CP253" s="90">
        <f t="shared" si="41"/>
        <v>0.30691553213246187</v>
      </c>
      <c r="CQ253" s="90">
        <f t="shared" si="41"/>
        <v>0.50572945422853299</v>
      </c>
      <c r="CR253" s="90">
        <f t="shared" si="41"/>
        <v>0.12626579773911931</v>
      </c>
    </row>
    <row r="254" spans="1:97" ht="49.5" thickTop="1" thickBot="1" x14ac:dyDescent="0.3">
      <c r="A254" s="3" t="s">
        <v>288</v>
      </c>
      <c r="B254" s="3">
        <v>209</v>
      </c>
      <c r="C254" s="3" t="s">
        <v>36</v>
      </c>
      <c r="D254" s="16">
        <v>36870</v>
      </c>
      <c r="E254" s="16" t="s">
        <v>521</v>
      </c>
      <c r="F254" s="16" t="s">
        <v>324</v>
      </c>
      <c r="G254" s="17">
        <v>6212</v>
      </c>
      <c r="H254" s="17">
        <v>7500</v>
      </c>
      <c r="I254" s="17" t="s">
        <v>583</v>
      </c>
      <c r="J254" s="18"/>
      <c r="K254" s="18" t="s">
        <v>598</v>
      </c>
      <c r="L254" s="18"/>
      <c r="M254" s="18" t="s">
        <v>598</v>
      </c>
      <c r="N254" s="10">
        <v>25497</v>
      </c>
      <c r="O254" s="11">
        <v>14042</v>
      </c>
      <c r="P254" s="11">
        <v>9817</v>
      </c>
      <c r="Q254" s="11">
        <v>4696</v>
      </c>
      <c r="R254" s="12">
        <v>0.55073145860297301</v>
      </c>
      <c r="S254" s="12">
        <v>0.38502568929677999</v>
      </c>
      <c r="T254" s="12">
        <v>0.18417853080754601</v>
      </c>
      <c r="U254" s="12">
        <v>0.16570576930619299</v>
      </c>
      <c r="V254" s="12">
        <v>0.20084715848923401</v>
      </c>
      <c r="W254" s="12">
        <v>9.0677334588382993E-2</v>
      </c>
      <c r="X254" s="12">
        <v>9.3501196219163002E-2</v>
      </c>
      <c r="Y254" s="13">
        <v>81083</v>
      </c>
      <c r="Z254" s="13">
        <v>102063</v>
      </c>
      <c r="AA254" s="13">
        <v>762998</v>
      </c>
      <c r="AB254" s="11">
        <v>80905</v>
      </c>
      <c r="AC254" s="11">
        <v>84901</v>
      </c>
      <c r="AD254" s="12">
        <v>4.9391261355911299E-2</v>
      </c>
      <c r="AE254" s="12">
        <v>0.29248158006403602</v>
      </c>
      <c r="AF254" s="12">
        <v>0.44538656448921599</v>
      </c>
      <c r="AG254" s="12">
        <v>7.6336443977504498E-2</v>
      </c>
      <c r="AH254" s="12">
        <v>0.144292688956183</v>
      </c>
      <c r="AI254" s="14">
        <v>0.18466102218651501</v>
      </c>
      <c r="AJ254" s="4">
        <v>58909</v>
      </c>
      <c r="AK254" s="5">
        <v>37621</v>
      </c>
      <c r="AL254" s="5">
        <v>29562</v>
      </c>
      <c r="AM254" s="5">
        <v>16613</v>
      </c>
      <c r="AN254" s="6">
        <v>0.63862907195844398</v>
      </c>
      <c r="AO254" s="6">
        <v>0.50182484849513698</v>
      </c>
      <c r="AP254" s="6">
        <v>0.28201123767166297</v>
      </c>
      <c r="AQ254" s="6">
        <v>0.13680422346330801</v>
      </c>
      <c r="AR254" s="6">
        <v>0.219813610823474</v>
      </c>
      <c r="AS254" s="6">
        <v>0.12337673360607</v>
      </c>
      <c r="AT254" s="6">
        <v>0.15863450406559301</v>
      </c>
      <c r="AU254" s="7">
        <v>100270</v>
      </c>
      <c r="AV254" s="7">
        <v>125667</v>
      </c>
      <c r="AW254" s="7">
        <v>1345388</v>
      </c>
      <c r="AX254" s="5">
        <v>187300</v>
      </c>
      <c r="AY254" s="5">
        <v>197242</v>
      </c>
      <c r="AZ254" s="6">
        <v>5.3080619327282398E-2</v>
      </c>
      <c r="BA254" s="6">
        <v>0.406671097449531</v>
      </c>
      <c r="BB254" s="6">
        <v>0.33030432461291998</v>
      </c>
      <c r="BC254" s="6">
        <v>0.11369460758142</v>
      </c>
      <c r="BD254" s="6">
        <v>0.13524292578750699</v>
      </c>
      <c r="BE254" s="8">
        <v>0.205654030966364</v>
      </c>
      <c r="BF254" s="10">
        <v>93343</v>
      </c>
      <c r="BG254" s="11">
        <v>63871</v>
      </c>
      <c r="BH254" s="11">
        <v>51544</v>
      </c>
      <c r="BI254" s="11">
        <v>30363</v>
      </c>
      <c r="BJ254" s="12">
        <v>0.68426127293958805</v>
      </c>
      <c r="BK254" s="12">
        <v>0.55219995071938999</v>
      </c>
      <c r="BL254" s="12">
        <v>0.32528416699698998</v>
      </c>
      <c r="BM254" s="12">
        <v>0.13206132222019901</v>
      </c>
      <c r="BN254" s="12">
        <v>0.22691578372240001</v>
      </c>
      <c r="BO254" s="12">
        <v>0.13196490363498101</v>
      </c>
      <c r="BP254" s="12">
        <v>0.193319263362009</v>
      </c>
      <c r="BQ254" s="13">
        <v>107914</v>
      </c>
      <c r="BR254" s="13">
        <v>138114</v>
      </c>
      <c r="BS254" s="13">
        <v>1620409</v>
      </c>
      <c r="BT254" s="11">
        <v>288853</v>
      </c>
      <c r="BU254" s="11">
        <v>303461</v>
      </c>
      <c r="BV254" s="12">
        <v>5.0572436498842001E-2</v>
      </c>
      <c r="BW254" s="12">
        <v>0.46595546721363501</v>
      </c>
      <c r="BX254" s="12">
        <v>0.26275995056308898</v>
      </c>
      <c r="BY254" s="12">
        <v>0.15000363506697201</v>
      </c>
      <c r="BZ254" s="12">
        <v>0.11882514635472</v>
      </c>
      <c r="CA254" s="14">
        <v>0.21652882261911799</v>
      </c>
      <c r="CB254" s="86">
        <f>IF(SUM(CC254:CF254)=0,"",SUM(CC254:CF254))</f>
        <v>4493192.3566666394</v>
      </c>
      <c r="CC254" s="83">
        <v>2437413.93666664</v>
      </c>
      <c r="CD254" s="83">
        <v>81633.499999999694</v>
      </c>
      <c r="CE254" s="83">
        <v>1828034.6</v>
      </c>
      <c r="CF254" s="83">
        <v>146110.32</v>
      </c>
      <c r="CG254" s="90">
        <f t="shared" si="49"/>
        <v>0.54246819258699219</v>
      </c>
      <c r="CH254" s="90">
        <f t="shared" si="46"/>
        <v>1.8168262900847866E-2</v>
      </c>
      <c r="CI254" s="90">
        <f t="shared" si="43"/>
        <v>0.40684539073598941</v>
      </c>
      <c r="CK254" s="86" t="str">
        <f t="shared" si="40"/>
        <v/>
      </c>
      <c r="CL254" s="83" t="s">
        <v>598</v>
      </c>
      <c r="CM254" s="83" t="s">
        <v>598</v>
      </c>
      <c r="CN254" s="83" t="s">
        <v>598</v>
      </c>
      <c r="CO254" s="83" t="s">
        <v>598</v>
      </c>
      <c r="CP254" s="90" t="str">
        <f t="shared" si="41"/>
        <v/>
      </c>
      <c r="CQ254" s="90" t="str">
        <f t="shared" si="41"/>
        <v/>
      </c>
      <c r="CR254" s="90" t="str">
        <f t="shared" si="41"/>
        <v/>
      </c>
    </row>
    <row r="255" spans="1:97" ht="25.5" thickTop="1" thickBot="1" x14ac:dyDescent="0.3">
      <c r="A255" s="3" t="s">
        <v>297</v>
      </c>
      <c r="B255" s="3" t="s">
        <v>718</v>
      </c>
      <c r="C255" s="3" t="s">
        <v>718</v>
      </c>
      <c r="D255" s="16">
        <v>45435</v>
      </c>
      <c r="E255" s="39" t="s">
        <v>624</v>
      </c>
      <c r="F255" s="16" t="s">
        <v>625</v>
      </c>
      <c r="G255" s="17">
        <v>20975</v>
      </c>
      <c r="H255" s="17">
        <v>27000</v>
      </c>
      <c r="I255" s="17" t="s">
        <v>585</v>
      </c>
      <c r="J255" s="18"/>
      <c r="K255" s="18"/>
      <c r="L255" s="18"/>
      <c r="M255" s="18" t="s">
        <v>598</v>
      </c>
      <c r="N255" s="137">
        <v>35532</v>
      </c>
      <c r="O255" s="138">
        <v>26645</v>
      </c>
      <c r="P255" s="138">
        <v>22903</v>
      </c>
      <c r="Q255" s="138">
        <v>14556</v>
      </c>
      <c r="R255" s="135">
        <v>0.74988742541933995</v>
      </c>
      <c r="S255" s="135">
        <v>0.64457390521220304</v>
      </c>
      <c r="T255" s="135">
        <v>0.40965889902060099</v>
      </c>
      <c r="U255" s="135">
        <v>0.105313520207137</v>
      </c>
      <c r="V255" s="135">
        <v>0.23491500619160199</v>
      </c>
      <c r="W255" s="135">
        <v>0.188449848024316</v>
      </c>
      <c r="X255" s="135">
        <v>0.22120905099628499</v>
      </c>
      <c r="Y255" s="139">
        <v>125508</v>
      </c>
      <c r="Z255" s="139">
        <v>157059</v>
      </c>
      <c r="AA255" s="139">
        <v>1602098</v>
      </c>
      <c r="AB255" s="138">
        <v>119064</v>
      </c>
      <c r="AC255" s="138">
        <v>121601</v>
      </c>
      <c r="AD255" s="135">
        <v>2.13078680373581E-2</v>
      </c>
      <c r="AE255" s="135">
        <v>0.305382732418787</v>
      </c>
      <c r="AF255" s="135">
        <v>0.31015252301283303</v>
      </c>
      <c r="AG255" s="135">
        <v>0.15236343479137299</v>
      </c>
      <c r="AH255" s="135">
        <v>0.13302089632466599</v>
      </c>
      <c r="AI255" s="136">
        <v>0.22677719545790501</v>
      </c>
      <c r="AJ255" s="141">
        <v>61253</v>
      </c>
      <c r="AK255" s="142">
        <v>43454</v>
      </c>
      <c r="AL255" s="142">
        <v>36428</v>
      </c>
      <c r="AM255" s="142">
        <v>22339</v>
      </c>
      <c r="AN255" s="143">
        <v>0.709418314205019</v>
      </c>
      <c r="AO255" s="143">
        <v>0.59471372830718505</v>
      </c>
      <c r="AP255" s="143">
        <v>0.36470050446508701</v>
      </c>
      <c r="AQ255" s="143">
        <v>0.114704585897834</v>
      </c>
      <c r="AR255" s="143">
        <v>0.23001322384209799</v>
      </c>
      <c r="AS255" s="143">
        <v>0.16549393499093901</v>
      </c>
      <c r="AT255" s="143">
        <v>0.199206569474148</v>
      </c>
      <c r="AU255" s="144">
        <v>115468</v>
      </c>
      <c r="AV255" s="144">
        <v>147634</v>
      </c>
      <c r="AW255" s="144">
        <v>1487435</v>
      </c>
      <c r="AX255" s="142">
        <v>198583</v>
      </c>
      <c r="AY255" s="142">
        <v>201927</v>
      </c>
      <c r="AZ255" s="143">
        <v>1.6839306486456498E-2</v>
      </c>
      <c r="BA255" s="143">
        <v>0.29510431259702402</v>
      </c>
      <c r="BB255" s="143">
        <v>0.325360176853004</v>
      </c>
      <c r="BC255" s="143">
        <v>0.13518276992491801</v>
      </c>
      <c r="BD255" s="143">
        <v>0.12987516554790701</v>
      </c>
      <c r="BE255" s="146">
        <v>0.227552207389354</v>
      </c>
      <c r="BF255" s="137">
        <v>73562</v>
      </c>
      <c r="BG255" s="138">
        <v>49393</v>
      </c>
      <c r="BH255" s="138">
        <v>40525</v>
      </c>
      <c r="BI255" s="138">
        <v>24524</v>
      </c>
      <c r="BJ255" s="135">
        <v>0.67144721459449197</v>
      </c>
      <c r="BK255" s="135">
        <v>0.55089584296239902</v>
      </c>
      <c r="BL255" s="135">
        <v>0.33337864658383398</v>
      </c>
      <c r="BM255" s="135">
        <v>0.12055137163209299</v>
      </c>
      <c r="BN255" s="135">
        <v>0.21751719637856501</v>
      </c>
      <c r="BO255" s="135">
        <v>0.15389739267556601</v>
      </c>
      <c r="BP255" s="135">
        <v>0.179481253908268</v>
      </c>
      <c r="BQ255" s="139">
        <v>108139</v>
      </c>
      <c r="BR255" s="139">
        <v>139302</v>
      </c>
      <c r="BS255" s="139">
        <v>1348118</v>
      </c>
      <c r="BT255" s="138">
        <v>236652</v>
      </c>
      <c r="BU255" s="138">
        <v>240363</v>
      </c>
      <c r="BV255" s="135">
        <v>1.5681253486131499E-2</v>
      </c>
      <c r="BW255" s="135">
        <v>0.280648681766834</v>
      </c>
      <c r="BX255" s="135">
        <v>0.33693355644575201</v>
      </c>
      <c r="BY255" s="135">
        <v>0.12780792049084699</v>
      </c>
      <c r="BZ255" s="135">
        <v>0.139914304548451</v>
      </c>
      <c r="CA255" s="136">
        <v>0.22601541503980499</v>
      </c>
      <c r="CB255" s="98">
        <v>18000000</v>
      </c>
      <c r="CC255" s="83" t="s">
        <v>598</v>
      </c>
      <c r="CD255" s="83" t="s">
        <v>598</v>
      </c>
      <c r="CE255" s="83" t="s">
        <v>598</v>
      </c>
      <c r="CF255" s="83" t="s">
        <v>598</v>
      </c>
      <c r="CG255" s="99">
        <v>0.25</v>
      </c>
      <c r="CH255" s="99">
        <v>0.53</v>
      </c>
      <c r="CI255" s="90" t="str">
        <f t="shared" si="43"/>
        <v/>
      </c>
      <c r="CK255" s="98">
        <v>18000000</v>
      </c>
      <c r="CL255" s="83" t="s">
        <v>598</v>
      </c>
      <c r="CM255" s="83" t="s">
        <v>598</v>
      </c>
      <c r="CN255" s="83" t="s">
        <v>598</v>
      </c>
      <c r="CO255" s="83" t="s">
        <v>598</v>
      </c>
      <c r="CP255" s="99">
        <v>0.25</v>
      </c>
      <c r="CQ255" s="99">
        <v>0.53</v>
      </c>
      <c r="CR255" s="90" t="str">
        <f t="shared" si="41"/>
        <v/>
      </c>
    </row>
    <row r="256" spans="1:97" ht="49.5" thickTop="1" thickBot="1" x14ac:dyDescent="0.3">
      <c r="A256" s="3" t="s">
        <v>291</v>
      </c>
      <c r="B256" s="3">
        <v>506</v>
      </c>
      <c r="C256" s="3" t="s">
        <v>61</v>
      </c>
      <c r="D256" s="16">
        <v>41592</v>
      </c>
      <c r="E256" s="16" t="s">
        <v>529</v>
      </c>
      <c r="F256" s="16" t="s">
        <v>344</v>
      </c>
      <c r="G256" s="17">
        <v>22539</v>
      </c>
      <c r="H256" s="17">
        <v>28000</v>
      </c>
      <c r="I256" s="17" t="s">
        <v>585</v>
      </c>
      <c r="J256" s="18"/>
      <c r="K256" s="18" t="s">
        <v>519</v>
      </c>
      <c r="L256" s="18" t="s">
        <v>519</v>
      </c>
      <c r="M256" s="18" t="s">
        <v>598</v>
      </c>
      <c r="N256" s="10">
        <v>47435</v>
      </c>
      <c r="O256" s="11">
        <v>31081</v>
      </c>
      <c r="P256" s="11">
        <v>24323</v>
      </c>
      <c r="Q256" s="11">
        <v>14681</v>
      </c>
      <c r="R256" s="12">
        <v>0.65523347739011295</v>
      </c>
      <c r="S256" s="12">
        <v>0.51276483609149404</v>
      </c>
      <c r="T256" s="12">
        <v>0.30949720670391101</v>
      </c>
      <c r="U256" s="12">
        <v>0.142468641298619</v>
      </c>
      <c r="V256" s="12">
        <v>0.203267629387583</v>
      </c>
      <c r="W256" s="12">
        <v>0.130283545904923</v>
      </c>
      <c r="X256" s="12">
        <v>0.17921366079898801</v>
      </c>
      <c r="Y256" s="13">
        <v>102043</v>
      </c>
      <c r="Z256" s="13">
        <v>133989</v>
      </c>
      <c r="AA256" s="13">
        <v>1209383</v>
      </c>
      <c r="AB256" s="11">
        <v>118555</v>
      </c>
      <c r="AC256" s="11">
        <v>134887</v>
      </c>
      <c r="AD256" s="12">
        <v>0.13775884610518299</v>
      </c>
      <c r="AE256" s="12">
        <v>0.69708800636610002</v>
      </c>
      <c r="AF256" s="12">
        <v>0.10524229260680699</v>
      </c>
      <c r="AG256" s="12">
        <v>0.31072497996710402</v>
      </c>
      <c r="AH256" s="12">
        <v>8.5209396482645194E-2</v>
      </c>
      <c r="AI256" s="14">
        <v>0.23206106870229001</v>
      </c>
      <c r="AJ256" s="4">
        <v>120430</v>
      </c>
      <c r="AK256" s="5">
        <v>81660</v>
      </c>
      <c r="AL256" s="5">
        <v>66007</v>
      </c>
      <c r="AM256" s="5">
        <v>40919</v>
      </c>
      <c r="AN256" s="6">
        <v>0.67807024827700701</v>
      </c>
      <c r="AO256" s="6">
        <v>0.548094328655651</v>
      </c>
      <c r="AP256" s="6">
        <v>0.339774142655485</v>
      </c>
      <c r="AQ256" s="6">
        <v>0.12997591962135699</v>
      </c>
      <c r="AR256" s="6">
        <v>0.208320186000166</v>
      </c>
      <c r="AS256" s="6">
        <v>0.13651913974923199</v>
      </c>
      <c r="AT256" s="6">
        <v>0.20325500290625301</v>
      </c>
      <c r="AU256" s="7">
        <v>108099</v>
      </c>
      <c r="AV256" s="7">
        <v>142107</v>
      </c>
      <c r="AW256" s="7">
        <v>1414564</v>
      </c>
      <c r="AX256" s="5">
        <v>318775</v>
      </c>
      <c r="AY256" s="5">
        <v>357975</v>
      </c>
      <c r="AZ256" s="6">
        <v>0.122970747392361</v>
      </c>
      <c r="BA256" s="6">
        <v>0.64776246082674205</v>
      </c>
      <c r="BB256" s="6">
        <v>0.113462473531488</v>
      </c>
      <c r="BC256" s="6">
        <v>0.26486079523174699</v>
      </c>
      <c r="BD256" s="6">
        <v>8.6832405301544999E-2</v>
      </c>
      <c r="BE256" s="8">
        <v>0.23650850913653801</v>
      </c>
      <c r="BF256" s="10">
        <v>235763</v>
      </c>
      <c r="BG256" s="11">
        <v>152411</v>
      </c>
      <c r="BH256" s="11">
        <v>122596</v>
      </c>
      <c r="BI256" s="11">
        <v>75899</v>
      </c>
      <c r="BJ256" s="12">
        <v>0.64645851978469904</v>
      </c>
      <c r="BK256" s="12">
        <v>0.51999677642378195</v>
      </c>
      <c r="BL256" s="12">
        <v>0.32192922553581299</v>
      </c>
      <c r="BM256" s="12">
        <v>0.12646174336091801</v>
      </c>
      <c r="BN256" s="12">
        <v>0.19806755088796801</v>
      </c>
      <c r="BO256" s="12">
        <v>0.13405835521265</v>
      </c>
      <c r="BP256" s="12">
        <v>0.18787087032316399</v>
      </c>
      <c r="BQ256" s="13">
        <v>103372</v>
      </c>
      <c r="BR256" s="13">
        <v>135678</v>
      </c>
      <c r="BS256" s="13">
        <v>1316797</v>
      </c>
      <c r="BT256" s="11">
        <v>619543</v>
      </c>
      <c r="BU256" s="11">
        <v>698553</v>
      </c>
      <c r="BV256" s="12">
        <v>0.127529485443303</v>
      </c>
      <c r="BW256" s="12">
        <v>0.60780593054224397</v>
      </c>
      <c r="BX256" s="12">
        <v>0.123064904292357</v>
      </c>
      <c r="BY256" s="12">
        <v>0.22657022999210699</v>
      </c>
      <c r="BZ256" s="12">
        <v>0.10760835002574499</v>
      </c>
      <c r="CA256" s="14">
        <v>0.22494968065170601</v>
      </c>
      <c r="CB256" s="86">
        <f>IF(SUM(CC256:CF256)=0,"",SUM(CC256:CF256))</f>
        <v>46137359.599001043</v>
      </c>
      <c r="CC256" s="83">
        <v>12147761.782333</v>
      </c>
      <c r="CD256" s="83">
        <v>28414402.543334801</v>
      </c>
      <c r="CE256" s="83">
        <v>3632871.4633332398</v>
      </c>
      <c r="CF256" s="83">
        <v>1942323.81</v>
      </c>
      <c r="CG256" s="90">
        <f t="shared" ref="CG256:CH274" si="50">IFERROR(CC256/$CB256,"")</f>
        <v>0.26329555674434435</v>
      </c>
      <c r="CH256" s="90">
        <f t="shared" si="50"/>
        <v>0.61586538090380938</v>
      </c>
      <c r="CI256" s="90">
        <f t="shared" si="43"/>
        <v>7.8740341773088765E-2</v>
      </c>
      <c r="CK256" s="86">
        <f t="shared" si="40"/>
        <v>42481569</v>
      </c>
      <c r="CL256" s="83">
        <v>11040570</v>
      </c>
      <c r="CM256" s="83">
        <v>26342086</v>
      </c>
      <c r="CN256" s="83">
        <v>3380828</v>
      </c>
      <c r="CO256" s="83">
        <v>1718085</v>
      </c>
      <c r="CP256" s="90">
        <f t="shared" si="41"/>
        <v>0.25989082465386343</v>
      </c>
      <c r="CQ256" s="90">
        <f t="shared" si="41"/>
        <v>0.62008269986449893</v>
      </c>
      <c r="CR256" s="90">
        <f t="shared" si="41"/>
        <v>7.9583407100618148E-2</v>
      </c>
    </row>
    <row r="257" spans="1:97" ht="49.5" thickTop="1" thickBot="1" x14ac:dyDescent="0.3">
      <c r="A257" s="3" t="s">
        <v>295</v>
      </c>
      <c r="B257" s="3">
        <v>935</v>
      </c>
      <c r="C257" s="3" t="s">
        <v>150</v>
      </c>
      <c r="D257" s="16">
        <v>44475</v>
      </c>
      <c r="E257" s="16" t="s">
        <v>544</v>
      </c>
      <c r="F257" s="16" t="s">
        <v>634</v>
      </c>
      <c r="G257" s="17">
        <v>21281</v>
      </c>
      <c r="H257" s="17">
        <v>28850</v>
      </c>
      <c r="I257" s="17" t="s">
        <v>585</v>
      </c>
      <c r="J257" s="18"/>
      <c r="K257" s="18" t="s">
        <v>598</v>
      </c>
      <c r="L257" s="18"/>
      <c r="M257" s="18" t="s">
        <v>598</v>
      </c>
      <c r="N257" s="10">
        <v>18211</v>
      </c>
      <c r="O257" s="11">
        <v>5381</v>
      </c>
      <c r="P257" s="11">
        <v>3249</v>
      </c>
      <c r="Q257" s="11">
        <v>982</v>
      </c>
      <c r="R257" s="12">
        <v>0.29548075339080798</v>
      </c>
      <c r="S257" s="12">
        <v>0.178408654110153</v>
      </c>
      <c r="T257" s="12">
        <v>5.39234528581626E-2</v>
      </c>
      <c r="U257" s="12">
        <v>0.117072099280655</v>
      </c>
      <c r="V257" s="12">
        <v>0.124485201251991</v>
      </c>
      <c r="W257" s="12">
        <v>2.94327604195267E-2</v>
      </c>
      <c r="X257" s="12">
        <v>2.4490692438636E-2</v>
      </c>
      <c r="Y257" s="13">
        <v>47047</v>
      </c>
      <c r="Z257" s="13">
        <v>62983</v>
      </c>
      <c r="AA257" s="13">
        <v>595853</v>
      </c>
      <c r="AB257" s="11">
        <v>42137</v>
      </c>
      <c r="AC257" s="11">
        <v>44399</v>
      </c>
      <c r="AD257" s="12">
        <v>5.3682037164487301E-2</v>
      </c>
      <c r="AE257" s="12">
        <v>0.184797255910817</v>
      </c>
      <c r="AF257" s="12">
        <v>0.12853311816218499</v>
      </c>
      <c r="AG257" s="12">
        <v>1.7087120582860701E-2</v>
      </c>
      <c r="AH257" s="12">
        <v>8.3489569736810904E-2</v>
      </c>
      <c r="AI257" s="14">
        <v>0.28502266416688399</v>
      </c>
      <c r="AJ257" s="4">
        <v>39818</v>
      </c>
      <c r="AK257" s="5">
        <v>13567</v>
      </c>
      <c r="AL257" s="5">
        <v>8367</v>
      </c>
      <c r="AM257" s="5">
        <v>2872</v>
      </c>
      <c r="AN257" s="6">
        <v>0.34072530011552599</v>
      </c>
      <c r="AO257" s="6">
        <v>0.210131096489025</v>
      </c>
      <c r="AP257" s="6">
        <v>7.2128183233713394E-2</v>
      </c>
      <c r="AQ257" s="6">
        <v>0.13059420362650101</v>
      </c>
      <c r="AR257" s="6">
        <v>0.138002913255312</v>
      </c>
      <c r="AS257" s="6">
        <v>3.91280325480938E-2</v>
      </c>
      <c r="AT257" s="6">
        <v>3.3000150685619602E-2</v>
      </c>
      <c r="AU257" s="7">
        <v>53111</v>
      </c>
      <c r="AV257" s="7">
        <v>70256</v>
      </c>
      <c r="AW257" s="7">
        <v>719042</v>
      </c>
      <c r="AX257" s="5">
        <v>95000</v>
      </c>
      <c r="AY257" s="5">
        <v>100982</v>
      </c>
      <c r="AZ257" s="6">
        <v>6.2968421052631604E-2</v>
      </c>
      <c r="BA257" s="6">
        <v>0.211842503230773</v>
      </c>
      <c r="BB257" s="6">
        <v>0.123126315789474</v>
      </c>
      <c r="BC257" s="6">
        <v>1.82421052631579E-2</v>
      </c>
      <c r="BD257" s="6">
        <v>8.6684210526315794E-2</v>
      </c>
      <c r="BE257" s="8">
        <v>0.28609473684210501</v>
      </c>
      <c r="BF257" s="10">
        <v>60768</v>
      </c>
      <c r="BG257" s="11">
        <v>22055</v>
      </c>
      <c r="BH257" s="11">
        <v>13791</v>
      </c>
      <c r="BI257" s="11">
        <v>4923</v>
      </c>
      <c r="BJ257" s="12">
        <v>0.36293773038441302</v>
      </c>
      <c r="BK257" s="12">
        <v>0.22694510268562401</v>
      </c>
      <c r="BL257" s="12">
        <v>8.1013033175355506E-2</v>
      </c>
      <c r="BM257" s="12">
        <v>0.135992627698789</v>
      </c>
      <c r="BN257" s="12">
        <v>0.14593206951026899</v>
      </c>
      <c r="BO257" s="12">
        <v>4.0942601369141698E-2</v>
      </c>
      <c r="BP257" s="12">
        <v>4.0070431806213801E-2</v>
      </c>
      <c r="BQ257" s="13">
        <v>55790</v>
      </c>
      <c r="BR257" s="13">
        <v>74485</v>
      </c>
      <c r="BS257" s="13">
        <v>848716</v>
      </c>
      <c r="BT257" s="11">
        <v>142474</v>
      </c>
      <c r="BU257" s="11">
        <v>151757</v>
      </c>
      <c r="BV257" s="12">
        <v>6.5155747715372594E-2</v>
      </c>
      <c r="BW257" s="12">
        <v>0.22735856728501599</v>
      </c>
      <c r="BX257" s="12">
        <v>0.112617038898325</v>
      </c>
      <c r="BY257" s="12">
        <v>1.7645324761008999E-2</v>
      </c>
      <c r="BZ257" s="12">
        <v>7.8807361343122301E-2</v>
      </c>
      <c r="CA257" s="14">
        <v>0.28996167721829902</v>
      </c>
      <c r="CB257" s="86">
        <f>IF(SUM(CC257:CF257)=0,"",SUM(CC257:CF257))</f>
        <v>15055645.713451939</v>
      </c>
      <c r="CC257" s="83">
        <v>5050709.1434522402</v>
      </c>
      <c r="CD257" s="83">
        <v>6890488.8299997002</v>
      </c>
      <c r="CE257" s="83">
        <v>2253316.8599999901</v>
      </c>
      <c r="CF257" s="83">
        <v>861130.88000000804</v>
      </c>
      <c r="CG257" s="90">
        <f t="shared" si="50"/>
        <v>0.33546944711507959</v>
      </c>
      <c r="CH257" s="90">
        <f t="shared" si="50"/>
        <v>0.45766810412144443</v>
      </c>
      <c r="CI257" s="90">
        <f t="shared" si="43"/>
        <v>0.14966590625778964</v>
      </c>
      <c r="CK257" s="86">
        <f t="shared" si="40"/>
        <v>16028797</v>
      </c>
      <c r="CL257" s="83">
        <v>5345674</v>
      </c>
      <c r="CM257" s="83">
        <v>7349134</v>
      </c>
      <c r="CN257" s="83">
        <v>2398904</v>
      </c>
      <c r="CO257" s="83">
        <v>935085</v>
      </c>
      <c r="CP257" s="90">
        <f t="shared" si="41"/>
        <v>0.3335043796487035</v>
      </c>
      <c r="CQ257" s="90">
        <f t="shared" si="41"/>
        <v>0.45849566876416242</v>
      </c>
      <c r="CR257" s="90">
        <f t="shared" si="41"/>
        <v>0.14966213621646091</v>
      </c>
    </row>
    <row r="258" spans="1:97" ht="37.5" thickTop="1" thickBot="1" x14ac:dyDescent="0.3">
      <c r="A258" s="3" t="s">
        <v>294</v>
      </c>
      <c r="B258" s="3">
        <v>801</v>
      </c>
      <c r="C258" s="3" t="s">
        <v>112</v>
      </c>
      <c r="D258" s="16">
        <v>39940</v>
      </c>
      <c r="E258" s="16" t="s">
        <v>542</v>
      </c>
      <c r="F258" s="16" t="s">
        <v>652</v>
      </c>
      <c r="G258" s="17">
        <v>26836</v>
      </c>
      <c r="H258" s="17">
        <v>33420</v>
      </c>
      <c r="I258" s="17" t="s">
        <v>585</v>
      </c>
      <c r="J258" s="18" t="s">
        <v>581</v>
      </c>
      <c r="K258" s="18" t="s">
        <v>519</v>
      </c>
      <c r="L258" s="18"/>
      <c r="M258" s="18" t="s">
        <v>598</v>
      </c>
      <c r="N258" s="10">
        <v>32001</v>
      </c>
      <c r="O258" s="11">
        <v>19202</v>
      </c>
      <c r="P258" s="11">
        <v>15576</v>
      </c>
      <c r="Q258" s="11">
        <v>9384</v>
      </c>
      <c r="R258" s="12">
        <v>0.60004374863285503</v>
      </c>
      <c r="S258" s="12">
        <v>0.48673478953782701</v>
      </c>
      <c r="T258" s="12">
        <v>0.29324083622386798</v>
      </c>
      <c r="U258" s="12">
        <v>0.113308959095028</v>
      </c>
      <c r="V258" s="12">
        <v>0.19349395331395899</v>
      </c>
      <c r="W258" s="12">
        <v>0.120183744257992</v>
      </c>
      <c r="X258" s="12">
        <v>0.17305709196587599</v>
      </c>
      <c r="Y258" s="13">
        <v>96375</v>
      </c>
      <c r="Z258" s="13">
        <v>128072</v>
      </c>
      <c r="AA258" s="13">
        <v>1307141</v>
      </c>
      <c r="AB258" s="11">
        <v>84394</v>
      </c>
      <c r="AC258" s="11">
        <v>89427</v>
      </c>
      <c r="AD258" s="12">
        <v>5.9636941014764099E-2</v>
      </c>
      <c r="AE258" s="12">
        <v>0.59813901985997997</v>
      </c>
      <c r="AF258" s="12">
        <v>0.18263146669194499</v>
      </c>
      <c r="AG258" s="12">
        <v>0.134748915799701</v>
      </c>
      <c r="AH258" s="12">
        <v>0.14964333957390299</v>
      </c>
      <c r="AI258" s="14">
        <v>0.21877147664525901</v>
      </c>
      <c r="AJ258" s="4">
        <v>79012</v>
      </c>
      <c r="AK258" s="5">
        <v>51521</v>
      </c>
      <c r="AL258" s="5">
        <v>42652</v>
      </c>
      <c r="AM258" s="5">
        <v>27109</v>
      </c>
      <c r="AN258" s="6">
        <v>0.65206550903660199</v>
      </c>
      <c r="AO258" s="6">
        <v>0.53981673669822305</v>
      </c>
      <c r="AP258" s="6">
        <v>0.34309978231154797</v>
      </c>
      <c r="AQ258" s="6">
        <v>0.112248772338379</v>
      </c>
      <c r="AR258" s="6">
        <v>0.196716954386675</v>
      </c>
      <c r="AS258" s="6">
        <v>0.134865590036956</v>
      </c>
      <c r="AT258" s="6">
        <v>0.208234192274591</v>
      </c>
      <c r="AU258" s="7">
        <v>107097</v>
      </c>
      <c r="AV258" s="7">
        <v>141510</v>
      </c>
      <c r="AW258" s="7">
        <v>1777722</v>
      </c>
      <c r="AX258" s="5">
        <v>206174</v>
      </c>
      <c r="AY258" s="5">
        <v>216469</v>
      </c>
      <c r="AZ258" s="6">
        <v>4.9933551272226401E-2</v>
      </c>
      <c r="BA258" s="6">
        <v>0.63037459864431</v>
      </c>
      <c r="BB258" s="6">
        <v>0.11941369910852</v>
      </c>
      <c r="BC258" s="6">
        <v>0.150018916061191</v>
      </c>
      <c r="BD258" s="6">
        <v>0.13857712417666601</v>
      </c>
      <c r="BE258" s="8">
        <v>0.244458564125447</v>
      </c>
      <c r="BF258" s="10">
        <v>135315</v>
      </c>
      <c r="BG258" s="11">
        <v>90978</v>
      </c>
      <c r="BH258" s="11">
        <v>76698</v>
      </c>
      <c r="BI258" s="11">
        <v>50365</v>
      </c>
      <c r="BJ258" s="12">
        <v>0.67234231238221898</v>
      </c>
      <c r="BK258" s="12">
        <v>0.56681077485866305</v>
      </c>
      <c r="BL258" s="12">
        <v>0.37220559435391498</v>
      </c>
      <c r="BM258" s="12">
        <v>0.105531537523556</v>
      </c>
      <c r="BN258" s="12">
        <v>0.19460518050474801</v>
      </c>
      <c r="BO258" s="12">
        <v>0.13495177918190901</v>
      </c>
      <c r="BP258" s="12">
        <v>0.237253815172006</v>
      </c>
      <c r="BQ258" s="13">
        <v>112852</v>
      </c>
      <c r="BR258" s="13">
        <v>151688</v>
      </c>
      <c r="BS258" s="13">
        <v>2044329</v>
      </c>
      <c r="BT258" s="11">
        <v>361957</v>
      </c>
      <c r="BU258" s="11">
        <v>380398</v>
      </c>
      <c r="BV258" s="12">
        <v>5.0948040789375502E-2</v>
      </c>
      <c r="BW258" s="12">
        <v>0.65294781059479201</v>
      </c>
      <c r="BX258" s="12">
        <v>0.101227493873582</v>
      </c>
      <c r="BY258" s="12">
        <v>0.15644952300963899</v>
      </c>
      <c r="BZ258" s="12">
        <v>0.13344402788176499</v>
      </c>
      <c r="CA258" s="14">
        <v>0.25234212903742698</v>
      </c>
      <c r="CB258" s="86">
        <f>IF(SUM(CC258:CF258)=0,"",SUM(CC258:CF258))</f>
        <v>38059329.189998284</v>
      </c>
      <c r="CC258" s="83">
        <v>15512027.2699992</v>
      </c>
      <c r="CD258" s="83">
        <v>16951116.109999198</v>
      </c>
      <c r="CE258" s="83">
        <v>4021578.69999988</v>
      </c>
      <c r="CF258" s="83">
        <v>1574607.11</v>
      </c>
      <c r="CG258" s="90">
        <f t="shared" si="50"/>
        <v>0.40757489950914977</v>
      </c>
      <c r="CH258" s="90">
        <f t="shared" si="50"/>
        <v>0.44538662322124767</v>
      </c>
      <c r="CI258" s="90">
        <f t="shared" si="43"/>
        <v>0.10566604261266702</v>
      </c>
      <c r="CK258" s="86">
        <f t="shared" si="40"/>
        <v>37710635</v>
      </c>
      <c r="CL258" s="83">
        <v>15293718</v>
      </c>
      <c r="CM258" s="83">
        <v>16821956</v>
      </c>
      <c r="CN258" s="83">
        <v>4020086</v>
      </c>
      <c r="CO258" s="83">
        <v>1574875</v>
      </c>
      <c r="CP258" s="90">
        <f t="shared" si="41"/>
        <v>0.40555450736907506</v>
      </c>
      <c r="CQ258" s="90">
        <f t="shared" si="41"/>
        <v>0.44607989231684908</v>
      </c>
      <c r="CR258" s="90">
        <f t="shared" si="41"/>
        <v>0.10660350853280513</v>
      </c>
    </row>
    <row r="259" spans="1:97" ht="37.5" thickTop="1" thickBot="1" x14ac:dyDescent="0.3">
      <c r="A259" s="3" t="s">
        <v>288</v>
      </c>
      <c r="B259" s="3">
        <v>216</v>
      </c>
      <c r="C259" s="3" t="s">
        <v>42</v>
      </c>
      <c r="D259" s="16">
        <v>42663</v>
      </c>
      <c r="E259" s="16" t="s">
        <v>521</v>
      </c>
      <c r="F259" s="16" t="s">
        <v>329</v>
      </c>
      <c r="G259" s="17">
        <v>9560</v>
      </c>
      <c r="H259" s="17">
        <v>13621</v>
      </c>
      <c r="I259" s="17" t="s">
        <v>583</v>
      </c>
      <c r="J259" s="18"/>
      <c r="K259" s="18" t="s">
        <v>598</v>
      </c>
      <c r="L259" s="18"/>
      <c r="M259" s="18" t="s">
        <v>598</v>
      </c>
      <c r="N259" s="10">
        <v>111885</v>
      </c>
      <c r="O259" s="11">
        <v>73377</v>
      </c>
      <c r="P259" s="11">
        <v>61936</v>
      </c>
      <c r="Q259" s="11">
        <v>41897</v>
      </c>
      <c r="R259" s="12">
        <v>0.65582517763775305</v>
      </c>
      <c r="S259" s="12">
        <v>0.55356839612101705</v>
      </c>
      <c r="T259" s="12">
        <v>0.37446485230370502</v>
      </c>
      <c r="U259" s="12">
        <v>0.10225678151673601</v>
      </c>
      <c r="V259" s="12">
        <v>0.179103543817312</v>
      </c>
      <c r="W259" s="12">
        <v>0.134468427403137</v>
      </c>
      <c r="X259" s="12">
        <v>0.239996424900568</v>
      </c>
      <c r="Y259" s="13">
        <v>111136</v>
      </c>
      <c r="Z259" s="13">
        <v>160875</v>
      </c>
      <c r="AA259" s="13">
        <v>1307559</v>
      </c>
      <c r="AB259" s="11">
        <v>256928</v>
      </c>
      <c r="AC259" s="11">
        <v>267410</v>
      </c>
      <c r="AD259" s="12">
        <v>4.0797421845808902E-2</v>
      </c>
      <c r="AE259" s="12">
        <v>0.71211622574207001</v>
      </c>
      <c r="AF259" s="12">
        <v>0.20054645659484399</v>
      </c>
      <c r="AG259" s="12">
        <v>0.118204321833354</v>
      </c>
      <c r="AH259" s="12">
        <v>9.7727768090671296E-2</v>
      </c>
      <c r="AI259" s="14">
        <v>0.20552839706065501</v>
      </c>
      <c r="AJ259" s="4">
        <v>278444</v>
      </c>
      <c r="AK259" s="5">
        <v>187809</v>
      </c>
      <c r="AL259" s="5">
        <v>156260</v>
      </c>
      <c r="AM259" s="5">
        <v>106267</v>
      </c>
      <c r="AN259" s="6">
        <v>0.67449469193087297</v>
      </c>
      <c r="AO259" s="6">
        <v>0.56119004180373799</v>
      </c>
      <c r="AP259" s="6">
        <v>0.38164586056801397</v>
      </c>
      <c r="AQ259" s="6">
        <v>0.113304650127135</v>
      </c>
      <c r="AR259" s="6">
        <v>0.17954418123572399</v>
      </c>
      <c r="AS259" s="6">
        <v>0.12827714010716701</v>
      </c>
      <c r="AT259" s="6">
        <v>0.25336872046084702</v>
      </c>
      <c r="AU259" s="7">
        <v>112914</v>
      </c>
      <c r="AV259" s="7">
        <v>165739</v>
      </c>
      <c r="AW259" s="7">
        <v>1460771</v>
      </c>
      <c r="AX259" s="5">
        <v>617834</v>
      </c>
      <c r="AY259" s="5">
        <v>641987</v>
      </c>
      <c r="AZ259" s="6">
        <v>3.9093024987294299E-2</v>
      </c>
      <c r="BA259" s="6">
        <v>0.72380014180292895</v>
      </c>
      <c r="BB259" s="6">
        <v>0.17795394879530699</v>
      </c>
      <c r="BC259" s="6">
        <v>0.11122890614631099</v>
      </c>
      <c r="BD259" s="6">
        <v>0.104278819229761</v>
      </c>
      <c r="BE259" s="8">
        <v>0.21131242372546699</v>
      </c>
      <c r="BF259" s="10">
        <v>528121</v>
      </c>
      <c r="BG259" s="11">
        <v>358097</v>
      </c>
      <c r="BH259" s="11">
        <v>298478</v>
      </c>
      <c r="BI259" s="11">
        <v>202429</v>
      </c>
      <c r="BJ259" s="12">
        <v>0.67805862671622597</v>
      </c>
      <c r="BK259" s="12">
        <v>0.56516972436240898</v>
      </c>
      <c r="BL259" s="12">
        <v>0.38330041789665598</v>
      </c>
      <c r="BM259" s="12">
        <v>0.112888902353817</v>
      </c>
      <c r="BN259" s="12">
        <v>0.181869306465753</v>
      </c>
      <c r="BO259" s="12">
        <v>0.130708682290611</v>
      </c>
      <c r="BP259" s="12">
        <v>0.25259173560604498</v>
      </c>
      <c r="BQ259" s="13">
        <v>113651</v>
      </c>
      <c r="BR259" s="13">
        <v>164685</v>
      </c>
      <c r="BS259" s="13">
        <v>1409979</v>
      </c>
      <c r="BT259" s="11">
        <v>1182336</v>
      </c>
      <c r="BU259" s="11">
        <v>1253207</v>
      </c>
      <c r="BV259" s="12">
        <v>5.9941505629533397E-2</v>
      </c>
      <c r="BW259" s="12">
        <v>0.704600781763147</v>
      </c>
      <c r="BX259" s="12">
        <v>0.167854146367868</v>
      </c>
      <c r="BY259" s="12">
        <v>0.11119512558189899</v>
      </c>
      <c r="BZ259" s="12">
        <v>0.166301288297066</v>
      </c>
      <c r="CA259" s="14">
        <v>0.21605533452419601</v>
      </c>
      <c r="CB259" s="86">
        <f>IF(SUM(CC259:CF259)=0,"",SUM(CC259:CF259))</f>
        <v>10812081.512666361</v>
      </c>
      <c r="CC259" s="83">
        <v>7777190.51266638</v>
      </c>
      <c r="CD259" s="83">
        <v>191487.85</v>
      </c>
      <c r="CE259" s="83">
        <v>2363405.72999998</v>
      </c>
      <c r="CF259" s="83">
        <v>479997.42000000202</v>
      </c>
      <c r="CG259" s="90">
        <f t="shared" si="50"/>
        <v>0.71930557530068517</v>
      </c>
      <c r="CH259" s="90">
        <f t="shared" si="50"/>
        <v>1.7710544428995643E-2</v>
      </c>
      <c r="CI259" s="90">
        <f t="shared" si="43"/>
        <v>0.21858933705145012</v>
      </c>
      <c r="CK259" s="86">
        <f t="shared" si="40"/>
        <v>10661113</v>
      </c>
      <c r="CL259" s="83">
        <v>7563280</v>
      </c>
      <c r="CM259" s="83">
        <v>230820</v>
      </c>
      <c r="CN259" s="83">
        <v>2395222</v>
      </c>
      <c r="CO259" s="83">
        <v>471791</v>
      </c>
      <c r="CP259" s="90">
        <f t="shared" si="41"/>
        <v>0.70942686753249873</v>
      </c>
      <c r="CQ259" s="90">
        <f t="shared" si="41"/>
        <v>2.1650647544960832E-2</v>
      </c>
      <c r="CR259" s="90">
        <f t="shared" si="41"/>
        <v>0.22466903783873221</v>
      </c>
    </row>
    <row r="260" spans="1:97" ht="37.5" thickTop="1" thickBot="1" x14ac:dyDescent="0.3">
      <c r="A260" s="3" t="s">
        <v>297</v>
      </c>
      <c r="B260" s="3">
        <v>1140</v>
      </c>
      <c r="C260" s="3" t="s">
        <v>721</v>
      </c>
      <c r="D260" s="16">
        <v>45316</v>
      </c>
      <c r="E260" s="16" t="s">
        <v>555</v>
      </c>
      <c r="F260" s="16" t="s">
        <v>676</v>
      </c>
      <c r="G260" s="17">
        <v>17294</v>
      </c>
      <c r="H260" s="17">
        <v>19492</v>
      </c>
      <c r="I260" s="17" t="s">
        <v>584</v>
      </c>
      <c r="J260" s="18"/>
      <c r="K260" s="18" t="s">
        <v>598</v>
      </c>
      <c r="L260" s="18"/>
      <c r="M260" s="18" t="s">
        <v>598</v>
      </c>
      <c r="N260" s="10">
        <v>32104</v>
      </c>
      <c r="O260" s="11">
        <v>20630</v>
      </c>
      <c r="P260" s="11">
        <v>17251</v>
      </c>
      <c r="Q260" s="11">
        <v>12432</v>
      </c>
      <c r="R260" s="12">
        <v>0.64259905307749798</v>
      </c>
      <c r="S260" s="12">
        <v>0.53734737104410701</v>
      </c>
      <c r="T260" s="12">
        <v>0.38724146523797698</v>
      </c>
      <c r="U260" s="12">
        <v>0.105251682033391</v>
      </c>
      <c r="V260" s="12">
        <v>0.15010590580613001</v>
      </c>
      <c r="W260" s="12">
        <v>9.1078993271866401E-2</v>
      </c>
      <c r="X260" s="12">
        <v>0.29616247196611001</v>
      </c>
      <c r="Y260" s="13">
        <v>109330</v>
      </c>
      <c r="Z260" s="13">
        <v>171049</v>
      </c>
      <c r="AA260" s="13">
        <v>2187131</v>
      </c>
      <c r="AB260" s="11">
        <v>83652</v>
      </c>
      <c r="AC260" s="11">
        <v>84643</v>
      </c>
      <c r="AD260" s="12">
        <v>1.18466982259838E-2</v>
      </c>
      <c r="AE260" s="12">
        <v>0.60041625041625002</v>
      </c>
      <c r="AF260" s="12">
        <v>0.22195524315019399</v>
      </c>
      <c r="AG260" s="12">
        <v>6.2281834265767701E-2</v>
      </c>
      <c r="AH260" s="40">
        <v>3.4368574570841103E-2</v>
      </c>
      <c r="AI260" s="14">
        <v>0.27787739683450502</v>
      </c>
      <c r="AJ260" s="4">
        <v>56959</v>
      </c>
      <c r="AK260" s="5">
        <v>37717</v>
      </c>
      <c r="AL260" s="5">
        <v>31741</v>
      </c>
      <c r="AM260" s="5">
        <v>23285</v>
      </c>
      <c r="AN260" s="6">
        <v>0.66217805790129702</v>
      </c>
      <c r="AO260" s="6">
        <v>0.557260485612458</v>
      </c>
      <c r="AP260" s="6">
        <v>0.40880282308326998</v>
      </c>
      <c r="AQ260" s="6">
        <v>0.10491757228883899</v>
      </c>
      <c r="AR260" s="6">
        <v>0.14845766252918799</v>
      </c>
      <c r="AS260" s="6">
        <v>9.8246106848786E-2</v>
      </c>
      <c r="AT260" s="6">
        <v>0.310556716234484</v>
      </c>
      <c r="AU260" s="7">
        <v>115247</v>
      </c>
      <c r="AV260" s="7">
        <v>176413</v>
      </c>
      <c r="AW260" s="7">
        <v>2456245</v>
      </c>
      <c r="AX260" s="5">
        <v>142321</v>
      </c>
      <c r="AY260" s="5">
        <v>143826</v>
      </c>
      <c r="AZ260" s="6">
        <v>1.05746867995587E-2</v>
      </c>
      <c r="BA260" s="6">
        <v>0.64409998062391005</v>
      </c>
      <c r="BB260" s="6">
        <v>0.168471272686392</v>
      </c>
      <c r="BC260" s="6">
        <v>6.3813492035609598E-2</v>
      </c>
      <c r="BD260" s="41">
        <v>3.18013504683076E-2</v>
      </c>
      <c r="BE260" s="8">
        <v>0.293913055698035</v>
      </c>
      <c r="BF260" s="10">
        <v>75262</v>
      </c>
      <c r="BG260" s="11">
        <v>49934</v>
      </c>
      <c r="BH260" s="11">
        <v>41766</v>
      </c>
      <c r="BI260" s="11">
        <v>30086</v>
      </c>
      <c r="BJ260" s="12">
        <v>0.66346894847333304</v>
      </c>
      <c r="BK260" s="12">
        <v>0.55494140469293896</v>
      </c>
      <c r="BL260" s="12">
        <v>0.39975020594722399</v>
      </c>
      <c r="BM260" s="12">
        <v>0.108527543780394</v>
      </c>
      <c r="BN260" s="12">
        <v>0.15519119874571499</v>
      </c>
      <c r="BO260" s="12">
        <v>9.8788233105684103E-2</v>
      </c>
      <c r="BP260" s="12">
        <v>0.30096197284154003</v>
      </c>
      <c r="BQ260" s="13">
        <v>113752</v>
      </c>
      <c r="BR260" s="13">
        <v>173251</v>
      </c>
      <c r="BS260" s="13">
        <v>2424233</v>
      </c>
      <c r="BT260" s="11">
        <v>182975</v>
      </c>
      <c r="BU260" s="11">
        <v>184846</v>
      </c>
      <c r="BV260" s="12">
        <v>1.0225440633966401E-2</v>
      </c>
      <c r="BW260" s="12">
        <v>0.65222367560497096</v>
      </c>
      <c r="BX260" s="12">
        <v>0.15419592840551999</v>
      </c>
      <c r="BY260" s="12">
        <v>6.5008880994671406E-2</v>
      </c>
      <c r="BZ260" s="40">
        <v>2.82169695313567E-2</v>
      </c>
      <c r="CA260" s="14">
        <v>0.30096461265200197</v>
      </c>
      <c r="CB260" s="98">
        <v>17000000</v>
      </c>
      <c r="CC260" s="83" t="s">
        <v>598</v>
      </c>
      <c r="CD260" s="83" t="s">
        <v>598</v>
      </c>
      <c r="CE260" s="83" t="s">
        <v>598</v>
      </c>
      <c r="CF260" s="83" t="s">
        <v>598</v>
      </c>
      <c r="CG260" s="90" t="str">
        <f t="shared" si="50"/>
        <v/>
      </c>
      <c r="CH260" s="90" t="str">
        <f t="shared" si="50"/>
        <v/>
      </c>
      <c r="CI260" s="90" t="str">
        <f t="shared" si="43"/>
        <v/>
      </c>
      <c r="CK260" s="98">
        <v>17000000</v>
      </c>
      <c r="CL260" s="83" t="s">
        <v>598</v>
      </c>
      <c r="CM260" s="83" t="s">
        <v>598</v>
      </c>
      <c r="CN260" s="83" t="s">
        <v>598</v>
      </c>
      <c r="CO260" s="83" t="s">
        <v>598</v>
      </c>
      <c r="CP260" s="90" t="str">
        <f t="shared" ref="CP260:CQ260" si="51">IFERROR(CL260/$CB260,"")</f>
        <v/>
      </c>
      <c r="CQ260" s="90" t="str">
        <f t="shared" si="51"/>
        <v/>
      </c>
      <c r="CR260" s="90" t="str">
        <f t="shared" ref="CR260:CR293" si="52">IFERROR(CN260/$CK260,"")</f>
        <v/>
      </c>
    </row>
    <row r="261" spans="1:97" ht="37.5" thickTop="1" thickBot="1" x14ac:dyDescent="0.3">
      <c r="A261" s="3" t="s">
        <v>297</v>
      </c>
      <c r="B261" s="3">
        <v>1111</v>
      </c>
      <c r="C261" s="3" t="s">
        <v>177</v>
      </c>
      <c r="D261" s="16">
        <v>41242</v>
      </c>
      <c r="E261" s="16" t="s">
        <v>552</v>
      </c>
      <c r="F261" s="16" t="s">
        <v>446</v>
      </c>
      <c r="G261" s="17">
        <v>20957</v>
      </c>
      <c r="H261" s="17">
        <v>24476</v>
      </c>
      <c r="I261" s="17" t="s">
        <v>585</v>
      </c>
      <c r="J261" s="18"/>
      <c r="K261" s="18" t="s">
        <v>598</v>
      </c>
      <c r="L261" s="18" t="s">
        <v>519</v>
      </c>
      <c r="M261" s="18" t="s">
        <v>598</v>
      </c>
      <c r="N261" s="10">
        <v>25361</v>
      </c>
      <c r="O261" s="11">
        <v>18591</v>
      </c>
      <c r="P261" s="11">
        <v>15814</v>
      </c>
      <c r="Q261" s="11">
        <v>9939</v>
      </c>
      <c r="R261" s="12">
        <v>0.73305469027246595</v>
      </c>
      <c r="S261" s="12">
        <v>0.623555853475809</v>
      </c>
      <c r="T261" s="12">
        <v>0.39190095027798599</v>
      </c>
      <c r="U261" s="12">
        <v>0.10949883679665599</v>
      </c>
      <c r="V261" s="12">
        <v>0.231654903197823</v>
      </c>
      <c r="W261" s="12">
        <v>0.155514372461654</v>
      </c>
      <c r="X261" s="12">
        <v>0.23638657781633199</v>
      </c>
      <c r="Y261" s="13">
        <v>121255</v>
      </c>
      <c r="Z261" s="13">
        <v>151885</v>
      </c>
      <c r="AA261" s="13">
        <v>1905537</v>
      </c>
      <c r="AB261" s="11">
        <v>70416</v>
      </c>
      <c r="AC261" s="11">
        <v>74671</v>
      </c>
      <c r="AD261" s="12">
        <v>6.0426607589184299E-2</v>
      </c>
      <c r="AE261" s="12">
        <v>0.59868504502980802</v>
      </c>
      <c r="AF261" s="12">
        <v>0.11711826857532399</v>
      </c>
      <c r="AG261" s="12">
        <v>0.188082254033174</v>
      </c>
      <c r="AH261" s="40">
        <v>1.6104294478527601E-2</v>
      </c>
      <c r="AI261" s="14">
        <v>0.237602249488753</v>
      </c>
      <c r="AJ261" s="4">
        <v>44730</v>
      </c>
      <c r="AK261" s="5">
        <v>31928</v>
      </c>
      <c r="AL261" s="5">
        <v>26726</v>
      </c>
      <c r="AM261" s="5">
        <v>16820</v>
      </c>
      <c r="AN261" s="6">
        <v>0.71379387435725505</v>
      </c>
      <c r="AO261" s="6">
        <v>0.59749608763693296</v>
      </c>
      <c r="AP261" s="6">
        <v>0.37603398166778501</v>
      </c>
      <c r="AQ261" s="6">
        <v>0.116297786720322</v>
      </c>
      <c r="AR261" s="6">
        <v>0.221462105969148</v>
      </c>
      <c r="AS261" s="6">
        <v>0.151128996199419</v>
      </c>
      <c r="AT261" s="6">
        <v>0.22490498546836599</v>
      </c>
      <c r="AU261" s="7">
        <v>116883</v>
      </c>
      <c r="AV261" s="7">
        <v>149376</v>
      </c>
      <c r="AW261" s="7">
        <v>2004263</v>
      </c>
      <c r="AX261" s="5">
        <v>127118</v>
      </c>
      <c r="AY261" s="5">
        <v>133512</v>
      </c>
      <c r="AZ261" s="6">
        <v>5.0299721518588997E-2</v>
      </c>
      <c r="BA261" s="6">
        <v>0.51949028853710599</v>
      </c>
      <c r="BB261" s="6">
        <v>0.121910351012445</v>
      </c>
      <c r="BC261" s="6">
        <v>0.14269418965056099</v>
      </c>
      <c r="BD261" s="41">
        <v>3.9970735851728299E-2</v>
      </c>
      <c r="BE261" s="8">
        <v>0.25300114853915301</v>
      </c>
      <c r="BF261" s="10">
        <v>69332</v>
      </c>
      <c r="BG261" s="11">
        <v>48667</v>
      </c>
      <c r="BH261" s="11">
        <v>40412</v>
      </c>
      <c r="BI261" s="11">
        <v>25589</v>
      </c>
      <c r="BJ261" s="12">
        <v>0.70194138348814406</v>
      </c>
      <c r="BK261" s="12">
        <v>0.58287659378065004</v>
      </c>
      <c r="BL261" s="12">
        <v>0.36907921306178998</v>
      </c>
      <c r="BM261" s="12">
        <v>0.119064789707494</v>
      </c>
      <c r="BN261" s="12">
        <v>0.21379738071886001</v>
      </c>
      <c r="BO261" s="12">
        <v>0.143829689032481</v>
      </c>
      <c r="BP261" s="12">
        <v>0.22524952402930801</v>
      </c>
      <c r="BQ261" s="13">
        <v>114578</v>
      </c>
      <c r="BR261" s="13">
        <v>149381</v>
      </c>
      <c r="BS261" s="13">
        <v>2167114</v>
      </c>
      <c r="BT261" s="11">
        <v>194725</v>
      </c>
      <c r="BU261" s="11">
        <v>203444</v>
      </c>
      <c r="BV261" s="12">
        <v>4.4775966106046998E-2</v>
      </c>
      <c r="BW261" s="12">
        <v>0.50763314635979895</v>
      </c>
      <c r="BX261" s="12">
        <v>0.115337013737322</v>
      </c>
      <c r="BY261" s="12">
        <v>0.120672743612787</v>
      </c>
      <c r="BZ261" s="40">
        <v>3.1382719219411999E-2</v>
      </c>
      <c r="CA261" s="14">
        <v>0.27569135960970598</v>
      </c>
      <c r="CB261" s="86">
        <f t="shared" ref="CB261:CB268" si="53">IF(SUM(CC261:CF261)=0,"",SUM(CC261:CF261))</f>
        <v>17497619.119999424</v>
      </c>
      <c r="CC261" s="83">
        <v>6465375.8599998401</v>
      </c>
      <c r="CD261" s="83">
        <v>7356380.0199996103</v>
      </c>
      <c r="CE261" s="83">
        <v>2608042.9199999599</v>
      </c>
      <c r="CF261" s="83">
        <v>1067820.3200000101</v>
      </c>
      <c r="CG261" s="90">
        <f t="shared" si="50"/>
        <v>0.36950031976693598</v>
      </c>
      <c r="CH261" s="90">
        <f t="shared" si="50"/>
        <v>0.42042177107349521</v>
      </c>
      <c r="CI261" s="90">
        <f t="shared" si="43"/>
        <v>0.14905130247229006</v>
      </c>
      <c r="CK261" s="86">
        <f t="shared" ref="CK261:CK293" si="54">IF(SUM(CL261:CO261)=0,"",SUM(CL261:CO261))</f>
        <v>17241922</v>
      </c>
      <c r="CL261" s="83">
        <v>6304670</v>
      </c>
      <c r="CM261" s="83">
        <v>7340197</v>
      </c>
      <c r="CN261" s="83">
        <v>2568980</v>
      </c>
      <c r="CO261" s="83">
        <v>1028075</v>
      </c>
      <c r="CP261" s="90">
        <f t="shared" ref="CP261:CQ293" si="55">IFERROR(CL261/$CK261,"")</f>
        <v>0.36565935050628345</v>
      </c>
      <c r="CQ261" s="90">
        <f t="shared" si="55"/>
        <v>0.42571802609941051</v>
      </c>
      <c r="CR261" s="90">
        <f t="shared" si="52"/>
        <v>0.14899615019717638</v>
      </c>
    </row>
    <row r="262" spans="1:97" ht="37.5" thickTop="1" thickBot="1" x14ac:dyDescent="0.3">
      <c r="A262" s="3" t="s">
        <v>297</v>
      </c>
      <c r="B262" s="3">
        <v>1120</v>
      </c>
      <c r="C262" s="3" t="s">
        <v>186</v>
      </c>
      <c r="D262" s="16">
        <v>43020</v>
      </c>
      <c r="E262" s="16" t="s">
        <v>555</v>
      </c>
      <c r="F262" s="16" t="s">
        <v>454</v>
      </c>
      <c r="G262" s="17">
        <v>22585</v>
      </c>
      <c r="H262" s="17">
        <v>28787</v>
      </c>
      <c r="I262" s="17" t="s">
        <v>585</v>
      </c>
      <c r="J262" s="18"/>
      <c r="K262" s="18" t="s">
        <v>519</v>
      </c>
      <c r="L262" s="18" t="s">
        <v>519</v>
      </c>
      <c r="M262" s="18" t="s">
        <v>519</v>
      </c>
      <c r="N262" s="10">
        <v>73202</v>
      </c>
      <c r="O262" s="11">
        <v>51290</v>
      </c>
      <c r="P262" s="11">
        <v>44572</v>
      </c>
      <c r="Q262" s="11">
        <v>33266</v>
      </c>
      <c r="R262" s="12">
        <v>0.70066391628643998</v>
      </c>
      <c r="S262" s="12">
        <v>0.60889046747356601</v>
      </c>
      <c r="T262" s="12">
        <v>0.454441135488101</v>
      </c>
      <c r="U262" s="12">
        <v>9.1773448812873998E-2</v>
      </c>
      <c r="V262" s="12">
        <v>0.15444933198546501</v>
      </c>
      <c r="W262" s="12">
        <v>0.137250348351138</v>
      </c>
      <c r="X262" s="12">
        <v>0.31719078713696303</v>
      </c>
      <c r="Y262" s="13">
        <v>131400</v>
      </c>
      <c r="Z262" s="13">
        <v>171273</v>
      </c>
      <c r="AA262" s="13">
        <v>2091646</v>
      </c>
      <c r="AB262" s="11">
        <v>208098</v>
      </c>
      <c r="AC262" s="11">
        <v>210814</v>
      </c>
      <c r="AD262" s="12">
        <v>1.30515430229988E-2</v>
      </c>
      <c r="AE262" s="12">
        <v>0.51957906241898999</v>
      </c>
      <c r="AF262" s="12">
        <v>0.24302972637891801</v>
      </c>
      <c r="AG262" s="12">
        <v>0.253976491845188</v>
      </c>
      <c r="AH262" s="40">
        <v>3.2297283010889098E-2</v>
      </c>
      <c r="AI262" s="14">
        <v>0.24420225086257399</v>
      </c>
      <c r="AJ262" s="4">
        <v>168631</v>
      </c>
      <c r="AK262" s="5">
        <v>112069</v>
      </c>
      <c r="AL262" s="5">
        <v>95286</v>
      </c>
      <c r="AM262" s="5">
        <v>69296</v>
      </c>
      <c r="AN262" s="6">
        <v>0.66458124544122998</v>
      </c>
      <c r="AO262" s="6">
        <v>0.56505624707200897</v>
      </c>
      <c r="AP262" s="6">
        <v>0.410932746648007</v>
      </c>
      <c r="AQ262" s="6">
        <v>9.9524998369220394E-2</v>
      </c>
      <c r="AR262" s="6">
        <v>0.154123500424003</v>
      </c>
      <c r="AS262" s="6">
        <v>0.123168337968701</v>
      </c>
      <c r="AT262" s="6">
        <v>0.28776440867930603</v>
      </c>
      <c r="AU262" s="7">
        <v>116849</v>
      </c>
      <c r="AV262" s="7">
        <v>161092</v>
      </c>
      <c r="AW262" s="7">
        <v>1755512</v>
      </c>
      <c r="AX262" s="5">
        <v>496504</v>
      </c>
      <c r="AY262" s="5">
        <v>504103</v>
      </c>
      <c r="AZ262" s="6">
        <v>1.53050126484379E-2</v>
      </c>
      <c r="BA262" s="6">
        <v>0.476059163439149</v>
      </c>
      <c r="BB262" s="6">
        <v>0.28604804795127498</v>
      </c>
      <c r="BC262" s="6">
        <v>0.29032998727099901</v>
      </c>
      <c r="BD262" s="41">
        <v>3.2467009329230002E-2</v>
      </c>
      <c r="BE262" s="8">
        <v>0.23773020962570299</v>
      </c>
      <c r="BF262" s="10">
        <v>286036</v>
      </c>
      <c r="BG262" s="11">
        <v>187455</v>
      </c>
      <c r="BH262" s="11">
        <v>159563</v>
      </c>
      <c r="BI262" s="11">
        <v>116117</v>
      </c>
      <c r="BJ262" s="12">
        <v>0.65535457075333203</v>
      </c>
      <c r="BK262" s="12">
        <v>0.55784236949195198</v>
      </c>
      <c r="BL262" s="12">
        <v>0.405952397600302</v>
      </c>
      <c r="BM262" s="12">
        <v>9.7512201261379702E-2</v>
      </c>
      <c r="BN262" s="12">
        <v>0.15188997189164999</v>
      </c>
      <c r="BO262" s="12">
        <v>0.12173642478569099</v>
      </c>
      <c r="BP262" s="12">
        <v>0.28421597281461097</v>
      </c>
      <c r="BQ262" s="13">
        <v>114987</v>
      </c>
      <c r="BR262" s="13">
        <v>159086</v>
      </c>
      <c r="BS262" s="13">
        <v>1638020</v>
      </c>
      <c r="BT262" s="11">
        <v>858096</v>
      </c>
      <c r="BU262" s="11">
        <v>876751</v>
      </c>
      <c r="BV262" s="12">
        <v>2.1739991795789702E-2</v>
      </c>
      <c r="BW262" s="12">
        <v>0.46541273306940201</v>
      </c>
      <c r="BX262" s="12">
        <v>0.31024617292237699</v>
      </c>
      <c r="BY262" s="12">
        <v>0.30644240271484802</v>
      </c>
      <c r="BZ262" s="40">
        <v>3.2068672968991803E-2</v>
      </c>
      <c r="CA262" s="14">
        <v>0.23155684212489</v>
      </c>
      <c r="CB262" s="86">
        <f t="shared" si="53"/>
        <v>26719209.00122115</v>
      </c>
      <c r="CC262" s="83">
        <v>9237572.9472219404</v>
      </c>
      <c r="CD262" s="83">
        <v>12467322.4099993</v>
      </c>
      <c r="CE262" s="83">
        <v>3438583.0639999099</v>
      </c>
      <c r="CF262" s="83">
        <v>1575730.58</v>
      </c>
      <c r="CG262" s="90">
        <f t="shared" si="50"/>
        <v>0.34572778508524543</v>
      </c>
      <c r="CH262" s="90">
        <f t="shared" si="50"/>
        <v>0.4666052205897826</v>
      </c>
      <c r="CI262" s="90">
        <f t="shared" si="43"/>
        <v>0.12869329566765078</v>
      </c>
      <c r="CK262" s="86">
        <f t="shared" si="54"/>
        <v>27304927</v>
      </c>
      <c r="CL262" s="83">
        <v>9278028</v>
      </c>
      <c r="CM262" s="83">
        <v>12926423</v>
      </c>
      <c r="CN262" s="83">
        <v>3524331</v>
      </c>
      <c r="CO262" s="83">
        <v>1576145</v>
      </c>
      <c r="CP262" s="90">
        <f t="shared" si="55"/>
        <v>0.33979318091566407</v>
      </c>
      <c r="CQ262" s="90">
        <f t="shared" si="55"/>
        <v>0.47340990876847977</v>
      </c>
      <c r="CR262" s="90">
        <f t="shared" si="52"/>
        <v>0.12907307900878109</v>
      </c>
    </row>
    <row r="263" spans="1:97" ht="37.5" thickTop="1" thickBot="1" x14ac:dyDescent="0.3">
      <c r="A263" s="3" t="s">
        <v>297</v>
      </c>
      <c r="B263" s="3">
        <v>1118</v>
      </c>
      <c r="C263" s="3" t="s">
        <v>184</v>
      </c>
      <c r="D263" s="16">
        <v>42670</v>
      </c>
      <c r="E263" s="16" t="s">
        <v>555</v>
      </c>
      <c r="F263" s="16" t="s">
        <v>452</v>
      </c>
      <c r="G263" s="17">
        <v>15900</v>
      </c>
      <c r="H263" s="17">
        <v>21150</v>
      </c>
      <c r="I263" s="17" t="s">
        <v>583</v>
      </c>
      <c r="J263" s="18"/>
      <c r="K263" s="18" t="s">
        <v>598</v>
      </c>
      <c r="L263" s="18" t="s">
        <v>587</v>
      </c>
      <c r="M263" s="18" t="s">
        <v>598</v>
      </c>
      <c r="N263" s="10">
        <v>57475</v>
      </c>
      <c r="O263" s="11">
        <v>37554</v>
      </c>
      <c r="P263" s="11">
        <v>31082</v>
      </c>
      <c r="Q263" s="11">
        <v>21122</v>
      </c>
      <c r="R263" s="12">
        <v>0.65339712918660298</v>
      </c>
      <c r="S263" s="12">
        <v>0.540791648542845</v>
      </c>
      <c r="T263" s="12">
        <v>0.36749891257068301</v>
      </c>
      <c r="U263" s="12">
        <v>0.112605480643758</v>
      </c>
      <c r="V263" s="12">
        <v>0.17329273597216199</v>
      </c>
      <c r="W263" s="12">
        <v>0.13705089169203999</v>
      </c>
      <c r="X263" s="12">
        <v>0.230448020878643</v>
      </c>
      <c r="Y263" s="13">
        <v>108580</v>
      </c>
      <c r="Z263" s="13">
        <v>150305</v>
      </c>
      <c r="AA263" s="13">
        <v>1773448</v>
      </c>
      <c r="AB263" s="11">
        <v>141079</v>
      </c>
      <c r="AC263" s="11">
        <v>144969</v>
      </c>
      <c r="AD263" s="12">
        <v>2.7573203666031099E-2</v>
      </c>
      <c r="AE263" s="12">
        <v>0.56482692993933603</v>
      </c>
      <c r="AF263" s="12">
        <v>0.23967422507956501</v>
      </c>
      <c r="AG263" s="12">
        <v>0.16487216382310599</v>
      </c>
      <c r="AH263" s="40">
        <v>2.85797319232487E-2</v>
      </c>
      <c r="AI263" s="14">
        <v>0.25034200696063902</v>
      </c>
      <c r="AJ263" s="4">
        <v>109664</v>
      </c>
      <c r="AK263" s="5">
        <v>72403</v>
      </c>
      <c r="AL263" s="5">
        <v>60615</v>
      </c>
      <c r="AM263" s="5">
        <v>40993</v>
      </c>
      <c r="AN263" s="6">
        <v>0.66022578056609305</v>
      </c>
      <c r="AO263" s="6">
        <v>0.55273380507732695</v>
      </c>
      <c r="AP263" s="6">
        <v>0.37380544207761901</v>
      </c>
      <c r="AQ263" s="6">
        <v>0.107491975488766</v>
      </c>
      <c r="AR263" s="6">
        <v>0.17892836299970799</v>
      </c>
      <c r="AS263" s="6">
        <v>0.135413627079078</v>
      </c>
      <c r="AT263" s="6">
        <v>0.23839181499854101</v>
      </c>
      <c r="AU263" s="7">
        <v>110951</v>
      </c>
      <c r="AV263" s="7">
        <v>154140</v>
      </c>
      <c r="AW263" s="7">
        <v>2014020</v>
      </c>
      <c r="AX263" s="5">
        <v>271133</v>
      </c>
      <c r="AY263" s="5">
        <v>277484</v>
      </c>
      <c r="AZ263" s="6">
        <v>2.3423928477905701E-2</v>
      </c>
      <c r="BA263" s="6">
        <v>0.54536895493981496</v>
      </c>
      <c r="BB263" s="6">
        <v>0.21189231853002</v>
      </c>
      <c r="BC263" s="6">
        <v>0.15537761910206399</v>
      </c>
      <c r="BD263" s="41">
        <v>2.7211737413003999E-2</v>
      </c>
      <c r="BE263" s="8">
        <v>0.26735218508997399</v>
      </c>
      <c r="BF263" s="10">
        <v>140956</v>
      </c>
      <c r="BG263" s="11">
        <v>95397</v>
      </c>
      <c r="BH263" s="11">
        <v>80099</v>
      </c>
      <c r="BI263" s="11">
        <v>55431</v>
      </c>
      <c r="BJ263" s="12">
        <v>0.67678566361133996</v>
      </c>
      <c r="BK263" s="12">
        <v>0.56825534209256801</v>
      </c>
      <c r="BL263" s="12">
        <v>0.39325037600385898</v>
      </c>
      <c r="BM263" s="12">
        <v>0.108530321518772</v>
      </c>
      <c r="BN263" s="12">
        <v>0.175004966088709</v>
      </c>
      <c r="BO263" s="12">
        <v>0.133857373932291</v>
      </c>
      <c r="BP263" s="12">
        <v>0.25939300207156801</v>
      </c>
      <c r="BQ263" s="13">
        <v>115136</v>
      </c>
      <c r="BR263" s="13">
        <v>162682</v>
      </c>
      <c r="BS263" s="13">
        <v>2241945</v>
      </c>
      <c r="BT263" s="11">
        <v>350200</v>
      </c>
      <c r="BU263" s="11">
        <v>358060</v>
      </c>
      <c r="BV263" s="12">
        <v>2.24443175328384E-2</v>
      </c>
      <c r="BW263" s="12">
        <v>0.54275496419842695</v>
      </c>
      <c r="BX263" s="12">
        <v>0.19726727584237599</v>
      </c>
      <c r="BY263" s="12">
        <v>0.14661336379211901</v>
      </c>
      <c r="BZ263" s="40">
        <v>2.6190748143917801E-2</v>
      </c>
      <c r="CA263" s="14">
        <v>0.27625071387778399</v>
      </c>
      <c r="CB263" s="86">
        <f t="shared" si="53"/>
        <v>29425728.13199899</v>
      </c>
      <c r="CC263" s="83">
        <v>10951800.4899997</v>
      </c>
      <c r="CD263" s="83">
        <v>13076419.899999401</v>
      </c>
      <c r="CE263" s="83">
        <v>3810162.7319998899</v>
      </c>
      <c r="CF263" s="83">
        <v>1587345.01</v>
      </c>
      <c r="CG263" s="90">
        <f t="shared" si="50"/>
        <v>0.37218451964456817</v>
      </c>
      <c r="CH263" s="90">
        <f t="shared" si="50"/>
        <v>0.44438730084573358</v>
      </c>
      <c r="CI263" s="90">
        <f t="shared" si="43"/>
        <v>0.12948405949066494</v>
      </c>
      <c r="CK263" s="86">
        <f t="shared" si="54"/>
        <v>28794031</v>
      </c>
      <c r="CL263" s="83">
        <v>10646015</v>
      </c>
      <c r="CM263" s="83">
        <v>12805253</v>
      </c>
      <c r="CN263" s="83">
        <v>3779267</v>
      </c>
      <c r="CO263" s="83">
        <v>1563496</v>
      </c>
      <c r="CP263" s="90">
        <f t="shared" si="55"/>
        <v>0.36972992770619717</v>
      </c>
      <c r="CQ263" s="90">
        <f t="shared" si="55"/>
        <v>0.444719011381213</v>
      </c>
      <c r="CR263" s="90">
        <f t="shared" si="52"/>
        <v>0.13125175144806922</v>
      </c>
    </row>
    <row r="264" spans="1:97" ht="37.5" thickTop="1" thickBot="1" x14ac:dyDescent="0.3">
      <c r="A264" s="3" t="s">
        <v>288</v>
      </c>
      <c r="B264" s="3">
        <v>215</v>
      </c>
      <c r="C264" s="3" t="s">
        <v>41</v>
      </c>
      <c r="D264" s="16">
        <v>42500</v>
      </c>
      <c r="E264" s="16" t="s">
        <v>521</v>
      </c>
      <c r="F264" s="16" t="s">
        <v>328</v>
      </c>
      <c r="G264" s="17">
        <v>15205</v>
      </c>
      <c r="H264" s="17">
        <v>18527</v>
      </c>
      <c r="I264" s="17" t="s">
        <v>585</v>
      </c>
      <c r="J264" s="18"/>
      <c r="K264" s="18" t="s">
        <v>598</v>
      </c>
      <c r="L264" s="18"/>
      <c r="M264" s="18" t="s">
        <v>519</v>
      </c>
      <c r="N264" s="10">
        <v>15847</v>
      </c>
      <c r="O264" s="11">
        <v>12868</v>
      </c>
      <c r="P264" s="11">
        <v>11061</v>
      </c>
      <c r="Q264" s="11">
        <v>6747</v>
      </c>
      <c r="R264" s="12">
        <v>0.81201489240865798</v>
      </c>
      <c r="S264" s="12">
        <v>0.69798700069413799</v>
      </c>
      <c r="T264" s="12">
        <v>0.42575881870385601</v>
      </c>
      <c r="U264" s="12">
        <v>0.11402789171452</v>
      </c>
      <c r="V264" s="12">
        <v>0.27222818199028198</v>
      </c>
      <c r="W264" s="12">
        <v>0.15927304852653501</v>
      </c>
      <c r="X264" s="12">
        <v>0.266485770177321</v>
      </c>
      <c r="Y264" s="13">
        <v>131479</v>
      </c>
      <c r="Z264" s="13">
        <v>165347</v>
      </c>
      <c r="AA264" s="13">
        <v>2060295</v>
      </c>
      <c r="AB264" s="11">
        <v>51090</v>
      </c>
      <c r="AC264" s="11">
        <v>55528</v>
      </c>
      <c r="AD264" s="12">
        <v>8.6866314347230397E-2</v>
      </c>
      <c r="AE264" s="12">
        <v>0.57104953719058105</v>
      </c>
      <c r="AF264" s="12">
        <v>0.14971618712076701</v>
      </c>
      <c r="AG264" s="12">
        <v>0.1624388334312</v>
      </c>
      <c r="AH264" s="40">
        <v>0.119005676257585</v>
      </c>
      <c r="AI264" s="14">
        <v>0.20510863182618899</v>
      </c>
      <c r="AJ264" s="4">
        <v>35526</v>
      </c>
      <c r="AK264" s="5">
        <v>27172</v>
      </c>
      <c r="AL264" s="5">
        <v>22871</v>
      </c>
      <c r="AM264" s="5">
        <v>13959</v>
      </c>
      <c r="AN264" s="6">
        <v>0.76484828013285999</v>
      </c>
      <c r="AO264" s="6">
        <v>0.64378201880313002</v>
      </c>
      <c r="AP264" s="6">
        <v>0.39292349265326798</v>
      </c>
      <c r="AQ264" s="6">
        <v>0.12106626132973</v>
      </c>
      <c r="AR264" s="6">
        <v>0.25085852614986198</v>
      </c>
      <c r="AS264" s="6">
        <v>0.14676574902888001</v>
      </c>
      <c r="AT264" s="6">
        <v>0.246157743624388</v>
      </c>
      <c r="AU264" s="7">
        <v>123099</v>
      </c>
      <c r="AV264" s="7">
        <v>156569</v>
      </c>
      <c r="AW264" s="7">
        <v>1921243</v>
      </c>
      <c r="AX264" s="5">
        <v>111580</v>
      </c>
      <c r="AY264" s="5">
        <v>121561</v>
      </c>
      <c r="AZ264" s="6">
        <v>8.9451514608352795E-2</v>
      </c>
      <c r="BA264" s="6">
        <v>0.53506431833736001</v>
      </c>
      <c r="BB264" s="6">
        <v>0.19543825058254199</v>
      </c>
      <c r="BC264" s="6">
        <v>0.13950528768596501</v>
      </c>
      <c r="BD264" s="41">
        <v>0.12570353109876301</v>
      </c>
      <c r="BE264" s="8">
        <v>0.19761606022584699</v>
      </c>
      <c r="BF264" s="10">
        <v>51920</v>
      </c>
      <c r="BG264" s="11">
        <v>37450</v>
      </c>
      <c r="BH264" s="11">
        <v>30976</v>
      </c>
      <c r="BI264" s="11">
        <v>18769</v>
      </c>
      <c r="BJ264" s="12">
        <v>0.72130200308166403</v>
      </c>
      <c r="BK264" s="12">
        <v>0.59661016949152501</v>
      </c>
      <c r="BL264" s="12">
        <v>0.36149845916795098</v>
      </c>
      <c r="BM264" s="12">
        <v>0.124691833590139</v>
      </c>
      <c r="BN264" s="12">
        <v>0.235111710323575</v>
      </c>
      <c r="BO264" s="12">
        <v>0.13855932203389801</v>
      </c>
      <c r="BP264" s="12">
        <v>0.222939137134052</v>
      </c>
      <c r="BQ264" s="13">
        <v>115387</v>
      </c>
      <c r="BR264" s="13">
        <v>147357</v>
      </c>
      <c r="BS264" s="13">
        <v>1829794</v>
      </c>
      <c r="BT264" s="11">
        <v>162569</v>
      </c>
      <c r="BU264" s="11">
        <v>175491</v>
      </c>
      <c r="BV264" s="12">
        <v>7.9486248915845006E-2</v>
      </c>
      <c r="BW264" s="12">
        <v>0.48689829654076999</v>
      </c>
      <c r="BX264" s="12">
        <v>0.23512477778666299</v>
      </c>
      <c r="BY264" s="12">
        <v>0.11851583020133</v>
      </c>
      <c r="BZ264" s="40">
        <v>0.122052789892292</v>
      </c>
      <c r="CA264" s="14">
        <v>0.20608480091530401</v>
      </c>
      <c r="CB264" s="86">
        <f t="shared" si="53"/>
        <v>9427420.8323331177</v>
      </c>
      <c r="CC264" s="83">
        <v>6229151.3049998097</v>
      </c>
      <c r="CD264" s="83">
        <v>163892.34</v>
      </c>
      <c r="CE264" s="83">
        <v>2430307.3899999699</v>
      </c>
      <c r="CF264" s="83">
        <v>604069.79733333702</v>
      </c>
      <c r="CG264" s="90">
        <f t="shared" si="50"/>
        <v>0.66074819569269261</v>
      </c>
      <c r="CH264" s="90">
        <f t="shared" si="50"/>
        <v>1.7384642408016869E-2</v>
      </c>
      <c r="CI264" s="90">
        <f t="shared" si="43"/>
        <v>0.25779133372987578</v>
      </c>
      <c r="CK264" s="86">
        <f t="shared" si="54"/>
        <v>9887766</v>
      </c>
      <c r="CL264" s="83">
        <v>6467294</v>
      </c>
      <c r="CM264" s="83">
        <v>192425</v>
      </c>
      <c r="CN264" s="83">
        <v>2600271</v>
      </c>
      <c r="CO264" s="83">
        <v>627776</v>
      </c>
      <c r="CP264" s="90">
        <f t="shared" si="55"/>
        <v>0.65407029252108106</v>
      </c>
      <c r="CQ264" s="90">
        <f t="shared" si="55"/>
        <v>1.9460917663302307E-2</v>
      </c>
      <c r="CR264" s="90">
        <f t="shared" si="52"/>
        <v>0.26297861417836949</v>
      </c>
    </row>
    <row r="265" spans="1:97" ht="49.5" thickTop="1" thickBot="1" x14ac:dyDescent="0.3">
      <c r="A265" s="3" t="s">
        <v>303</v>
      </c>
      <c r="B265" s="3">
        <v>1705</v>
      </c>
      <c r="C265" s="3" t="s">
        <v>243</v>
      </c>
      <c r="D265" s="16">
        <v>43356</v>
      </c>
      <c r="E265" s="16" t="s">
        <v>568</v>
      </c>
      <c r="F265" s="16" t="s">
        <v>497</v>
      </c>
      <c r="G265" s="17">
        <v>23099</v>
      </c>
      <c r="H265" s="17">
        <v>34648</v>
      </c>
      <c r="I265" s="17" t="s">
        <v>585</v>
      </c>
      <c r="J265" s="18"/>
      <c r="K265" s="18" t="s">
        <v>519</v>
      </c>
      <c r="L265" s="18" t="s">
        <v>587</v>
      </c>
      <c r="M265" s="18" t="s">
        <v>598</v>
      </c>
      <c r="N265" s="10">
        <v>28824</v>
      </c>
      <c r="O265" s="11">
        <v>19654</v>
      </c>
      <c r="P265" s="11">
        <v>16369</v>
      </c>
      <c r="Q265" s="11">
        <v>10596</v>
      </c>
      <c r="R265" s="12">
        <v>0.68186233694143805</v>
      </c>
      <c r="S265" s="12">
        <v>0.56789480988065499</v>
      </c>
      <c r="T265" s="12">
        <v>0.36761032472939198</v>
      </c>
      <c r="U265" s="12">
        <v>0.113967527060783</v>
      </c>
      <c r="V265" s="12">
        <v>0.20028448515126299</v>
      </c>
      <c r="W265" s="12">
        <v>0.12545101304468501</v>
      </c>
      <c r="X265" s="12">
        <v>0.242159311684707</v>
      </c>
      <c r="Y265" s="13">
        <v>112604</v>
      </c>
      <c r="Z265" s="13">
        <v>158637</v>
      </c>
      <c r="AA265" s="13">
        <v>2166918</v>
      </c>
      <c r="AB265" s="11">
        <v>74642</v>
      </c>
      <c r="AC265" s="11">
        <v>76644</v>
      </c>
      <c r="AD265" s="12">
        <v>2.6821360628064599E-2</v>
      </c>
      <c r="AE265" s="12">
        <v>0.58765450291966803</v>
      </c>
      <c r="AF265" s="12">
        <v>4.8069451515232703E-2</v>
      </c>
      <c r="AG265" s="12">
        <v>0.16380857962005299</v>
      </c>
      <c r="AH265" s="40">
        <v>4.0540178451810002E-2</v>
      </c>
      <c r="AI265" s="14">
        <v>0.26996865035770701</v>
      </c>
      <c r="AJ265" s="4">
        <v>78191</v>
      </c>
      <c r="AK265" s="5">
        <v>55976</v>
      </c>
      <c r="AL265" s="5">
        <v>47570</v>
      </c>
      <c r="AM265" s="5">
        <v>33148</v>
      </c>
      <c r="AN265" s="6">
        <v>0.71588801780255995</v>
      </c>
      <c r="AO265" s="6">
        <v>0.608382038853576</v>
      </c>
      <c r="AP265" s="6">
        <v>0.423936258648694</v>
      </c>
      <c r="AQ265" s="6">
        <v>0.107505978948984</v>
      </c>
      <c r="AR265" s="6">
        <v>0.184445780204883</v>
      </c>
      <c r="AS265" s="6">
        <v>0.13735596168357</v>
      </c>
      <c r="AT265" s="6">
        <v>0.28658029696512399</v>
      </c>
      <c r="AU265" s="7">
        <v>124634</v>
      </c>
      <c r="AV265" s="7">
        <v>174973</v>
      </c>
      <c r="AW265" s="7">
        <v>2530877</v>
      </c>
      <c r="AX265" s="5">
        <v>204292</v>
      </c>
      <c r="AY265" s="5">
        <v>210465</v>
      </c>
      <c r="AZ265" s="6">
        <v>3.0216552777397099E-2</v>
      </c>
      <c r="BA265" s="6">
        <v>0.62888975308894701</v>
      </c>
      <c r="BB265" s="6">
        <v>4.0941397607346303E-2</v>
      </c>
      <c r="BC265" s="6">
        <v>0.14136627963894799</v>
      </c>
      <c r="BD265" s="41">
        <v>2.88753353043683E-2</v>
      </c>
      <c r="BE265" s="8">
        <v>0.28197384136432202</v>
      </c>
      <c r="BF265" s="10">
        <v>181483</v>
      </c>
      <c r="BG265" s="11">
        <v>123779</v>
      </c>
      <c r="BH265" s="11">
        <v>104613</v>
      </c>
      <c r="BI265" s="11">
        <v>70269</v>
      </c>
      <c r="BJ265" s="12">
        <v>0.68204184413967195</v>
      </c>
      <c r="BK265" s="12">
        <v>0.57643415636726303</v>
      </c>
      <c r="BL265" s="12">
        <v>0.387193290831648</v>
      </c>
      <c r="BM265" s="12">
        <v>0.105607687772408</v>
      </c>
      <c r="BN265" s="12">
        <v>0.189240865535615</v>
      </c>
      <c r="BO265" s="12">
        <v>0.14478491098339799</v>
      </c>
      <c r="BP265" s="12">
        <v>0.24240837984825001</v>
      </c>
      <c r="BQ265" s="13">
        <v>115599</v>
      </c>
      <c r="BR265" s="13">
        <v>157217</v>
      </c>
      <c r="BS265" s="13">
        <v>2026575</v>
      </c>
      <c r="BT265" s="11">
        <v>463066</v>
      </c>
      <c r="BU265" s="11">
        <v>477092</v>
      </c>
      <c r="BV265" s="12">
        <v>3.0289418786954798E-2</v>
      </c>
      <c r="BW265" s="12">
        <v>0.61074618826029103</v>
      </c>
      <c r="BX265" s="12">
        <v>4.65765139310595E-2</v>
      </c>
      <c r="BY265" s="12">
        <v>0.12961867206834399</v>
      </c>
      <c r="BZ265" s="40">
        <v>4.5844436862132E-2</v>
      </c>
      <c r="CA265" s="14">
        <v>0.26594697084216901</v>
      </c>
      <c r="CB265" s="86">
        <f t="shared" si="53"/>
        <v>28980875.308332168</v>
      </c>
      <c r="CC265" s="83">
        <v>13820671.8283328</v>
      </c>
      <c r="CD265" s="83">
        <v>9395671.5399995204</v>
      </c>
      <c r="CE265" s="83">
        <v>4771692.5699998401</v>
      </c>
      <c r="CF265" s="83">
        <v>992839.37000001001</v>
      </c>
      <c r="CG265" s="90">
        <f t="shared" si="50"/>
        <v>0.47688938588957241</v>
      </c>
      <c r="CH265" s="90">
        <f t="shared" si="50"/>
        <v>0.32420247628953469</v>
      </c>
      <c r="CI265" s="90">
        <f t="shared" si="43"/>
        <v>0.16464970499451931</v>
      </c>
      <c r="CK265" s="86">
        <f t="shared" si="54"/>
        <v>28760038</v>
      </c>
      <c r="CL265" s="83">
        <v>13470860</v>
      </c>
      <c r="CM265" s="83">
        <v>9547935</v>
      </c>
      <c r="CN265" s="83">
        <v>4789466</v>
      </c>
      <c r="CO265" s="83">
        <v>951777</v>
      </c>
      <c r="CP265" s="90">
        <f t="shared" si="55"/>
        <v>0.46838811548162768</v>
      </c>
      <c r="CQ265" s="90">
        <f t="shared" si="55"/>
        <v>0.33198617470533243</v>
      </c>
      <c r="CR265" s="90">
        <f t="shared" si="52"/>
        <v>0.16653197746122589</v>
      </c>
    </row>
    <row r="266" spans="1:97" ht="37.5" thickTop="1" thickBot="1" x14ac:dyDescent="0.3">
      <c r="A266" s="3" t="s">
        <v>297</v>
      </c>
      <c r="B266" s="3">
        <v>1110</v>
      </c>
      <c r="C266" s="3" t="s">
        <v>176</v>
      </c>
      <c r="D266" s="16">
        <v>41137</v>
      </c>
      <c r="E266" s="16" t="s">
        <v>553</v>
      </c>
      <c r="F266" s="16" t="s">
        <v>445</v>
      </c>
      <c r="G266" s="17">
        <v>15444</v>
      </c>
      <c r="H266" s="17">
        <v>17449</v>
      </c>
      <c r="I266" s="17" t="s">
        <v>583</v>
      </c>
      <c r="J266" s="18"/>
      <c r="K266" s="18" t="s">
        <v>598</v>
      </c>
      <c r="L266" s="18"/>
      <c r="M266" s="18" t="s">
        <v>598</v>
      </c>
      <c r="N266" s="10">
        <v>58550</v>
      </c>
      <c r="O266" s="11">
        <v>35616</v>
      </c>
      <c r="P266" s="11">
        <v>29234</v>
      </c>
      <c r="Q266" s="11">
        <v>17270</v>
      </c>
      <c r="R266" s="12">
        <v>0.60830059777967505</v>
      </c>
      <c r="S266" s="12">
        <v>0.49929974380871101</v>
      </c>
      <c r="T266" s="12">
        <v>0.29496157130657602</v>
      </c>
      <c r="U266" s="12">
        <v>0.109000853970965</v>
      </c>
      <c r="V266" s="12">
        <v>0.20433817250213501</v>
      </c>
      <c r="W266" s="12">
        <v>0.122988898377455</v>
      </c>
      <c r="X266" s="12">
        <v>0.17197267292912</v>
      </c>
      <c r="Y266" s="13">
        <v>99799</v>
      </c>
      <c r="Z266" s="13">
        <v>127732</v>
      </c>
      <c r="AA266" s="13">
        <v>1664563</v>
      </c>
      <c r="AB266" s="11">
        <v>152239</v>
      </c>
      <c r="AC266" s="11">
        <v>155417</v>
      </c>
      <c r="AD266" s="12">
        <v>2.08750714337325E-2</v>
      </c>
      <c r="AE266" s="12">
        <v>0.50133937950836904</v>
      </c>
      <c r="AF266" s="12">
        <v>0.23629950275553599</v>
      </c>
      <c r="AG266" s="12">
        <v>0.149639711243505</v>
      </c>
      <c r="AH266" s="40">
        <v>1.74265464171467E-2</v>
      </c>
      <c r="AI266" s="14">
        <v>0.26084643225454701</v>
      </c>
      <c r="AJ266" s="4">
        <v>117011</v>
      </c>
      <c r="AK266" s="5">
        <v>77925</v>
      </c>
      <c r="AL266" s="5">
        <v>65271</v>
      </c>
      <c r="AM266" s="5">
        <v>41131</v>
      </c>
      <c r="AN266" s="6">
        <v>0.66596302911692096</v>
      </c>
      <c r="AO266" s="6">
        <v>0.55781935031749197</v>
      </c>
      <c r="AP266" s="6">
        <v>0.35151396022596199</v>
      </c>
      <c r="AQ266" s="6">
        <v>0.108143678799429</v>
      </c>
      <c r="AR266" s="6">
        <v>0.20630539009153001</v>
      </c>
      <c r="AS266" s="6">
        <v>0.14058507319824601</v>
      </c>
      <c r="AT266" s="6">
        <v>0.21092888702771501</v>
      </c>
      <c r="AU266" s="7">
        <v>110086</v>
      </c>
      <c r="AV266" s="7">
        <v>142481</v>
      </c>
      <c r="AW266" s="7">
        <v>1774066</v>
      </c>
      <c r="AX266" s="5">
        <v>306395</v>
      </c>
      <c r="AY266" s="5">
        <v>316381</v>
      </c>
      <c r="AZ266" s="6">
        <v>3.2591915664420101E-2</v>
      </c>
      <c r="BA266" s="6">
        <v>0.536843559115879</v>
      </c>
      <c r="BB266" s="6">
        <v>0.21093686254671301</v>
      </c>
      <c r="BC266" s="6">
        <v>0.16400398178821499</v>
      </c>
      <c r="BD266" s="41">
        <v>1.9073418299907E-2</v>
      </c>
      <c r="BE266" s="8">
        <v>0.26309176063578099</v>
      </c>
      <c r="BF266" s="10">
        <v>207147</v>
      </c>
      <c r="BG266" s="11">
        <v>143627</v>
      </c>
      <c r="BH266" s="11">
        <v>122023</v>
      </c>
      <c r="BI266" s="11">
        <v>79149</v>
      </c>
      <c r="BJ266" s="12">
        <v>0.693357856980791</v>
      </c>
      <c r="BK266" s="12">
        <v>0.58906477042872896</v>
      </c>
      <c r="BL266" s="12">
        <v>0.38209097887007798</v>
      </c>
      <c r="BM266" s="12">
        <v>0.104293086552062</v>
      </c>
      <c r="BN266" s="12">
        <v>0.206973791558652</v>
      </c>
      <c r="BO266" s="12">
        <v>0.14269576677432</v>
      </c>
      <c r="BP266" s="12">
        <v>0.23939521209575801</v>
      </c>
      <c r="BQ266" s="13">
        <v>116597</v>
      </c>
      <c r="BR266" s="13">
        <v>152314</v>
      </c>
      <c r="BS266" s="13">
        <v>1857584</v>
      </c>
      <c r="BT266" s="11">
        <v>551398</v>
      </c>
      <c r="BU266" s="11">
        <v>571430</v>
      </c>
      <c r="BV266" s="12">
        <v>3.6329475261063698E-2</v>
      </c>
      <c r="BW266" s="12">
        <v>0.57959304130137201</v>
      </c>
      <c r="BX266" s="12">
        <v>0.18021828153166999</v>
      </c>
      <c r="BY266" s="12">
        <v>0.205390661554812</v>
      </c>
      <c r="BZ266" s="40">
        <v>1.9205727985955701E-2</v>
      </c>
      <c r="CA266" s="14">
        <v>0.25644634184382198</v>
      </c>
      <c r="CB266" s="86">
        <f t="shared" si="53"/>
        <v>21223804.117915951</v>
      </c>
      <c r="CC266" s="83">
        <v>8391782.1579164304</v>
      </c>
      <c r="CD266" s="83">
        <v>9037764.6499995701</v>
      </c>
      <c r="CE266" s="83">
        <v>2714165.34999994</v>
      </c>
      <c r="CF266" s="83">
        <v>1080091.96000001</v>
      </c>
      <c r="CG266" s="90">
        <f t="shared" si="50"/>
        <v>0.39539481759693385</v>
      </c>
      <c r="CH266" s="90">
        <f t="shared" si="50"/>
        <v>0.42583151445364092</v>
      </c>
      <c r="CI266" s="90">
        <f t="shared" si="43"/>
        <v>0.12788307576344399</v>
      </c>
      <c r="CK266" s="86">
        <f t="shared" si="54"/>
        <v>20730982</v>
      </c>
      <c r="CL266" s="83">
        <v>8005671</v>
      </c>
      <c r="CM266" s="83">
        <v>8996720</v>
      </c>
      <c r="CN266" s="83">
        <v>2669687</v>
      </c>
      <c r="CO266" s="83">
        <v>1058904</v>
      </c>
      <c r="CP266" s="90">
        <f t="shared" si="55"/>
        <v>0.38616940577151626</v>
      </c>
      <c r="CQ266" s="90">
        <f t="shared" si="55"/>
        <v>0.43397461827905692</v>
      </c>
      <c r="CR266" s="90">
        <f t="shared" si="52"/>
        <v>0.12877764304652814</v>
      </c>
    </row>
    <row r="267" spans="1:97" ht="49.5" thickTop="1" thickBot="1" x14ac:dyDescent="0.3">
      <c r="A267" s="3" t="s">
        <v>308</v>
      </c>
      <c r="B267" s="3">
        <v>2201</v>
      </c>
      <c r="C267" s="3" t="s">
        <v>261</v>
      </c>
      <c r="D267" s="16">
        <v>43048</v>
      </c>
      <c r="E267" s="16" t="s">
        <v>575</v>
      </c>
      <c r="F267" s="16" t="s">
        <v>510</v>
      </c>
      <c r="G267" s="17">
        <v>20632</v>
      </c>
      <c r="H267" s="17">
        <v>26500</v>
      </c>
      <c r="I267" s="17" t="s">
        <v>585</v>
      </c>
      <c r="J267" s="18"/>
      <c r="K267" s="18" t="s">
        <v>519</v>
      </c>
      <c r="L267" s="18"/>
      <c r="M267" s="18" t="s">
        <v>598</v>
      </c>
      <c r="N267" s="10">
        <v>52704</v>
      </c>
      <c r="O267" s="11">
        <v>31697</v>
      </c>
      <c r="P267" s="11">
        <v>25807</v>
      </c>
      <c r="Q267" s="11">
        <v>17241</v>
      </c>
      <c r="R267" s="12">
        <v>0.60141545233758398</v>
      </c>
      <c r="S267" s="12">
        <v>0.48965922890103197</v>
      </c>
      <c r="T267" s="12">
        <v>0.32712887067395302</v>
      </c>
      <c r="U267" s="12">
        <v>0.11175622343655101</v>
      </c>
      <c r="V267" s="12">
        <v>0.16253035822708001</v>
      </c>
      <c r="W267" s="12">
        <v>0.13532179720704299</v>
      </c>
      <c r="X267" s="12">
        <v>0.19180707346691001</v>
      </c>
      <c r="Y267" s="13">
        <v>97118</v>
      </c>
      <c r="Z267" s="13">
        <v>134058</v>
      </c>
      <c r="AA267" s="13">
        <v>1804432</v>
      </c>
      <c r="AB267" s="11">
        <v>167170</v>
      </c>
      <c r="AC267" s="11">
        <v>168617</v>
      </c>
      <c r="AD267" s="12">
        <v>8.6558593048991998E-3</v>
      </c>
      <c r="AE267" s="12">
        <v>0.39411774858898502</v>
      </c>
      <c r="AF267" s="12">
        <v>0.30193216486211599</v>
      </c>
      <c r="AG267" s="12">
        <v>9.1673147095770804E-2</v>
      </c>
      <c r="AH267" s="40">
        <v>0.213626846922295</v>
      </c>
      <c r="AI267" s="14">
        <v>0.238535622420291</v>
      </c>
      <c r="AJ267" s="4">
        <v>145881</v>
      </c>
      <c r="AK267" s="5">
        <v>96980</v>
      </c>
      <c r="AL267" s="5">
        <v>81997</v>
      </c>
      <c r="AM267" s="5">
        <v>55987</v>
      </c>
      <c r="AN267" s="6">
        <v>0.66478842344102396</v>
      </c>
      <c r="AO267" s="6">
        <v>0.56208142252932203</v>
      </c>
      <c r="AP267" s="6">
        <v>0.38378541413892098</v>
      </c>
      <c r="AQ267" s="6">
        <v>0.102707000911702</v>
      </c>
      <c r="AR267" s="6">
        <v>0.1782960083904</v>
      </c>
      <c r="AS267" s="6">
        <v>0.153865136652477</v>
      </c>
      <c r="AT267" s="6">
        <v>0.229920277486444</v>
      </c>
      <c r="AU267" s="7">
        <v>113250</v>
      </c>
      <c r="AV267" s="7">
        <v>150843</v>
      </c>
      <c r="AW267" s="7">
        <v>2286117</v>
      </c>
      <c r="AX267" s="5">
        <v>463155</v>
      </c>
      <c r="AY267" s="5">
        <v>463862</v>
      </c>
      <c r="AZ267" s="6">
        <v>1.52648681326986E-3</v>
      </c>
      <c r="BA267" s="6">
        <v>0.43867464166067499</v>
      </c>
      <c r="BB267" s="6">
        <v>0.224203560363161</v>
      </c>
      <c r="BC267" s="6">
        <v>0.14256998197147799</v>
      </c>
      <c r="BD267" s="41">
        <v>0.17035117833122801</v>
      </c>
      <c r="BE267" s="8">
        <v>0.25839513769688299</v>
      </c>
      <c r="BF267" s="10">
        <v>290492</v>
      </c>
      <c r="BG267" s="11">
        <v>197270</v>
      </c>
      <c r="BH267" s="11">
        <v>168202</v>
      </c>
      <c r="BI267" s="11">
        <v>115217</v>
      </c>
      <c r="BJ267" s="12">
        <v>0.67908926923977297</v>
      </c>
      <c r="BK267" s="12">
        <v>0.57902455145064202</v>
      </c>
      <c r="BL267" s="12">
        <v>0.39662710160692899</v>
      </c>
      <c r="BM267" s="12">
        <v>0.10006471778912999</v>
      </c>
      <c r="BN267" s="12">
        <v>0.18239744984371301</v>
      </c>
      <c r="BO267" s="12">
        <v>0.15695785081861099</v>
      </c>
      <c r="BP267" s="12">
        <v>0.23966925078831799</v>
      </c>
      <c r="BQ267" s="13">
        <v>117033</v>
      </c>
      <c r="BR267" s="13">
        <v>154500</v>
      </c>
      <c r="BS267" s="13">
        <v>2396887</v>
      </c>
      <c r="BT267" s="11">
        <v>892829</v>
      </c>
      <c r="BU267" s="11">
        <v>892110</v>
      </c>
      <c r="BV267" s="12">
        <v>-8.0530538322567903E-4</v>
      </c>
      <c r="BW267" s="12">
        <v>0.45812561921704298</v>
      </c>
      <c r="BX267" s="12">
        <v>0.19592217546697099</v>
      </c>
      <c r="BY267" s="12">
        <v>0.14508601311113301</v>
      </c>
      <c r="BZ267" s="40">
        <v>0.14691615079707299</v>
      </c>
      <c r="CA267" s="14">
        <v>0.26707577822853001</v>
      </c>
      <c r="CB267" s="86">
        <f t="shared" si="53"/>
        <v>94148810.300005406</v>
      </c>
      <c r="CC267" s="83">
        <v>51680608.490002699</v>
      </c>
      <c r="CD267" s="83">
        <v>42468201.810002699</v>
      </c>
      <c r="CE267" s="83" t="s">
        <v>598</v>
      </c>
      <c r="CF267" s="83" t="s">
        <v>598</v>
      </c>
      <c r="CG267" s="90">
        <f t="shared" si="50"/>
        <v>0.54892471105394025</v>
      </c>
      <c r="CH267" s="90">
        <f t="shared" si="50"/>
        <v>0.45107528894605969</v>
      </c>
      <c r="CI267" s="90" t="str">
        <f t="shared" si="43"/>
        <v/>
      </c>
      <c r="CK267" s="86">
        <f t="shared" si="54"/>
        <v>95846319</v>
      </c>
      <c r="CL267" s="83">
        <v>51351735</v>
      </c>
      <c r="CM267" s="83">
        <v>43028501</v>
      </c>
      <c r="CN267" s="83">
        <v>1153765</v>
      </c>
      <c r="CO267" s="83">
        <v>312318</v>
      </c>
      <c r="CP267" s="90">
        <f t="shared" si="55"/>
        <v>0.53577159285585085</v>
      </c>
      <c r="CQ267" s="90">
        <f t="shared" si="55"/>
        <v>0.44893222242577724</v>
      </c>
      <c r="CR267" s="90">
        <f t="shared" si="52"/>
        <v>1.2037655822755176E-2</v>
      </c>
    </row>
    <row r="268" spans="1:97" ht="49.5" thickTop="1" thickBot="1" x14ac:dyDescent="0.3">
      <c r="A268" s="3" t="s">
        <v>308</v>
      </c>
      <c r="B268" s="3">
        <v>2251</v>
      </c>
      <c r="C268" s="3" t="s">
        <v>262</v>
      </c>
      <c r="D268" s="16">
        <v>43048</v>
      </c>
      <c r="E268" s="16" t="s">
        <v>575</v>
      </c>
      <c r="F268" s="16" t="s">
        <v>511</v>
      </c>
      <c r="G268" s="17">
        <v>12387</v>
      </c>
      <c r="H268" s="17">
        <v>16500</v>
      </c>
      <c r="I268" s="17" t="s">
        <v>583</v>
      </c>
      <c r="J268" s="18"/>
      <c r="K268" s="18" t="s">
        <v>598</v>
      </c>
      <c r="L268" s="18"/>
      <c r="M268" s="18" t="s">
        <v>598</v>
      </c>
      <c r="N268" s="10">
        <v>52704</v>
      </c>
      <c r="O268" s="11">
        <v>31697</v>
      </c>
      <c r="P268" s="11">
        <v>25807</v>
      </c>
      <c r="Q268" s="11">
        <v>17241</v>
      </c>
      <c r="R268" s="12">
        <v>0.60141545233758398</v>
      </c>
      <c r="S268" s="12">
        <v>0.48965922890103197</v>
      </c>
      <c r="T268" s="12">
        <v>0.32712887067395302</v>
      </c>
      <c r="U268" s="12">
        <v>0.11175622343655101</v>
      </c>
      <c r="V268" s="12">
        <v>0.16253035822708001</v>
      </c>
      <c r="W268" s="12">
        <v>0.13532179720704299</v>
      </c>
      <c r="X268" s="12">
        <v>0.19180707346691001</v>
      </c>
      <c r="Y268" s="13">
        <v>97118</v>
      </c>
      <c r="Z268" s="13">
        <v>134058</v>
      </c>
      <c r="AA268" s="13">
        <v>1804432</v>
      </c>
      <c r="AB268" s="11">
        <v>167170</v>
      </c>
      <c r="AC268" s="11">
        <v>168617</v>
      </c>
      <c r="AD268" s="12">
        <v>8.6558593048991998E-3</v>
      </c>
      <c r="AE268" s="12">
        <v>0.39411774858898502</v>
      </c>
      <c r="AF268" s="12">
        <v>0.30193216486211599</v>
      </c>
      <c r="AG268" s="12">
        <v>9.1673147095770804E-2</v>
      </c>
      <c r="AH268" s="40">
        <v>0.213626846922295</v>
      </c>
      <c r="AI268" s="14">
        <v>0.238535622420291</v>
      </c>
      <c r="AJ268" s="4">
        <v>145881</v>
      </c>
      <c r="AK268" s="5">
        <v>96980</v>
      </c>
      <c r="AL268" s="5">
        <v>81997</v>
      </c>
      <c r="AM268" s="5">
        <v>55987</v>
      </c>
      <c r="AN268" s="6">
        <v>0.66478842344102396</v>
      </c>
      <c r="AO268" s="6">
        <v>0.56208142252932203</v>
      </c>
      <c r="AP268" s="6">
        <v>0.38378541413892098</v>
      </c>
      <c r="AQ268" s="6">
        <v>0.102707000911702</v>
      </c>
      <c r="AR268" s="6">
        <v>0.1782960083904</v>
      </c>
      <c r="AS268" s="6">
        <v>0.153865136652477</v>
      </c>
      <c r="AT268" s="6">
        <v>0.229920277486444</v>
      </c>
      <c r="AU268" s="7">
        <v>113250</v>
      </c>
      <c r="AV268" s="7">
        <v>150843</v>
      </c>
      <c r="AW268" s="7">
        <v>2286117</v>
      </c>
      <c r="AX268" s="5">
        <v>463155</v>
      </c>
      <c r="AY268" s="5">
        <v>463862</v>
      </c>
      <c r="AZ268" s="6">
        <v>1.52648681326986E-3</v>
      </c>
      <c r="BA268" s="6">
        <v>0.43867464166067499</v>
      </c>
      <c r="BB268" s="6">
        <v>0.224203560363161</v>
      </c>
      <c r="BC268" s="6">
        <v>0.14256998197147799</v>
      </c>
      <c r="BD268" s="41">
        <v>0.17035117833122801</v>
      </c>
      <c r="BE268" s="8">
        <v>0.25839513769688299</v>
      </c>
      <c r="BF268" s="10">
        <v>290492</v>
      </c>
      <c r="BG268" s="11">
        <v>197270</v>
      </c>
      <c r="BH268" s="11">
        <v>168202</v>
      </c>
      <c r="BI268" s="11">
        <v>115217</v>
      </c>
      <c r="BJ268" s="12">
        <v>0.67908926923977297</v>
      </c>
      <c r="BK268" s="12">
        <v>0.57902455145064202</v>
      </c>
      <c r="BL268" s="12">
        <v>0.39662710160692899</v>
      </c>
      <c r="BM268" s="12">
        <v>0.10006471778912999</v>
      </c>
      <c r="BN268" s="12">
        <v>0.18239744984371301</v>
      </c>
      <c r="BO268" s="12">
        <v>0.15695785081861099</v>
      </c>
      <c r="BP268" s="12">
        <v>0.23966925078831799</v>
      </c>
      <c r="BQ268" s="13">
        <v>117033</v>
      </c>
      <c r="BR268" s="13">
        <v>154500</v>
      </c>
      <c r="BS268" s="13">
        <v>2396887</v>
      </c>
      <c r="BT268" s="11">
        <v>892829</v>
      </c>
      <c r="BU268" s="11">
        <v>892110</v>
      </c>
      <c r="BV268" s="12">
        <v>-8.0530538322567903E-4</v>
      </c>
      <c r="BW268" s="12">
        <v>0.45812561921704298</v>
      </c>
      <c r="BX268" s="12">
        <v>0.19592217546697099</v>
      </c>
      <c r="BY268" s="12">
        <v>0.14508601311113301</v>
      </c>
      <c r="BZ268" s="40">
        <v>0.14691615079707299</v>
      </c>
      <c r="CA268" s="14">
        <v>0.26707577822853001</v>
      </c>
      <c r="CB268" s="86">
        <f t="shared" si="53"/>
        <v>7444314.6999998605</v>
      </c>
      <c r="CC268" s="83" t="s">
        <v>598</v>
      </c>
      <c r="CD268" s="83" t="s">
        <v>598</v>
      </c>
      <c r="CE268" s="83">
        <v>5796997.1199998604</v>
      </c>
      <c r="CF268" s="83">
        <v>1647317.58</v>
      </c>
      <c r="CG268" s="90" t="str">
        <f t="shared" si="50"/>
        <v/>
      </c>
      <c r="CH268" s="90" t="str">
        <f t="shared" si="50"/>
        <v/>
      </c>
      <c r="CI268" s="90">
        <f t="shared" si="43"/>
        <v>0.77871467738997779</v>
      </c>
      <c r="CK268" s="86">
        <f t="shared" si="54"/>
        <v>7155510</v>
      </c>
      <c r="CL268" s="83">
        <v>51935</v>
      </c>
      <c r="CM268" s="83">
        <v>2455</v>
      </c>
      <c r="CN268" s="83">
        <v>5526173</v>
      </c>
      <c r="CO268" s="83">
        <v>1574947</v>
      </c>
      <c r="CP268" s="90">
        <f t="shared" si="55"/>
        <v>7.2580431024483229E-3</v>
      </c>
      <c r="CQ268" s="90">
        <f t="shared" si="55"/>
        <v>3.4309224639473635E-4</v>
      </c>
      <c r="CR268" s="90">
        <f t="shared" si="52"/>
        <v>0.77229617455639077</v>
      </c>
    </row>
    <row r="269" spans="1:97" ht="37.5" thickTop="1" thickBot="1" x14ac:dyDescent="0.3">
      <c r="A269" s="3" t="s">
        <v>297</v>
      </c>
      <c r="B269" s="3">
        <v>1135</v>
      </c>
      <c r="C269" s="3" t="s">
        <v>201</v>
      </c>
      <c r="D269" s="16">
        <v>45169</v>
      </c>
      <c r="E269" s="16" t="s">
        <v>555</v>
      </c>
      <c r="F269" s="16" t="s">
        <v>610</v>
      </c>
      <c r="G269" s="17">
        <v>19991</v>
      </c>
      <c r="H269" s="17">
        <v>23520</v>
      </c>
      <c r="I269" s="17" t="s">
        <v>584</v>
      </c>
      <c r="J269" s="18"/>
      <c r="K269" s="18" t="s">
        <v>598</v>
      </c>
      <c r="L269" s="18" t="s">
        <v>519</v>
      </c>
      <c r="M269" s="18" t="s">
        <v>598</v>
      </c>
      <c r="N269" s="110">
        <v>265414</v>
      </c>
      <c r="O269" s="113">
        <v>173840</v>
      </c>
      <c r="P269" s="113">
        <v>156042</v>
      </c>
      <c r="Q269" s="113">
        <v>120704</v>
      </c>
      <c r="R269" s="114">
        <v>0.65497675329862004</v>
      </c>
      <c r="S269" s="114">
        <v>0.58791925068007</v>
      </c>
      <c r="T269" s="114">
        <v>0.45477631172432498</v>
      </c>
      <c r="U269" s="114">
        <v>6.7057502618550605E-2</v>
      </c>
      <c r="V269" s="114">
        <v>0.133142938955745</v>
      </c>
      <c r="W269" s="114">
        <v>0.11749945368367901</v>
      </c>
      <c r="X269" s="114">
        <v>0.337276858040646</v>
      </c>
      <c r="Y269" s="129">
        <v>129146</v>
      </c>
      <c r="Z269" s="129">
        <v>183886</v>
      </c>
      <c r="AA269" s="129">
        <v>897764</v>
      </c>
      <c r="AB269" s="113">
        <v>551005</v>
      </c>
      <c r="AC269" s="113">
        <v>576303</v>
      </c>
      <c r="AD269" s="114">
        <v>4.5912469033856297E-2</v>
      </c>
      <c r="AE269" s="114">
        <v>0.658871233071608</v>
      </c>
      <c r="AF269" s="114">
        <v>0.158074790609886</v>
      </c>
      <c r="AG269" s="114">
        <v>0.27567263454959601</v>
      </c>
      <c r="AH269" s="123">
        <v>5.0883385813195903E-2</v>
      </c>
      <c r="AI269" s="120">
        <v>0.230277402201432</v>
      </c>
      <c r="AJ269" s="117">
        <v>366397</v>
      </c>
      <c r="AK269" s="131">
        <v>237283</v>
      </c>
      <c r="AL269" s="131">
        <v>209639</v>
      </c>
      <c r="AM269" s="131">
        <v>159039</v>
      </c>
      <c r="AN269" s="128">
        <v>0.64761174354593498</v>
      </c>
      <c r="AO269" s="128">
        <v>0.57216352753980004</v>
      </c>
      <c r="AP269" s="128">
        <v>0.43406196011430198</v>
      </c>
      <c r="AQ269" s="128">
        <v>7.5448216006135396E-2</v>
      </c>
      <c r="AR269" s="128">
        <v>0.13810156742549701</v>
      </c>
      <c r="AS269" s="128">
        <v>0.11936778958343</v>
      </c>
      <c r="AT269" s="128">
        <v>0.31469417053087201</v>
      </c>
      <c r="AU269" s="122">
        <v>121881</v>
      </c>
      <c r="AV269" s="122">
        <v>174583</v>
      </c>
      <c r="AW269" s="122">
        <v>1059464</v>
      </c>
      <c r="AX269" s="131">
        <v>859105</v>
      </c>
      <c r="AY269" s="131">
        <v>893960</v>
      </c>
      <c r="AZ269" s="128">
        <v>4.0571292216900097E-2</v>
      </c>
      <c r="BA269" s="128">
        <v>0.59990009402914901</v>
      </c>
      <c r="BB269" s="128">
        <v>0.157624504571618</v>
      </c>
      <c r="BC269" s="128">
        <v>0.35863718637419201</v>
      </c>
      <c r="BD269" s="133">
        <v>5.1764336140518299E-2</v>
      </c>
      <c r="BE269" s="130">
        <v>0.239893843011041</v>
      </c>
      <c r="BF269" s="110">
        <v>404114</v>
      </c>
      <c r="BG269" s="113">
        <v>259229</v>
      </c>
      <c r="BH269" s="113">
        <v>227645</v>
      </c>
      <c r="BI269" s="113">
        <v>170665</v>
      </c>
      <c r="BJ269" s="114">
        <v>0.64147493034143799</v>
      </c>
      <c r="BK269" s="114">
        <v>0.563318766486684</v>
      </c>
      <c r="BL269" s="114">
        <v>0.42231894960333</v>
      </c>
      <c r="BM269" s="114">
        <v>7.8156163854753893E-2</v>
      </c>
      <c r="BN269" s="114">
        <v>0.140999816883355</v>
      </c>
      <c r="BO269" s="114">
        <v>0.119431645525767</v>
      </c>
      <c r="BP269" s="114">
        <v>0.30288730407756198</v>
      </c>
      <c r="BQ269" s="129">
        <v>118273</v>
      </c>
      <c r="BR269" s="129">
        <v>170179</v>
      </c>
      <c r="BS269" s="129">
        <v>1060502</v>
      </c>
      <c r="BT269" s="113">
        <v>964787</v>
      </c>
      <c r="BU269" s="113">
        <v>1002944</v>
      </c>
      <c r="BV269" s="114">
        <v>3.9549662257057798E-2</v>
      </c>
      <c r="BW269" s="114">
        <v>0.58593860237925999</v>
      </c>
      <c r="BX269" s="114">
        <v>0.160503821050657</v>
      </c>
      <c r="BY269" s="114">
        <v>0.37407635053125698</v>
      </c>
      <c r="BZ269" s="123">
        <v>5.0545871783098197E-2</v>
      </c>
      <c r="CA269" s="120">
        <v>0.240787863020542</v>
      </c>
      <c r="CB269" s="98">
        <v>37000000</v>
      </c>
      <c r="CC269" s="83" t="s">
        <v>598</v>
      </c>
      <c r="CD269" s="83" t="s">
        <v>598</v>
      </c>
      <c r="CE269" s="83" t="s">
        <v>598</v>
      </c>
      <c r="CF269" s="83" t="s">
        <v>598</v>
      </c>
      <c r="CG269" s="90" t="str">
        <f t="shared" si="50"/>
        <v/>
      </c>
      <c r="CH269" s="90" t="str">
        <f t="shared" si="50"/>
        <v/>
      </c>
      <c r="CI269" s="90" t="str">
        <f t="shared" si="43"/>
        <v/>
      </c>
      <c r="CK269" s="98">
        <v>37000000</v>
      </c>
      <c r="CL269" s="83"/>
      <c r="CM269" s="83"/>
      <c r="CN269" s="83"/>
      <c r="CO269" s="83"/>
      <c r="CP269" s="90"/>
      <c r="CQ269" s="90"/>
      <c r="CR269" s="90"/>
    </row>
    <row r="270" spans="1:97" ht="37.5" thickTop="1" thickBot="1" x14ac:dyDescent="0.3">
      <c r="A270" s="3" t="s">
        <v>297</v>
      </c>
      <c r="B270" s="3">
        <v>1107</v>
      </c>
      <c r="C270" s="3" t="s">
        <v>173</v>
      </c>
      <c r="D270" s="16">
        <v>40626</v>
      </c>
      <c r="E270" s="16" t="s">
        <v>553</v>
      </c>
      <c r="F270" s="16" t="s">
        <v>442</v>
      </c>
      <c r="G270" s="17">
        <v>18460</v>
      </c>
      <c r="H270" s="17">
        <v>23115</v>
      </c>
      <c r="I270" s="17" t="s">
        <v>584</v>
      </c>
      <c r="J270" s="18"/>
      <c r="K270" s="18" t="s">
        <v>598</v>
      </c>
      <c r="L270" s="18"/>
      <c r="M270" s="18" t="s">
        <v>598</v>
      </c>
      <c r="N270" s="109">
        <v>27870</v>
      </c>
      <c r="O270" s="109">
        <v>18485</v>
      </c>
      <c r="P270" s="109">
        <v>14514</v>
      </c>
      <c r="Q270" s="109">
        <v>8738</v>
      </c>
      <c r="R270" s="132">
        <v>0.66325798349479703</v>
      </c>
      <c r="S270" s="132">
        <v>0.52077502691065702</v>
      </c>
      <c r="T270" s="132">
        <v>0.31352709006099699</v>
      </c>
      <c r="U270" s="132">
        <v>0.14248295658414101</v>
      </c>
      <c r="V270" s="132">
        <v>0.207247936849659</v>
      </c>
      <c r="W270" s="132">
        <v>0.12870470039469001</v>
      </c>
      <c r="X270" s="132">
        <v>0.18482238966630801</v>
      </c>
      <c r="Y270" s="125">
        <v>103309</v>
      </c>
      <c r="Z270" s="125">
        <v>137996</v>
      </c>
      <c r="AA270" s="125">
        <v>1898693</v>
      </c>
      <c r="AB270" s="109">
        <v>77898</v>
      </c>
      <c r="AC270" s="109">
        <v>79049</v>
      </c>
      <c r="AD270" s="132">
        <v>1.47757323679684E-2</v>
      </c>
      <c r="AE270" s="132">
        <v>0.48939811562088997</v>
      </c>
      <c r="AF270" s="132">
        <v>0.253087370664202</v>
      </c>
      <c r="AG270" s="132">
        <v>9.0721199517317497E-2</v>
      </c>
      <c r="AH270" s="132">
        <v>1.6881049577652799E-2</v>
      </c>
      <c r="AI270" s="132">
        <v>0.271419035148528</v>
      </c>
      <c r="AJ270" s="4">
        <v>48982</v>
      </c>
      <c r="AK270" s="4">
        <v>34890</v>
      </c>
      <c r="AL270" s="4">
        <v>28749</v>
      </c>
      <c r="AM270" s="4">
        <v>18359</v>
      </c>
      <c r="AN270" s="63">
        <v>0.71230247846147599</v>
      </c>
      <c r="AO270" s="63">
        <v>0.58692989261361295</v>
      </c>
      <c r="AP270" s="63">
        <v>0.37481115511820701</v>
      </c>
      <c r="AQ270" s="63">
        <v>0.12537258584786201</v>
      </c>
      <c r="AR270" s="63">
        <v>0.212118737495406</v>
      </c>
      <c r="AS270" s="63">
        <v>0.14435915234167701</v>
      </c>
      <c r="AT270" s="63">
        <v>0.23045200277653</v>
      </c>
      <c r="AU270" s="64">
        <v>115595</v>
      </c>
      <c r="AV270" s="64">
        <v>157141</v>
      </c>
      <c r="AW270" s="64">
        <v>2419760</v>
      </c>
      <c r="AX270" s="4">
        <v>134955</v>
      </c>
      <c r="AY270" s="4">
        <v>136372</v>
      </c>
      <c r="AZ270" s="63">
        <v>1.04997962283724E-2</v>
      </c>
      <c r="BA270" s="63">
        <v>0.53561582290113796</v>
      </c>
      <c r="BB270" s="63">
        <v>0.19696936015708899</v>
      </c>
      <c r="BC270" s="63">
        <v>9.2097365788596203E-2</v>
      </c>
      <c r="BD270" s="63">
        <v>1.5293986884517099E-2</v>
      </c>
      <c r="BE270" s="63">
        <v>0.29416472157385798</v>
      </c>
      <c r="BF270" s="10">
        <v>78258</v>
      </c>
      <c r="BG270" s="10">
        <v>56885</v>
      </c>
      <c r="BH270" s="10">
        <v>47288</v>
      </c>
      <c r="BI270" s="10">
        <v>30718</v>
      </c>
      <c r="BJ270" s="67">
        <v>0.72689054154207899</v>
      </c>
      <c r="BK270" s="67">
        <v>0.60425771167164999</v>
      </c>
      <c r="BL270" s="67">
        <v>0.39252217025735398</v>
      </c>
      <c r="BM270" s="67">
        <v>0.12263282987042901</v>
      </c>
      <c r="BN270" s="67">
        <v>0.21173554141429601</v>
      </c>
      <c r="BO270" s="67">
        <v>0.14487975670219</v>
      </c>
      <c r="BP270" s="67">
        <v>0.247642413555164</v>
      </c>
      <c r="BQ270" s="68">
        <v>119484</v>
      </c>
      <c r="BR270" s="68">
        <v>161734</v>
      </c>
      <c r="BS270" s="68">
        <v>2464332</v>
      </c>
      <c r="BT270" s="10">
        <v>218733</v>
      </c>
      <c r="BU270" s="10">
        <v>220462</v>
      </c>
      <c r="BV270" s="67">
        <v>7.9046143014542807E-3</v>
      </c>
      <c r="BW270" s="67">
        <v>0.54664798572059203</v>
      </c>
      <c r="BX270" s="67">
        <v>0.18889239392318499</v>
      </c>
      <c r="BY270" s="67">
        <v>9.7337850255791294E-2</v>
      </c>
      <c r="BZ270" s="67">
        <v>1.5521206219454801E-2</v>
      </c>
      <c r="CA270" s="67">
        <v>0.29265360050838202</v>
      </c>
      <c r="CB270" s="86">
        <f>IF(SUM(CC270:CF270)=0,"",SUM(CC270:CF270))</f>
        <v>18730378.219999399</v>
      </c>
      <c r="CC270" s="83">
        <v>6658575.8499998199</v>
      </c>
      <c r="CD270" s="83">
        <v>8494942.2299996093</v>
      </c>
      <c r="CE270" s="83">
        <v>2650972.1299999598</v>
      </c>
      <c r="CF270" s="83">
        <v>925888.01000000897</v>
      </c>
      <c r="CG270" s="90">
        <f t="shared" si="50"/>
        <v>0.35549607016958751</v>
      </c>
      <c r="CH270" s="90">
        <f t="shared" si="50"/>
        <v>0.45353821103992004</v>
      </c>
      <c r="CI270" s="90">
        <f t="shared" si="43"/>
        <v>0.14153329414188653</v>
      </c>
      <c r="CK270" s="86">
        <f t="shared" si="54"/>
        <v>18460405</v>
      </c>
      <c r="CL270" s="83">
        <v>6380918</v>
      </c>
      <c r="CM270" s="83">
        <v>8621457</v>
      </c>
      <c r="CN270" s="83">
        <v>2549258</v>
      </c>
      <c r="CO270" s="83">
        <v>908772</v>
      </c>
      <c r="CP270" s="90">
        <f t="shared" si="55"/>
        <v>0.34565428006590321</v>
      </c>
      <c r="CQ270" s="90">
        <f t="shared" si="55"/>
        <v>0.46702426084368137</v>
      </c>
      <c r="CR270" s="90">
        <f t="shared" si="52"/>
        <v>0.13809328668574714</v>
      </c>
    </row>
    <row r="271" spans="1:97" ht="37.5" thickTop="1" thickBot="1" x14ac:dyDescent="0.3">
      <c r="A271" s="3" t="s">
        <v>297</v>
      </c>
      <c r="B271" s="3">
        <v>1125</v>
      </c>
      <c r="C271" s="3" t="s">
        <v>191</v>
      </c>
      <c r="D271" s="16">
        <v>43307</v>
      </c>
      <c r="E271" s="16" t="s">
        <v>555</v>
      </c>
      <c r="F271" s="16" t="s">
        <v>459</v>
      </c>
      <c r="G271" s="17">
        <v>22647</v>
      </c>
      <c r="H271" s="17">
        <v>28580</v>
      </c>
      <c r="I271" s="17" t="s">
        <v>585</v>
      </c>
      <c r="J271" s="18"/>
      <c r="K271" s="18" t="s">
        <v>519</v>
      </c>
      <c r="L271" s="18" t="s">
        <v>519</v>
      </c>
      <c r="M271" s="18" t="s">
        <v>598</v>
      </c>
      <c r="N271" s="10">
        <v>70625</v>
      </c>
      <c r="O271" s="11">
        <v>44056</v>
      </c>
      <c r="P271" s="11">
        <v>35990</v>
      </c>
      <c r="Q271" s="11">
        <v>23018</v>
      </c>
      <c r="R271" s="12">
        <v>0.62380176991150404</v>
      </c>
      <c r="S271" s="12">
        <v>0.50959292035398196</v>
      </c>
      <c r="T271" s="12">
        <v>0.32591858407079599</v>
      </c>
      <c r="U271" s="12">
        <v>0.114208849557522</v>
      </c>
      <c r="V271" s="12">
        <v>0.183674336283186</v>
      </c>
      <c r="W271" s="12">
        <v>0.13767079646017699</v>
      </c>
      <c r="X271" s="12">
        <v>0.188247787610619</v>
      </c>
      <c r="Y271" s="13">
        <v>101739</v>
      </c>
      <c r="Z271" s="13">
        <v>130468</v>
      </c>
      <c r="AA271" s="13">
        <v>1423933</v>
      </c>
      <c r="AB271" s="11">
        <v>222494</v>
      </c>
      <c r="AC271" s="11">
        <v>225546</v>
      </c>
      <c r="AD271" s="12">
        <v>1.37172238352495E-2</v>
      </c>
      <c r="AE271" s="12">
        <v>0.40128312514415398</v>
      </c>
      <c r="AF271" s="12">
        <v>0.204063929813838</v>
      </c>
      <c r="AG271" s="12">
        <v>0.57068954668440497</v>
      </c>
      <c r="AH271" s="40">
        <v>3.3272807356602901E-2</v>
      </c>
      <c r="AI271" s="14">
        <v>0.24852805019461199</v>
      </c>
      <c r="AJ271" s="4">
        <v>154338</v>
      </c>
      <c r="AK271" s="5">
        <v>99010</v>
      </c>
      <c r="AL271" s="5">
        <v>82638</v>
      </c>
      <c r="AM271" s="5">
        <v>56545</v>
      </c>
      <c r="AN271" s="6">
        <v>0.64151407948787698</v>
      </c>
      <c r="AO271" s="6">
        <v>0.53543521362205004</v>
      </c>
      <c r="AP271" s="6">
        <v>0.36637121123767302</v>
      </c>
      <c r="AQ271" s="6">
        <v>0.106078865865827</v>
      </c>
      <c r="AR271" s="6">
        <v>0.16906400238437699</v>
      </c>
      <c r="AS271" s="6">
        <v>0.12860086304085799</v>
      </c>
      <c r="AT271" s="6">
        <v>0.237770348196815</v>
      </c>
      <c r="AU271" s="7">
        <v>107592</v>
      </c>
      <c r="AV271" s="7">
        <v>145800</v>
      </c>
      <c r="AW271" s="7">
        <v>1631885</v>
      </c>
      <c r="AX271" s="5">
        <v>476361</v>
      </c>
      <c r="AY271" s="5">
        <v>487095</v>
      </c>
      <c r="AZ271" s="6">
        <v>2.2533330814235399E-2</v>
      </c>
      <c r="BA271" s="6">
        <v>0.43622193947105298</v>
      </c>
      <c r="BB271" s="6">
        <v>0.21415061266560401</v>
      </c>
      <c r="BC271" s="6">
        <v>0.49268516944082302</v>
      </c>
      <c r="BD271" s="41">
        <v>3.4541030856850202E-2</v>
      </c>
      <c r="BE271" s="8">
        <v>0.25793673285596402</v>
      </c>
      <c r="BF271" s="10">
        <v>297157</v>
      </c>
      <c r="BG271" s="11">
        <v>199179</v>
      </c>
      <c r="BH271" s="11">
        <v>172140</v>
      </c>
      <c r="BI271" s="11">
        <v>124350</v>
      </c>
      <c r="BJ271" s="12">
        <v>0.67028203946062204</v>
      </c>
      <c r="BK271" s="12">
        <v>0.57928973572892395</v>
      </c>
      <c r="BL271" s="12">
        <v>0.41846565956716503</v>
      </c>
      <c r="BM271" s="12">
        <v>9.0992303731697394E-2</v>
      </c>
      <c r="BN271" s="12">
        <v>0.16082407616176</v>
      </c>
      <c r="BO271" s="12">
        <v>0.13184612847753899</v>
      </c>
      <c r="BP271" s="12">
        <v>0.28661953108962601</v>
      </c>
      <c r="BQ271" s="13">
        <v>120144</v>
      </c>
      <c r="BR271" s="13">
        <v>164997</v>
      </c>
      <c r="BS271" s="13">
        <v>1428920</v>
      </c>
      <c r="BT271" s="11">
        <v>826678</v>
      </c>
      <c r="BU271" s="11">
        <v>847926</v>
      </c>
      <c r="BV271" s="12">
        <v>2.5702873428348198E-2</v>
      </c>
      <c r="BW271" s="12">
        <v>0.52078593390007499</v>
      </c>
      <c r="BX271" s="12">
        <v>0.19911622179373301</v>
      </c>
      <c r="BY271" s="12">
        <v>0.40509605916693098</v>
      </c>
      <c r="BZ271" s="40">
        <v>4.2051439617360097E-2</v>
      </c>
      <c r="CA271" s="14">
        <v>0.25122357193490102</v>
      </c>
      <c r="CB271" s="86">
        <f>IF(SUM(CC271:CF271)=0,"",SUM(CC271:CF271))</f>
        <v>29930914.57136846</v>
      </c>
      <c r="CC271" s="83">
        <v>10460592.380157201</v>
      </c>
      <c r="CD271" s="83">
        <v>14392125.5166659</v>
      </c>
      <c r="CE271" s="83">
        <v>3624156.60454536</v>
      </c>
      <c r="CF271" s="83">
        <v>1454040.07</v>
      </c>
      <c r="CG271" s="90">
        <f t="shared" si="50"/>
        <v>0.34949123773730834</v>
      </c>
      <c r="CH271" s="90">
        <f t="shared" si="50"/>
        <v>0.48084482959412234</v>
      </c>
      <c r="CI271" s="90">
        <f t="shared" si="43"/>
        <v>0.12108405828708566</v>
      </c>
      <c r="CK271" s="86">
        <f t="shared" si="54"/>
        <v>25686672</v>
      </c>
      <c r="CL271" s="83">
        <v>8602440</v>
      </c>
      <c r="CM271" s="83">
        <v>12556269</v>
      </c>
      <c r="CN271" s="83">
        <v>3220610</v>
      </c>
      <c r="CO271" s="83">
        <v>1307353</v>
      </c>
      <c r="CP271" s="90">
        <f t="shared" si="55"/>
        <v>0.3348989701741043</v>
      </c>
      <c r="CQ271" s="90">
        <f t="shared" si="55"/>
        <v>0.48882428210240703</v>
      </c>
      <c r="CR271" s="90">
        <f t="shared" si="52"/>
        <v>0.12538058647690911</v>
      </c>
    </row>
    <row r="272" spans="1:97" ht="49.5" thickTop="1" thickBot="1" x14ac:dyDescent="0.3">
      <c r="A272" s="3" t="s">
        <v>297</v>
      </c>
      <c r="B272" s="3">
        <v>1133</v>
      </c>
      <c r="C272" s="3" t="s">
        <v>199</v>
      </c>
      <c r="D272" s="16">
        <v>44791</v>
      </c>
      <c r="E272" s="16" t="s">
        <v>557</v>
      </c>
      <c r="F272" s="16" t="s">
        <v>671</v>
      </c>
      <c r="G272" s="17">
        <v>24127</v>
      </c>
      <c r="H272" s="17">
        <v>30000</v>
      </c>
      <c r="I272" s="17" t="s">
        <v>585</v>
      </c>
      <c r="J272" s="18"/>
      <c r="K272" s="18" t="s">
        <v>598</v>
      </c>
      <c r="L272" s="18" t="s">
        <v>590</v>
      </c>
      <c r="M272" s="18" t="s">
        <v>598</v>
      </c>
      <c r="N272" s="10">
        <v>35490</v>
      </c>
      <c r="O272" s="11">
        <v>25525</v>
      </c>
      <c r="P272" s="11">
        <v>22308</v>
      </c>
      <c r="Q272" s="11">
        <v>15539</v>
      </c>
      <c r="R272" s="12">
        <v>0.719216680755142</v>
      </c>
      <c r="S272" s="12">
        <v>0.628571428571429</v>
      </c>
      <c r="T272" s="12">
        <v>0.43784164553395299</v>
      </c>
      <c r="U272" s="12">
        <v>9.0645252183713707E-2</v>
      </c>
      <c r="V272" s="12">
        <v>0.19072978303747501</v>
      </c>
      <c r="W272" s="12">
        <v>0.14905607213299499</v>
      </c>
      <c r="X272" s="12">
        <v>0.28878557340095801</v>
      </c>
      <c r="Y272" s="13">
        <v>129258</v>
      </c>
      <c r="Z272" s="13">
        <v>171511</v>
      </c>
      <c r="AA272" s="13">
        <v>2361041</v>
      </c>
      <c r="AB272" s="11">
        <v>89515</v>
      </c>
      <c r="AC272" s="11">
        <v>91063</v>
      </c>
      <c r="AD272" s="12">
        <v>1.7293191085293001E-2</v>
      </c>
      <c r="AE272" s="12">
        <v>0.64606999601947401</v>
      </c>
      <c r="AF272" s="12">
        <v>0.144489750321175</v>
      </c>
      <c r="AG272" s="12">
        <v>6.0135172876054299E-2</v>
      </c>
      <c r="AH272" s="40">
        <v>7.5629782717980196E-3</v>
      </c>
      <c r="AI272" s="14">
        <v>0.28945986706138599</v>
      </c>
      <c r="AJ272" s="4">
        <v>59305</v>
      </c>
      <c r="AK272" s="5">
        <v>43362</v>
      </c>
      <c r="AL272" s="5">
        <v>37712</v>
      </c>
      <c r="AM272" s="5">
        <v>26144</v>
      </c>
      <c r="AN272" s="6">
        <v>0.73116937863586495</v>
      </c>
      <c r="AO272" s="6">
        <v>0.63589916533175905</v>
      </c>
      <c r="AP272" s="6">
        <v>0.44083972683584899</v>
      </c>
      <c r="AQ272" s="6">
        <v>9.52702133041059E-2</v>
      </c>
      <c r="AR272" s="6">
        <v>0.19505943849591101</v>
      </c>
      <c r="AS272" s="6">
        <v>0.15027400725065301</v>
      </c>
      <c r="AT272" s="6">
        <v>0.290565719585195</v>
      </c>
      <c r="AU272" s="7">
        <v>130486</v>
      </c>
      <c r="AV272" s="7">
        <v>171999</v>
      </c>
      <c r="AW272" s="7">
        <v>2322883</v>
      </c>
      <c r="AX272" s="5">
        <v>152361</v>
      </c>
      <c r="AY272" s="5">
        <v>156104</v>
      </c>
      <c r="AZ272" s="6">
        <v>2.4566654196283799E-2</v>
      </c>
      <c r="BA272" s="6">
        <v>0.65384227001918604</v>
      </c>
      <c r="BB272" s="6">
        <v>0.14546373415769101</v>
      </c>
      <c r="BC272" s="6">
        <v>7.5386745952048098E-2</v>
      </c>
      <c r="BD272" s="41">
        <v>1.0284784163926501E-2</v>
      </c>
      <c r="BE272" s="8">
        <v>0.27478816757569202</v>
      </c>
      <c r="BF272" s="10">
        <v>85065</v>
      </c>
      <c r="BG272" s="11">
        <v>59644</v>
      </c>
      <c r="BH272" s="11">
        <v>51622</v>
      </c>
      <c r="BI272" s="11">
        <v>34711</v>
      </c>
      <c r="BJ272" s="12">
        <v>0.70115793804737603</v>
      </c>
      <c r="BK272" s="12">
        <v>0.60685358255451705</v>
      </c>
      <c r="BL272" s="12">
        <v>0.408052665608652</v>
      </c>
      <c r="BM272" s="12">
        <v>9.4304355492858399E-2</v>
      </c>
      <c r="BN272" s="12">
        <v>0.19880091694586499</v>
      </c>
      <c r="BO272" s="12">
        <v>0.14061012167166301</v>
      </c>
      <c r="BP272" s="12">
        <v>0.26744254393698902</v>
      </c>
      <c r="BQ272" s="13">
        <v>121881</v>
      </c>
      <c r="BR272" s="13">
        <v>163511</v>
      </c>
      <c r="BS272" s="13">
        <v>2214398</v>
      </c>
      <c r="BT272" s="11">
        <v>217527</v>
      </c>
      <c r="BU272" s="11">
        <v>223740</v>
      </c>
      <c r="BV272" s="12">
        <v>2.8561971617316499E-2</v>
      </c>
      <c r="BW272" s="12">
        <v>0.62398594698179499</v>
      </c>
      <c r="BX272" s="12">
        <v>0.16617707227148801</v>
      </c>
      <c r="BY272" s="12">
        <v>7.8882161754632807E-2</v>
      </c>
      <c r="BZ272" s="40">
        <v>1.2150215835275599E-2</v>
      </c>
      <c r="CA272" s="14">
        <v>0.27009980370252901</v>
      </c>
      <c r="CB272" s="86">
        <f>IF(SUM(CC272:CF272)=0,"",SUM(CC272:CF272))</f>
        <v>15695758.169332813</v>
      </c>
      <c r="CC272" s="83">
        <v>7217872.3166664299</v>
      </c>
      <c r="CD272" s="83">
        <v>5951215.34999971</v>
      </c>
      <c r="CE272" s="83">
        <v>1732302.84</v>
      </c>
      <c r="CF272" s="83">
        <v>794367.662666674</v>
      </c>
      <c r="CG272" s="90">
        <f t="shared" si="50"/>
        <v>0.45986133570591597</v>
      </c>
      <c r="CH272" s="90">
        <f t="shared" si="50"/>
        <v>0.37916074431036428</v>
      </c>
      <c r="CI272" s="90">
        <f t="shared" si="43"/>
        <v>0.11036757965503464</v>
      </c>
      <c r="CK272" s="86">
        <f t="shared" si="54"/>
        <v>15896628</v>
      </c>
      <c r="CL272" s="83">
        <v>7188698</v>
      </c>
      <c r="CM272" s="83">
        <v>6116660</v>
      </c>
      <c r="CN272" s="83">
        <v>1794629</v>
      </c>
      <c r="CO272" s="83">
        <v>796641</v>
      </c>
      <c r="CP272" s="90">
        <f t="shared" si="55"/>
        <v>0.45221527483690249</v>
      </c>
      <c r="CQ272" s="90">
        <f t="shared" si="55"/>
        <v>0.3847771992903149</v>
      </c>
      <c r="CR272" s="90">
        <f t="shared" si="52"/>
        <v>0.11289369041031846</v>
      </c>
      <c r="CS272" s="153">
        <f>CK272/CB272-1</f>
        <v>1.2797714420680562E-2</v>
      </c>
    </row>
    <row r="273" spans="1:97" ht="37.5" thickTop="1" thickBot="1" x14ac:dyDescent="0.3">
      <c r="A273" s="3" t="s">
        <v>300</v>
      </c>
      <c r="B273" s="3">
        <v>1401</v>
      </c>
      <c r="C273" s="3" t="s">
        <v>213</v>
      </c>
      <c r="D273" s="16">
        <v>41088</v>
      </c>
      <c r="E273" s="16" t="s">
        <v>561</v>
      </c>
      <c r="F273" s="16" t="s">
        <v>471</v>
      </c>
      <c r="G273" s="17">
        <v>23755</v>
      </c>
      <c r="H273" s="17">
        <v>31090</v>
      </c>
      <c r="I273" s="17" t="s">
        <v>585</v>
      </c>
      <c r="J273" s="18" t="s">
        <v>581</v>
      </c>
      <c r="K273" s="18" t="s">
        <v>519</v>
      </c>
      <c r="L273" s="18" t="s">
        <v>519</v>
      </c>
      <c r="M273" s="18" t="s">
        <v>598</v>
      </c>
      <c r="N273" s="10">
        <v>48291</v>
      </c>
      <c r="O273" s="11">
        <v>34322</v>
      </c>
      <c r="P273" s="11">
        <v>30292</v>
      </c>
      <c r="Q273" s="11">
        <v>21824</v>
      </c>
      <c r="R273" s="12">
        <v>0.71073284877099296</v>
      </c>
      <c r="S273" s="12">
        <v>0.62728044563169105</v>
      </c>
      <c r="T273" s="12">
        <v>0.45192686007744698</v>
      </c>
      <c r="U273" s="12">
        <v>8.3452403139301301E-2</v>
      </c>
      <c r="V273" s="12">
        <v>0.17535358555424399</v>
      </c>
      <c r="W273" s="12">
        <v>0.14066803338096101</v>
      </c>
      <c r="X273" s="12">
        <v>0.31125882669648602</v>
      </c>
      <c r="Y273" s="13">
        <v>132373</v>
      </c>
      <c r="Z273" s="13">
        <v>180461</v>
      </c>
      <c r="AA273" s="13">
        <v>1755529</v>
      </c>
      <c r="AB273" s="11">
        <v>111975</v>
      </c>
      <c r="AC273" s="11">
        <v>121559</v>
      </c>
      <c r="AD273" s="12">
        <v>8.5590533601250296E-2</v>
      </c>
      <c r="AE273" s="12">
        <v>0.71563432608563204</v>
      </c>
      <c r="AF273" s="12">
        <v>8.8251841929001998E-2</v>
      </c>
      <c r="AG273" s="12">
        <v>0.35138200491181099</v>
      </c>
      <c r="AH273" s="40">
        <v>2.8274168341147599E-2</v>
      </c>
      <c r="AI273" s="14">
        <v>0.22680062513954</v>
      </c>
      <c r="AJ273" s="4">
        <v>101821</v>
      </c>
      <c r="AK273" s="5">
        <v>74962</v>
      </c>
      <c r="AL273" s="5">
        <v>66622</v>
      </c>
      <c r="AM273" s="5">
        <v>48801</v>
      </c>
      <c r="AN273" s="6">
        <v>0.736213551232064</v>
      </c>
      <c r="AO273" s="6">
        <v>0.65430510405515596</v>
      </c>
      <c r="AP273" s="6">
        <v>0.47928226986574501</v>
      </c>
      <c r="AQ273" s="6">
        <v>8.1908447176908497E-2</v>
      </c>
      <c r="AR273" s="6">
        <v>0.175022834189411</v>
      </c>
      <c r="AS273" s="6">
        <v>0.149252118914566</v>
      </c>
      <c r="AT273" s="6">
        <v>0.33003015095117899</v>
      </c>
      <c r="AU273" s="7">
        <v>141954</v>
      </c>
      <c r="AV273" s="7">
        <v>187309</v>
      </c>
      <c r="AW273" s="7">
        <v>2180090</v>
      </c>
      <c r="AX273" s="5">
        <v>241881</v>
      </c>
      <c r="AY273" s="5">
        <v>260119</v>
      </c>
      <c r="AZ273" s="6">
        <v>7.5400713574030206E-2</v>
      </c>
      <c r="BA273" s="6">
        <v>0.72347393980461905</v>
      </c>
      <c r="BB273" s="6">
        <v>6.8657728387099395E-2</v>
      </c>
      <c r="BC273" s="6">
        <v>0.31884273671764202</v>
      </c>
      <c r="BD273" s="41">
        <v>2.44955163902911E-2</v>
      </c>
      <c r="BE273" s="8">
        <v>0.247307560329253</v>
      </c>
      <c r="BF273" s="10">
        <v>258598</v>
      </c>
      <c r="BG273" s="11">
        <v>173025</v>
      </c>
      <c r="BH273" s="11">
        <v>151956</v>
      </c>
      <c r="BI273" s="11">
        <v>109701</v>
      </c>
      <c r="BJ273" s="12">
        <v>0.669088701382068</v>
      </c>
      <c r="BK273" s="12">
        <v>0.58761475340103198</v>
      </c>
      <c r="BL273" s="12">
        <v>0.42421441774491703</v>
      </c>
      <c r="BM273" s="12">
        <v>8.1473947981036202E-2</v>
      </c>
      <c r="BN273" s="12">
        <v>0.163400335656115</v>
      </c>
      <c r="BO273" s="12">
        <v>0.13461434349840301</v>
      </c>
      <c r="BP273" s="12">
        <v>0.28960007424651402</v>
      </c>
      <c r="BQ273" s="13">
        <v>122254</v>
      </c>
      <c r="BR273" s="13">
        <v>168020</v>
      </c>
      <c r="BS273" s="13">
        <v>1776900</v>
      </c>
      <c r="BT273" s="11">
        <v>605165</v>
      </c>
      <c r="BU273" s="11">
        <v>662412</v>
      </c>
      <c r="BV273" s="12">
        <v>9.4597341220989298E-2</v>
      </c>
      <c r="BW273" s="12">
        <v>0.701182171081279</v>
      </c>
      <c r="BX273" s="12">
        <v>7.1026910016276507E-2</v>
      </c>
      <c r="BY273" s="12">
        <v>0.27566366197648601</v>
      </c>
      <c r="BZ273" s="40">
        <v>6.2510224484231602E-2</v>
      </c>
      <c r="CA273" s="14">
        <v>0.23349334479026401</v>
      </c>
      <c r="CB273" s="86">
        <f>IF(SUM(CC273:CF273)=0,"",SUM(CC273:CF273))</f>
        <v>32430236.70133213</v>
      </c>
      <c r="CC273" s="83">
        <v>13290262.054666201</v>
      </c>
      <c r="CD273" s="83">
        <v>14684284.426666001</v>
      </c>
      <c r="CE273" s="83">
        <v>2935409.6399999298</v>
      </c>
      <c r="CF273" s="83">
        <v>1520280.58</v>
      </c>
      <c r="CG273" s="90">
        <f t="shared" si="50"/>
        <v>0.40981082491205745</v>
      </c>
      <c r="CH273" s="90">
        <f t="shared" si="50"/>
        <v>0.45279609155806183</v>
      </c>
      <c r="CI273" s="90">
        <f t="shared" si="43"/>
        <v>9.0514591892551705E-2</v>
      </c>
      <c r="CK273" s="86">
        <f t="shared" si="54"/>
        <v>31716630</v>
      </c>
      <c r="CL273" s="83">
        <v>12712695</v>
      </c>
      <c r="CM273" s="83">
        <v>14641308</v>
      </c>
      <c r="CN273" s="83">
        <v>2882992</v>
      </c>
      <c r="CO273" s="83">
        <v>1479635</v>
      </c>
      <c r="CP273" s="90">
        <f t="shared" si="55"/>
        <v>0.40082111497974404</v>
      </c>
      <c r="CQ273" s="90">
        <f t="shared" si="55"/>
        <v>0.46162874176733154</v>
      </c>
      <c r="CR273" s="90">
        <f t="shared" si="52"/>
        <v>9.089843403917755E-2</v>
      </c>
    </row>
    <row r="274" spans="1:97" ht="49.5" thickTop="1" thickBot="1" x14ac:dyDescent="0.3">
      <c r="A274" s="3" t="s">
        <v>297</v>
      </c>
      <c r="B274" s="3">
        <v>1130</v>
      </c>
      <c r="C274" s="3" t="s">
        <v>196</v>
      </c>
      <c r="D274" s="16">
        <v>44693</v>
      </c>
      <c r="E274" s="16" t="s">
        <v>557</v>
      </c>
      <c r="F274" s="16" t="s">
        <v>670</v>
      </c>
      <c r="G274" s="17">
        <v>26469</v>
      </c>
      <c r="H274" s="17">
        <v>40594</v>
      </c>
      <c r="I274" s="17" t="s">
        <v>585</v>
      </c>
      <c r="J274" s="18" t="s">
        <v>581</v>
      </c>
      <c r="K274" s="18" t="s">
        <v>519</v>
      </c>
      <c r="L274" s="18" t="s">
        <v>519</v>
      </c>
      <c r="M274" s="18" t="s">
        <v>598</v>
      </c>
      <c r="N274" s="10">
        <v>35672</v>
      </c>
      <c r="O274" s="11">
        <v>25312</v>
      </c>
      <c r="P274" s="11">
        <v>20919</v>
      </c>
      <c r="Q274" s="11">
        <v>12079</v>
      </c>
      <c r="R274" s="12">
        <v>0.70957613814756704</v>
      </c>
      <c r="S274" s="12">
        <v>0.58642632877326795</v>
      </c>
      <c r="T274" s="12">
        <v>0.33861291769454999</v>
      </c>
      <c r="U274" s="12">
        <v>0.12314980937429899</v>
      </c>
      <c r="V274" s="12">
        <v>0.24781341107871699</v>
      </c>
      <c r="W274" s="12">
        <v>0.146753756447634</v>
      </c>
      <c r="X274" s="12">
        <v>0.19185916124691599</v>
      </c>
      <c r="Y274" s="13">
        <v>112488</v>
      </c>
      <c r="Z274" s="13">
        <v>142317</v>
      </c>
      <c r="AA274" s="13">
        <v>1767742</v>
      </c>
      <c r="AB274" s="11">
        <v>96805</v>
      </c>
      <c r="AC274" s="11">
        <v>98812</v>
      </c>
      <c r="AD274" s="12">
        <v>2.0732400185940799E-2</v>
      </c>
      <c r="AE274" s="12">
        <v>0.58916886485856301</v>
      </c>
      <c r="AF274" s="12">
        <v>0.14047828108052299</v>
      </c>
      <c r="AG274" s="12">
        <v>0.23778730437477399</v>
      </c>
      <c r="AH274" s="40">
        <v>2.4451216362791201E-2</v>
      </c>
      <c r="AI274" s="14">
        <v>0.26063736377253199</v>
      </c>
      <c r="AJ274" s="4">
        <v>81756</v>
      </c>
      <c r="AK274" s="5">
        <v>61001</v>
      </c>
      <c r="AL274" s="5">
        <v>52613</v>
      </c>
      <c r="AM274" s="5">
        <v>33279</v>
      </c>
      <c r="AN274" s="6">
        <v>0.746134840256373</v>
      </c>
      <c r="AO274" s="6">
        <v>0.64353686579578295</v>
      </c>
      <c r="AP274" s="6">
        <v>0.40705269338030198</v>
      </c>
      <c r="AQ274" s="6">
        <v>0.10259797446059001</v>
      </c>
      <c r="AR274" s="6">
        <v>0.23648417241548</v>
      </c>
      <c r="AS274" s="6">
        <v>0.157713195361808</v>
      </c>
      <c r="AT274" s="6">
        <v>0.249339498018494</v>
      </c>
      <c r="AU274" s="7">
        <v>125031</v>
      </c>
      <c r="AV274" s="7">
        <v>159153</v>
      </c>
      <c r="AW274" s="7">
        <v>2006458</v>
      </c>
      <c r="AX274" s="5">
        <v>232445</v>
      </c>
      <c r="AY274" s="5">
        <v>241159</v>
      </c>
      <c r="AZ274" s="6">
        <v>3.7488438125147898E-2</v>
      </c>
      <c r="BA274" s="6">
        <v>0.629694220159003</v>
      </c>
      <c r="BB274" s="6">
        <v>0.121069500311902</v>
      </c>
      <c r="BC274" s="6">
        <v>0.27674503646023801</v>
      </c>
      <c r="BD274" s="41">
        <v>2.4078814343178E-2</v>
      </c>
      <c r="BE274" s="8">
        <v>0.25800081739766401</v>
      </c>
      <c r="BF274" s="10">
        <v>112797</v>
      </c>
      <c r="BG274" s="11">
        <v>83177</v>
      </c>
      <c r="BH274" s="11">
        <v>71294</v>
      </c>
      <c r="BI274" s="11">
        <v>44564</v>
      </c>
      <c r="BJ274" s="12">
        <v>0.73740436359122996</v>
      </c>
      <c r="BK274" s="12">
        <v>0.63205581708733405</v>
      </c>
      <c r="BL274" s="12">
        <v>0.39508142947064201</v>
      </c>
      <c r="BM274" s="12">
        <v>0.105348546503896</v>
      </c>
      <c r="BN274" s="12">
        <v>0.23697438761669201</v>
      </c>
      <c r="BO274" s="12">
        <v>0.15350585565218899</v>
      </c>
      <c r="BP274" s="12">
        <v>0.24157557381845299</v>
      </c>
      <c r="BQ274" s="13">
        <v>122413</v>
      </c>
      <c r="BR274" s="13">
        <v>157702</v>
      </c>
      <c r="BS274" s="13">
        <v>1981682</v>
      </c>
      <c r="BT274" s="11">
        <v>324786</v>
      </c>
      <c r="BU274" s="11">
        <v>337088</v>
      </c>
      <c r="BV274" s="12">
        <v>3.7877248403564198E-2</v>
      </c>
      <c r="BW274" s="12">
        <v>0.60764239301712097</v>
      </c>
      <c r="BX274" s="12">
        <v>0.12529173055488799</v>
      </c>
      <c r="BY274" s="12">
        <v>0.29876287771024601</v>
      </c>
      <c r="BZ274" s="40">
        <v>2.6368131631289499E-2</v>
      </c>
      <c r="CA274" s="14">
        <v>0.25659665133349302</v>
      </c>
      <c r="CB274" s="86">
        <f>IF(SUM(CC274:CF274)=0,"",SUM(CC274:CF274))</f>
        <v>17127410.101665981</v>
      </c>
      <c r="CC274" s="83">
        <v>6861586.8666664101</v>
      </c>
      <c r="CD274" s="83">
        <v>7118091.6399995703</v>
      </c>
      <c r="CE274" s="83">
        <v>2200124.3799999901</v>
      </c>
      <c r="CF274" s="83">
        <v>947607.21500001196</v>
      </c>
      <c r="CG274" s="90">
        <f t="shared" si="50"/>
        <v>0.40062022371957945</v>
      </c>
      <c r="CH274" s="90">
        <f t="shared" si="50"/>
        <v>0.41559649694539597</v>
      </c>
      <c r="CI274" s="90">
        <f t="shared" si="43"/>
        <v>0.12845633793669622</v>
      </c>
      <c r="CK274" s="86">
        <f t="shared" si="54"/>
        <v>18764270</v>
      </c>
      <c r="CL274" s="83">
        <v>7579068</v>
      </c>
      <c r="CM274" s="83">
        <v>7914242</v>
      </c>
      <c r="CN274" s="83">
        <v>2301891</v>
      </c>
      <c r="CO274" s="83">
        <v>969069</v>
      </c>
      <c r="CP274" s="90">
        <f t="shared" si="55"/>
        <v>0.40390955789913491</v>
      </c>
      <c r="CQ274" s="90">
        <f t="shared" si="55"/>
        <v>0.42177191012493426</v>
      </c>
      <c r="CR274" s="90">
        <f t="shared" si="52"/>
        <v>0.1226741567884069</v>
      </c>
      <c r="CS274" s="153">
        <f>CK274/CB274-1</f>
        <v>9.5569609685167922E-2</v>
      </c>
    </row>
    <row r="275" spans="1:97" ht="16.5" thickTop="1" thickBot="1" x14ac:dyDescent="0.3">
      <c r="A275" s="3" t="s">
        <v>292</v>
      </c>
      <c r="B275" s="3">
        <v>616</v>
      </c>
      <c r="C275" s="3" t="s">
        <v>681</v>
      </c>
      <c r="D275" s="16">
        <v>45428</v>
      </c>
      <c r="E275" s="16" t="s">
        <v>537</v>
      </c>
      <c r="F275" s="16" t="s">
        <v>682</v>
      </c>
      <c r="G275" s="17">
        <v>9021</v>
      </c>
      <c r="H275" s="17">
        <v>11389</v>
      </c>
      <c r="I275" s="17" t="s">
        <v>583</v>
      </c>
      <c r="J275" s="18"/>
      <c r="K275" s="18"/>
      <c r="L275" s="18"/>
      <c r="M275" s="18" t="s">
        <v>598</v>
      </c>
      <c r="N275" s="42">
        <v>22426</v>
      </c>
      <c r="O275" s="43">
        <v>17395</v>
      </c>
      <c r="P275" s="43">
        <v>15018</v>
      </c>
      <c r="Q275" s="43">
        <v>9708</v>
      </c>
      <c r="R275" s="44">
        <v>0.77566217782930502</v>
      </c>
      <c r="S275" s="44">
        <v>0.66966913404084505</v>
      </c>
      <c r="T275" s="44">
        <v>0.432890395077143</v>
      </c>
      <c r="U275" s="44">
        <v>0.10599304378846</v>
      </c>
      <c r="V275" s="44">
        <v>0.23677873896370299</v>
      </c>
      <c r="W275" s="44">
        <v>0.205475787032908</v>
      </c>
      <c r="X275" s="44">
        <v>0.227414608044234</v>
      </c>
      <c r="Y275" s="45">
        <v>131197</v>
      </c>
      <c r="Z275" s="45">
        <v>162369</v>
      </c>
      <c r="AA275" s="45">
        <v>1612129</v>
      </c>
      <c r="AB275" s="43">
        <v>65447</v>
      </c>
      <c r="AC275" s="43">
        <v>68812</v>
      </c>
      <c r="AD275" s="44">
        <v>5.1415649304017E-2</v>
      </c>
      <c r="AE275" s="44">
        <v>0.687080922756651</v>
      </c>
      <c r="AF275" s="44">
        <v>7.6153223218787702E-2</v>
      </c>
      <c r="AG275" s="44">
        <v>0.18786193408406801</v>
      </c>
      <c r="AH275" s="94">
        <v>6.0400018335447003E-2</v>
      </c>
      <c r="AI275" s="46">
        <v>0.21122434947362001</v>
      </c>
      <c r="AJ275" s="70">
        <v>46337</v>
      </c>
      <c r="AK275" s="71">
        <v>36032</v>
      </c>
      <c r="AL275" s="71">
        <v>31161</v>
      </c>
      <c r="AM275" s="71">
        <v>20587</v>
      </c>
      <c r="AN275" s="72">
        <v>0.77760752746185602</v>
      </c>
      <c r="AO275" s="72">
        <v>0.67248635000107904</v>
      </c>
      <c r="AP275" s="72">
        <v>0.444288581479164</v>
      </c>
      <c r="AQ275" s="72">
        <v>0.105121177460776</v>
      </c>
      <c r="AR275" s="72">
        <v>0.22819776852191601</v>
      </c>
      <c r="AS275" s="72">
        <v>0.196128363942422</v>
      </c>
      <c r="AT275" s="72">
        <v>0.248160217536742</v>
      </c>
      <c r="AU275" s="73">
        <v>133633</v>
      </c>
      <c r="AV275" s="73">
        <v>168628</v>
      </c>
      <c r="AW275" s="73">
        <v>1868814</v>
      </c>
      <c r="AX275" s="71">
        <v>132118</v>
      </c>
      <c r="AY275" s="71">
        <v>138582</v>
      </c>
      <c r="AZ275" s="72">
        <v>4.8925960126553501E-2</v>
      </c>
      <c r="BA275" s="72">
        <v>0.70841077795312402</v>
      </c>
      <c r="BB275" s="72">
        <v>6.8453957825580197E-2</v>
      </c>
      <c r="BC275" s="72">
        <v>0.20825322817481301</v>
      </c>
      <c r="BD275" s="81">
        <v>5.8144991598419599E-2</v>
      </c>
      <c r="BE275" s="74">
        <v>0.235766511754644</v>
      </c>
      <c r="BF275" s="42">
        <v>94375</v>
      </c>
      <c r="BG275" s="43">
        <v>70420</v>
      </c>
      <c r="BH275" s="43">
        <v>59434</v>
      </c>
      <c r="BI275" s="43">
        <v>37534</v>
      </c>
      <c r="BJ275" s="44">
        <v>0.74617218543046404</v>
      </c>
      <c r="BK275" s="44">
        <v>0.62976423841059603</v>
      </c>
      <c r="BL275" s="44">
        <v>0.39771125827814602</v>
      </c>
      <c r="BM275" s="44">
        <v>0.11640794701986799</v>
      </c>
      <c r="BN275" s="44">
        <v>0.23205298013244999</v>
      </c>
      <c r="BO275" s="44">
        <v>0.18412715231788099</v>
      </c>
      <c r="BP275" s="44">
        <v>0.213584105960265</v>
      </c>
      <c r="BQ275" s="45">
        <v>122575</v>
      </c>
      <c r="BR275" s="45">
        <v>157703</v>
      </c>
      <c r="BS275" s="45">
        <v>1668950</v>
      </c>
      <c r="BT275" s="43">
        <v>260114</v>
      </c>
      <c r="BU275" s="43">
        <v>274798</v>
      </c>
      <c r="BV275" s="44">
        <v>5.6452170971189597E-2</v>
      </c>
      <c r="BW275" s="44">
        <v>0.69231443753982502</v>
      </c>
      <c r="BX275" s="44">
        <v>7.2510514620512501E-2</v>
      </c>
      <c r="BY275" s="44">
        <v>0.215939934028926</v>
      </c>
      <c r="BZ275" s="94">
        <v>7.4367392758559706E-2</v>
      </c>
      <c r="CA275" s="46">
        <v>0.226366131772992</v>
      </c>
      <c r="CB275" s="98">
        <v>12000000</v>
      </c>
      <c r="CC275" s="83" t="s">
        <v>598</v>
      </c>
      <c r="CD275" s="83" t="s">
        <v>598</v>
      </c>
      <c r="CE275" s="83" t="s">
        <v>598</v>
      </c>
      <c r="CF275" s="83" t="s">
        <v>598</v>
      </c>
      <c r="CG275" s="99">
        <v>0.78</v>
      </c>
      <c r="CH275" s="99" t="str">
        <f t="shared" ref="CH275:CI292" si="56">IFERROR(CD275/$CB275,"")</f>
        <v/>
      </c>
      <c r="CI275" s="90" t="str">
        <f t="shared" si="43"/>
        <v/>
      </c>
      <c r="CK275" s="98">
        <v>12000000</v>
      </c>
      <c r="CL275" s="83" t="s">
        <v>598</v>
      </c>
      <c r="CM275" s="83" t="s">
        <v>598</v>
      </c>
      <c r="CN275" s="83" t="s">
        <v>598</v>
      </c>
      <c r="CO275" s="83" t="s">
        <v>598</v>
      </c>
      <c r="CP275" s="99">
        <v>0.78</v>
      </c>
      <c r="CQ275" s="99" t="str">
        <f t="shared" ref="CQ275" si="57">IFERROR(CM275/$CB275,"")</f>
        <v/>
      </c>
      <c r="CR275" s="90" t="str">
        <f t="shared" si="52"/>
        <v/>
      </c>
    </row>
    <row r="276" spans="1:97" ht="37.5" thickTop="1" thickBot="1" x14ac:dyDescent="0.3">
      <c r="A276" s="3" t="s">
        <v>303</v>
      </c>
      <c r="B276" s="3">
        <v>1701</v>
      </c>
      <c r="C276" s="3" t="s">
        <v>239</v>
      </c>
      <c r="D276" s="16">
        <v>42320</v>
      </c>
      <c r="E276" s="16" t="s">
        <v>568</v>
      </c>
      <c r="F276" s="16" t="s">
        <v>493</v>
      </c>
      <c r="G276" s="17">
        <v>21454</v>
      </c>
      <c r="H276" s="17">
        <v>31174</v>
      </c>
      <c r="I276" s="17" t="s">
        <v>585</v>
      </c>
      <c r="J276" s="18" t="s">
        <v>581</v>
      </c>
      <c r="K276" s="18" t="s">
        <v>519</v>
      </c>
      <c r="L276" s="18"/>
      <c r="M276" s="18" t="s">
        <v>598</v>
      </c>
      <c r="N276" s="10">
        <v>33193</v>
      </c>
      <c r="O276" s="10">
        <v>20445</v>
      </c>
      <c r="P276" s="10">
        <v>17236</v>
      </c>
      <c r="Q276" s="10">
        <v>11134</v>
      </c>
      <c r="R276" s="67">
        <v>0.61594312053746303</v>
      </c>
      <c r="S276" s="67">
        <v>0.51926611032446601</v>
      </c>
      <c r="T276" s="67">
        <v>0.335432169433314</v>
      </c>
      <c r="U276" s="67">
        <v>9.6677010212996697E-2</v>
      </c>
      <c r="V276" s="67">
        <v>0.18383394089115199</v>
      </c>
      <c r="W276" s="67">
        <v>0.128099298044768</v>
      </c>
      <c r="X276" s="67">
        <v>0.207332871388546</v>
      </c>
      <c r="Y276" s="68">
        <v>103576</v>
      </c>
      <c r="Z276" s="68">
        <v>139909</v>
      </c>
      <c r="AA276" s="68">
        <v>1805142</v>
      </c>
      <c r="AB276" s="10">
        <v>86258</v>
      </c>
      <c r="AC276" s="10">
        <v>89682</v>
      </c>
      <c r="AD276" s="67">
        <v>3.9694868881726901E-2</v>
      </c>
      <c r="AE276" s="67">
        <v>0.57518904146337402</v>
      </c>
      <c r="AF276" s="67">
        <v>0.12898513761042499</v>
      </c>
      <c r="AG276" s="67">
        <v>0.103584595052053</v>
      </c>
      <c r="AH276" s="67">
        <v>5.4221057756961698E-2</v>
      </c>
      <c r="AI276" s="67">
        <v>0.25370400426627099</v>
      </c>
      <c r="AJ276" s="4">
        <v>56102</v>
      </c>
      <c r="AK276" s="4">
        <v>36872</v>
      </c>
      <c r="AL276" s="4">
        <v>31454</v>
      </c>
      <c r="AM276" s="4">
        <v>21923</v>
      </c>
      <c r="AN276" s="63">
        <v>0.65723147124879699</v>
      </c>
      <c r="AO276" s="63">
        <v>0.56065737406866101</v>
      </c>
      <c r="AP276" s="63">
        <v>0.39077038251755702</v>
      </c>
      <c r="AQ276" s="63">
        <v>9.6574097180136195E-2</v>
      </c>
      <c r="AR276" s="63">
        <v>0.16988699155110301</v>
      </c>
      <c r="AS276" s="63">
        <v>0.128408969377206</v>
      </c>
      <c r="AT276" s="63">
        <v>0.262361413140351</v>
      </c>
      <c r="AU276" s="64">
        <v>113727</v>
      </c>
      <c r="AV276" s="64">
        <v>163728</v>
      </c>
      <c r="AW276" s="64">
        <v>2295006</v>
      </c>
      <c r="AX276" s="4">
        <v>150091</v>
      </c>
      <c r="AY276" s="4">
        <v>155276</v>
      </c>
      <c r="AZ276" s="63">
        <v>3.4545708936578497E-2</v>
      </c>
      <c r="BA276" s="63">
        <v>0.62705165986846001</v>
      </c>
      <c r="BB276" s="63">
        <v>0.108081097467536</v>
      </c>
      <c r="BC276" s="63">
        <v>0.112924825605799</v>
      </c>
      <c r="BD276" s="63">
        <v>4.6418506106295498E-2</v>
      </c>
      <c r="BE276" s="63">
        <v>0.261874462825886</v>
      </c>
      <c r="BF276" s="10">
        <v>80022</v>
      </c>
      <c r="BG276" s="10">
        <v>55440</v>
      </c>
      <c r="BH276" s="10">
        <v>48386</v>
      </c>
      <c r="BI276" s="10">
        <v>35245</v>
      </c>
      <c r="BJ276" s="67">
        <v>0.69280947739371701</v>
      </c>
      <c r="BK276" s="67">
        <v>0.60465871885231603</v>
      </c>
      <c r="BL276" s="67">
        <v>0.44044137862087901</v>
      </c>
      <c r="BM276" s="67">
        <v>8.81507585414011E-2</v>
      </c>
      <c r="BN276" s="67">
        <v>0.164217340231436</v>
      </c>
      <c r="BO276" s="67">
        <v>0.13151383369573399</v>
      </c>
      <c r="BP276" s="67">
        <v>0.30892754492514601</v>
      </c>
      <c r="BQ276" s="68">
        <v>127528</v>
      </c>
      <c r="BR276" s="68">
        <v>182039</v>
      </c>
      <c r="BS276" s="68">
        <v>2652506</v>
      </c>
      <c r="BT276" s="10">
        <v>218337</v>
      </c>
      <c r="BU276" s="10">
        <v>225207</v>
      </c>
      <c r="BV276" s="67">
        <v>3.1465120433091999E-2</v>
      </c>
      <c r="BW276" s="67">
        <v>0.66757238397896701</v>
      </c>
      <c r="BX276" s="67">
        <v>8.8899270393932306E-2</v>
      </c>
      <c r="BY276" s="67">
        <v>0.114653036361221</v>
      </c>
      <c r="BZ276" s="67">
        <v>3.9306210124715503E-2</v>
      </c>
      <c r="CA276" s="67">
        <v>0.27045805337620299</v>
      </c>
      <c r="CB276" s="86">
        <f t="shared" ref="CB276:CB291" si="58">IF(SUM(CC276:CF276)=0,"",SUM(CC276:CF276))</f>
        <v>43515561.629999146</v>
      </c>
      <c r="CC276" s="83">
        <v>21160082.9500002</v>
      </c>
      <c r="CD276" s="83">
        <v>13903806.624999201</v>
      </c>
      <c r="CE276" s="83">
        <v>6937228.9899997497</v>
      </c>
      <c r="CF276" s="83">
        <v>1514443.0649999999</v>
      </c>
      <c r="CG276" s="90">
        <f t="shared" ref="CG276:CG292" si="59">IFERROR(CC276/$CB276,"")</f>
        <v>0.48626473283094829</v>
      </c>
      <c r="CH276" s="90">
        <f t="shared" si="56"/>
        <v>0.31951343620977352</v>
      </c>
      <c r="CI276" s="90">
        <f t="shared" si="43"/>
        <v>0.15941949799442093</v>
      </c>
      <c r="CK276" s="86">
        <f t="shared" si="54"/>
        <v>42326473</v>
      </c>
      <c r="CL276" s="83">
        <v>20252580</v>
      </c>
      <c r="CM276" s="83">
        <v>13682680</v>
      </c>
      <c r="CN276" s="83">
        <v>6946530</v>
      </c>
      <c r="CO276" s="83">
        <v>1444683</v>
      </c>
      <c r="CP276" s="90">
        <f t="shared" si="55"/>
        <v>0.47848494250867535</v>
      </c>
      <c r="CQ276" s="90">
        <f t="shared" si="55"/>
        <v>0.32326530018222877</v>
      </c>
      <c r="CR276" s="90">
        <f t="shared" si="52"/>
        <v>0.16411785598105469</v>
      </c>
    </row>
    <row r="277" spans="1:97" ht="37.5" thickTop="1" thickBot="1" x14ac:dyDescent="0.3">
      <c r="A277" s="3" t="s">
        <v>288</v>
      </c>
      <c r="B277" s="3">
        <v>214</v>
      </c>
      <c r="C277" s="3" t="s">
        <v>40</v>
      </c>
      <c r="D277" s="16">
        <v>38414</v>
      </c>
      <c r="E277" s="16" t="s">
        <v>521</v>
      </c>
      <c r="F277" s="16" t="s">
        <v>327</v>
      </c>
      <c r="G277" s="17">
        <v>11119</v>
      </c>
      <c r="H277" s="17">
        <v>12814</v>
      </c>
      <c r="I277" s="17" t="s">
        <v>584</v>
      </c>
      <c r="J277" s="18"/>
      <c r="K277" s="18" t="s">
        <v>598</v>
      </c>
      <c r="L277" s="18" t="s">
        <v>519</v>
      </c>
      <c r="M277" s="18" t="s">
        <v>598</v>
      </c>
      <c r="N277" s="10">
        <v>43805</v>
      </c>
      <c r="O277" s="11">
        <v>33031</v>
      </c>
      <c r="P277" s="11">
        <v>28799</v>
      </c>
      <c r="Q277" s="11">
        <v>19559</v>
      </c>
      <c r="R277" s="12">
        <v>0.75404634174180996</v>
      </c>
      <c r="S277" s="12">
        <v>0.65743636571167696</v>
      </c>
      <c r="T277" s="12">
        <v>0.44650154091998601</v>
      </c>
      <c r="U277" s="12">
        <v>9.6609976030133493E-2</v>
      </c>
      <c r="V277" s="12">
        <v>0.21093482479169001</v>
      </c>
      <c r="W277" s="12">
        <v>0.172446067800479</v>
      </c>
      <c r="X277" s="12">
        <v>0.27405547311950701</v>
      </c>
      <c r="Y277" s="13">
        <v>133222</v>
      </c>
      <c r="Z277" s="13">
        <v>173796</v>
      </c>
      <c r="AA277" s="13">
        <v>2526365</v>
      </c>
      <c r="AB277" s="11">
        <v>127398</v>
      </c>
      <c r="AC277" s="11">
        <v>130368</v>
      </c>
      <c r="AD277" s="12">
        <v>2.3312767861347901E-2</v>
      </c>
      <c r="AE277" s="12">
        <v>0.66960643558715605</v>
      </c>
      <c r="AF277" s="12">
        <v>0.14367572489364</v>
      </c>
      <c r="AG277" s="12">
        <v>0.23585142623902999</v>
      </c>
      <c r="AH277" s="40">
        <v>6.4914676839510799E-2</v>
      </c>
      <c r="AI277" s="14">
        <v>0.246707169657294</v>
      </c>
      <c r="AJ277" s="4">
        <v>115833</v>
      </c>
      <c r="AK277" s="5">
        <v>84469</v>
      </c>
      <c r="AL277" s="5">
        <v>72249</v>
      </c>
      <c r="AM277" s="5">
        <v>48739</v>
      </c>
      <c r="AN277" s="6">
        <v>0.72923087548453402</v>
      </c>
      <c r="AO277" s="6">
        <v>0.62373416901919099</v>
      </c>
      <c r="AP277" s="6">
        <v>0.42076955617138501</v>
      </c>
      <c r="AQ277" s="6">
        <v>0.105496706465342</v>
      </c>
      <c r="AR277" s="6">
        <v>0.20296461284780701</v>
      </c>
      <c r="AS277" s="6">
        <v>0.16339039824575</v>
      </c>
      <c r="AT277" s="6">
        <v>0.25737915792563398</v>
      </c>
      <c r="AU277" s="7">
        <v>125578</v>
      </c>
      <c r="AV277" s="7">
        <v>168459</v>
      </c>
      <c r="AW277" s="7">
        <v>2322931</v>
      </c>
      <c r="AX277" s="5">
        <v>326706</v>
      </c>
      <c r="AY277" s="5">
        <v>332456</v>
      </c>
      <c r="AZ277" s="6">
        <v>1.7599921642087998E-2</v>
      </c>
      <c r="BA277" s="6">
        <v>0.63642402919516605</v>
      </c>
      <c r="BB277" s="6">
        <v>0.17460652696920201</v>
      </c>
      <c r="BC277" s="6">
        <v>0.23349739521159699</v>
      </c>
      <c r="BD277" s="41">
        <v>6.7338830630597493E-2</v>
      </c>
      <c r="BE277" s="8">
        <v>0.25252367572067902</v>
      </c>
      <c r="BF277" s="10">
        <v>207891</v>
      </c>
      <c r="BG277" s="11">
        <v>152802</v>
      </c>
      <c r="BH277" s="11">
        <v>130513</v>
      </c>
      <c r="BI277" s="11">
        <v>89429</v>
      </c>
      <c r="BJ277" s="12">
        <v>0.73501017360058896</v>
      </c>
      <c r="BK277" s="12">
        <v>0.62779533505538998</v>
      </c>
      <c r="BL277" s="12">
        <v>0.4301725423419</v>
      </c>
      <c r="BM277" s="12">
        <v>0.107214838545199</v>
      </c>
      <c r="BN277" s="12">
        <v>0.19762279271348901</v>
      </c>
      <c r="BO277" s="12">
        <v>0.160093510541582</v>
      </c>
      <c r="BP277" s="12">
        <v>0.270079031800318</v>
      </c>
      <c r="BQ277" s="13">
        <v>127650</v>
      </c>
      <c r="BR277" s="13">
        <v>173471</v>
      </c>
      <c r="BS277" s="13">
        <v>2335294</v>
      </c>
      <c r="BT277" s="11">
        <v>571916</v>
      </c>
      <c r="BU277" s="11">
        <v>584346</v>
      </c>
      <c r="BV277" s="12">
        <v>2.17339609313256E-2</v>
      </c>
      <c r="BW277" s="12">
        <v>0.64888528516912303</v>
      </c>
      <c r="BX277" s="12">
        <v>0.168856965008847</v>
      </c>
      <c r="BY277" s="12">
        <v>0.22341043090244</v>
      </c>
      <c r="BZ277" s="40">
        <v>6.9249680022940394E-2</v>
      </c>
      <c r="CA277" s="14">
        <v>0.25585050951538302</v>
      </c>
      <c r="CB277" s="86">
        <f t="shared" si="58"/>
        <v>10610131.468333032</v>
      </c>
      <c r="CC277" s="83">
        <v>7277229.0583330803</v>
      </c>
      <c r="CD277" s="83">
        <v>153305</v>
      </c>
      <c r="CE277" s="83">
        <v>2691402.7899999502</v>
      </c>
      <c r="CF277" s="83">
        <v>488194.62000000098</v>
      </c>
      <c r="CG277" s="90">
        <f t="shared" si="59"/>
        <v>0.68587548420607958</v>
      </c>
      <c r="CH277" s="90">
        <f t="shared" si="56"/>
        <v>1.444892558188875E-2</v>
      </c>
      <c r="CI277" s="90">
        <f t="shared" si="43"/>
        <v>0.25366347231725672</v>
      </c>
      <c r="CK277" s="86">
        <f t="shared" si="54"/>
        <v>10353326</v>
      </c>
      <c r="CL277" s="83">
        <v>7064351</v>
      </c>
      <c r="CM277" s="83">
        <v>178254</v>
      </c>
      <c r="CN277" s="83">
        <v>2646774</v>
      </c>
      <c r="CO277" s="83">
        <v>463947</v>
      </c>
      <c r="CP277" s="90">
        <f t="shared" si="55"/>
        <v>0.68232672283283657</v>
      </c>
      <c r="CQ277" s="90">
        <f t="shared" si="55"/>
        <v>1.721707594255218E-2</v>
      </c>
      <c r="CR277" s="90">
        <f t="shared" si="52"/>
        <v>0.25564480438460063</v>
      </c>
    </row>
    <row r="278" spans="1:97" ht="48.95" customHeight="1" thickTop="1" thickBot="1" x14ac:dyDescent="0.3">
      <c r="A278" s="3" t="s">
        <v>301</v>
      </c>
      <c r="B278" s="3">
        <v>1501</v>
      </c>
      <c r="C278" s="3" t="s">
        <v>226</v>
      </c>
      <c r="D278" s="16">
        <v>41249</v>
      </c>
      <c r="E278" s="16" t="s">
        <v>564</v>
      </c>
      <c r="F278" s="16" t="s">
        <v>483</v>
      </c>
      <c r="G278" s="17">
        <v>27041</v>
      </c>
      <c r="H278" s="17">
        <v>35020</v>
      </c>
      <c r="I278" s="17" t="s">
        <v>585</v>
      </c>
      <c r="J278" s="18" t="s">
        <v>581</v>
      </c>
      <c r="K278" s="18" t="s">
        <v>519</v>
      </c>
      <c r="L278" s="18"/>
      <c r="M278" s="18" t="s">
        <v>519</v>
      </c>
      <c r="N278" s="10">
        <v>30294</v>
      </c>
      <c r="O278" s="11">
        <v>18199</v>
      </c>
      <c r="P278" s="11">
        <v>14767</v>
      </c>
      <c r="Q278" s="11">
        <v>9887</v>
      </c>
      <c r="R278" s="12">
        <v>0.60074602231465002</v>
      </c>
      <c r="S278" s="12">
        <v>0.48745626196606601</v>
      </c>
      <c r="T278" s="12">
        <v>0.32636825774080702</v>
      </c>
      <c r="U278" s="12">
        <v>0.113289760348584</v>
      </c>
      <c r="V278" s="12">
        <v>0.16108800422525901</v>
      </c>
      <c r="W278" s="12">
        <v>0.112662573446887</v>
      </c>
      <c r="X278" s="12">
        <v>0.21370568429392001</v>
      </c>
      <c r="Y278" s="13">
        <v>96554</v>
      </c>
      <c r="Z278" s="13">
        <v>142190</v>
      </c>
      <c r="AA278" s="13">
        <v>1748324</v>
      </c>
      <c r="AB278" s="11">
        <v>77668</v>
      </c>
      <c r="AC278" s="11">
        <v>79354</v>
      </c>
      <c r="AD278" s="12">
        <v>2.17077818406551E-2</v>
      </c>
      <c r="AE278" s="12">
        <v>0.49761465206821498</v>
      </c>
      <c r="AF278" s="12">
        <v>0.25717155070299202</v>
      </c>
      <c r="AG278" s="12">
        <v>6.4646958850491806E-2</v>
      </c>
      <c r="AH278" s="40">
        <v>0.13114796312509699</v>
      </c>
      <c r="AI278" s="14">
        <v>0.25948910748313297</v>
      </c>
      <c r="AJ278" s="4">
        <v>53733</v>
      </c>
      <c r="AK278" s="5">
        <v>34977</v>
      </c>
      <c r="AL278" s="5">
        <v>29830</v>
      </c>
      <c r="AM278" s="5">
        <v>21742</v>
      </c>
      <c r="AN278" s="6">
        <v>0.65094076265981804</v>
      </c>
      <c r="AO278" s="6">
        <v>0.55515232724768804</v>
      </c>
      <c r="AP278" s="6">
        <v>0.40463030167680902</v>
      </c>
      <c r="AQ278" s="6">
        <v>9.5788435412130293E-2</v>
      </c>
      <c r="AR278" s="6">
        <v>0.15052202557087799</v>
      </c>
      <c r="AS278" s="6">
        <v>0.108871643124337</v>
      </c>
      <c r="AT278" s="6">
        <v>0.29575865855247202</v>
      </c>
      <c r="AU278" s="7">
        <v>114356</v>
      </c>
      <c r="AV278" s="7">
        <v>176591</v>
      </c>
      <c r="AW278" s="7">
        <v>2416222</v>
      </c>
      <c r="AX278" s="5">
        <v>143690</v>
      </c>
      <c r="AY278" s="5">
        <v>145976</v>
      </c>
      <c r="AZ278" s="6">
        <v>1.5909249077876001E-2</v>
      </c>
      <c r="BA278" s="6">
        <v>0.57207156863741204</v>
      </c>
      <c r="BB278" s="6">
        <v>0.20906117335931501</v>
      </c>
      <c r="BC278" s="6">
        <v>5.6962906256524497E-2</v>
      </c>
      <c r="BD278" s="41">
        <v>0.107891989700049</v>
      </c>
      <c r="BE278" s="8">
        <v>0.26765258542696102</v>
      </c>
      <c r="BF278" s="10">
        <v>75716</v>
      </c>
      <c r="BG278" s="11">
        <v>51881</v>
      </c>
      <c r="BH278" s="11">
        <v>45201</v>
      </c>
      <c r="BI278" s="11">
        <v>34202</v>
      </c>
      <c r="BJ278" s="12">
        <v>0.68520524063606103</v>
      </c>
      <c r="BK278" s="12">
        <v>0.59698082307570399</v>
      </c>
      <c r="BL278" s="12">
        <v>0.45171430080828401</v>
      </c>
      <c r="BM278" s="12">
        <v>8.8224417560357093E-2</v>
      </c>
      <c r="BN278" s="12">
        <v>0.14526652226742001</v>
      </c>
      <c r="BO278" s="12">
        <v>0.11206350044904601</v>
      </c>
      <c r="BP278" s="12">
        <v>0.339650800359237</v>
      </c>
      <c r="BQ278" s="13">
        <v>129406</v>
      </c>
      <c r="BR278" s="13">
        <v>195138</v>
      </c>
      <c r="BS278" s="13">
        <v>2780344</v>
      </c>
      <c r="BT278" s="11">
        <v>206626</v>
      </c>
      <c r="BU278" s="11">
        <v>209596</v>
      </c>
      <c r="BV278" s="12">
        <v>1.4373796134078E-2</v>
      </c>
      <c r="BW278" s="12">
        <v>0.615332568889016</v>
      </c>
      <c r="BX278" s="12">
        <v>0.172761414342822</v>
      </c>
      <c r="BY278" s="12">
        <v>5.8821251923765597E-2</v>
      </c>
      <c r="BZ278" s="40">
        <v>8.5884641816615495E-2</v>
      </c>
      <c r="CA278" s="14">
        <v>0.27329087336540397</v>
      </c>
      <c r="CB278" s="86">
        <f t="shared" si="58"/>
        <v>35268799.169998489</v>
      </c>
      <c r="CC278" s="83">
        <v>17016952.4099993</v>
      </c>
      <c r="CD278" s="83">
        <v>10562665.2399994</v>
      </c>
      <c r="CE278" s="83">
        <v>6680389.2399997804</v>
      </c>
      <c r="CF278" s="83">
        <v>1008792.28000001</v>
      </c>
      <c r="CG278" s="90">
        <f t="shared" si="59"/>
        <v>0.48249310468372347</v>
      </c>
      <c r="CH278" s="90">
        <f t="shared" si="56"/>
        <v>0.29949035659213946</v>
      </c>
      <c r="CI278" s="90">
        <f t="shared" si="43"/>
        <v>0.18941357225687666</v>
      </c>
      <c r="CK278" s="86">
        <f t="shared" si="54"/>
        <v>35486112</v>
      </c>
      <c r="CL278" s="83">
        <v>16464250</v>
      </c>
      <c r="CM278" s="83">
        <v>10842460</v>
      </c>
      <c r="CN278" s="83">
        <v>7182739</v>
      </c>
      <c r="CO278" s="83">
        <v>996663</v>
      </c>
      <c r="CP278" s="90">
        <f t="shared" si="55"/>
        <v>0.46396319777156764</v>
      </c>
      <c r="CQ278" s="90">
        <f t="shared" si="55"/>
        <v>0.30554093950895495</v>
      </c>
      <c r="CR278" s="90">
        <f t="shared" si="52"/>
        <v>0.20240986107466494</v>
      </c>
    </row>
    <row r="279" spans="1:97" ht="16.5" thickTop="1" thickBot="1" x14ac:dyDescent="0.3">
      <c r="A279" s="3" t="s">
        <v>291</v>
      </c>
      <c r="B279" s="3" t="s">
        <v>626</v>
      </c>
      <c r="C279" s="3" t="s">
        <v>626</v>
      </c>
      <c r="D279" s="16" t="str">
        <f>"2025"</f>
        <v>2025</v>
      </c>
      <c r="E279" s="39" t="s">
        <v>532</v>
      </c>
      <c r="F279" s="16" t="s">
        <v>627</v>
      </c>
      <c r="G279" s="17">
        <v>22062</v>
      </c>
      <c r="H279" s="17">
        <v>25000</v>
      </c>
      <c r="I279" s="17" t="s">
        <v>585</v>
      </c>
      <c r="J279" s="18"/>
      <c r="K279" s="18"/>
      <c r="L279" s="18"/>
      <c r="M279" s="18" t="s">
        <v>598</v>
      </c>
      <c r="N279" s="42">
        <v>15199</v>
      </c>
      <c r="O279" s="43">
        <v>7571</v>
      </c>
      <c r="P279" s="92">
        <v>5458</v>
      </c>
      <c r="Q279" s="92">
        <v>3211</v>
      </c>
      <c r="R279" s="93">
        <v>0.49812487663662097</v>
      </c>
      <c r="S279" s="44">
        <v>0.35910257253766698</v>
      </c>
      <c r="T279" s="44">
        <v>0.21126389894072001</v>
      </c>
      <c r="U279" s="44">
        <v>0.139022304098954</v>
      </c>
      <c r="V279" s="44">
        <v>0.147838673596947</v>
      </c>
      <c r="W279" s="44">
        <v>8.4742417264293698E-2</v>
      </c>
      <c r="X279" s="44">
        <v>0.12652148167642599</v>
      </c>
      <c r="Y279" s="45">
        <v>74543</v>
      </c>
      <c r="Z279" s="45">
        <v>105111</v>
      </c>
      <c r="AA279" s="45">
        <v>1350620</v>
      </c>
      <c r="AB279" s="43">
        <v>43787</v>
      </c>
      <c r="AC279" s="43">
        <v>50950</v>
      </c>
      <c r="AD279" s="44">
        <v>0.16358736611322999</v>
      </c>
      <c r="AE279" s="44">
        <v>0.315774707161394</v>
      </c>
      <c r="AF279" s="44">
        <v>0.37979308927307198</v>
      </c>
      <c r="AG279" s="44">
        <v>2.9163907095713301E-2</v>
      </c>
      <c r="AH279" s="94">
        <v>0.12021832964121799</v>
      </c>
      <c r="AI279" s="46">
        <v>0.22065909973279699</v>
      </c>
      <c r="AJ279" s="137">
        <v>40317</v>
      </c>
      <c r="AK279" s="138">
        <v>20424</v>
      </c>
      <c r="AL279" s="138">
        <v>15358</v>
      </c>
      <c r="AM279" s="138">
        <v>8548</v>
      </c>
      <c r="AN279" s="135">
        <v>0.50658531140709895</v>
      </c>
      <c r="AO279" s="135">
        <v>0.38093112086712799</v>
      </c>
      <c r="AP279" s="135">
        <v>0.212019743532505</v>
      </c>
      <c r="AQ279" s="135">
        <v>0.12565419053997101</v>
      </c>
      <c r="AR279" s="135">
        <v>0.168911377334623</v>
      </c>
      <c r="AS279" s="135">
        <v>0.100602723416921</v>
      </c>
      <c r="AT279" s="135">
        <v>0.11141702011558401</v>
      </c>
      <c r="AU279" s="139">
        <v>75995</v>
      </c>
      <c r="AV279" s="139">
        <v>104426</v>
      </c>
      <c r="AW279" s="139">
        <v>1166659</v>
      </c>
      <c r="AX279" s="138">
        <v>111939</v>
      </c>
      <c r="AY279" s="138">
        <v>129583</v>
      </c>
      <c r="AZ279" s="135">
        <v>0.15762156174344999</v>
      </c>
      <c r="BA279" s="135">
        <v>0.32690217755893403</v>
      </c>
      <c r="BB279" s="135">
        <v>0.34274917589044002</v>
      </c>
      <c r="BC279" s="135">
        <v>3.5983884079722001E-2</v>
      </c>
      <c r="BD279" s="140">
        <v>9.1692796969778195E-2</v>
      </c>
      <c r="BE279" s="136">
        <v>0.21550129981507801</v>
      </c>
      <c r="BF279" s="141">
        <v>63945</v>
      </c>
      <c r="BG279" s="142">
        <v>35904</v>
      </c>
      <c r="BH279" s="142">
        <v>28241</v>
      </c>
      <c r="BI279" s="142">
        <v>17403</v>
      </c>
      <c r="BJ279" s="143">
        <v>0.56148252404410004</v>
      </c>
      <c r="BK279" s="143">
        <v>0.44164516381265201</v>
      </c>
      <c r="BL279" s="143">
        <v>0.27215575885526599</v>
      </c>
      <c r="BM279" s="143">
        <v>0.119837360231449</v>
      </c>
      <c r="BN279" s="143">
        <v>0.16948940495738499</v>
      </c>
      <c r="BO279" s="143">
        <v>0.120932050981312</v>
      </c>
      <c r="BP279" s="143">
        <v>0.15122370787395401</v>
      </c>
      <c r="BQ279" s="144">
        <v>86179</v>
      </c>
      <c r="BR279" s="144">
        <v>118953</v>
      </c>
      <c r="BS279" s="144">
        <v>1526665</v>
      </c>
      <c r="BT279" s="142">
        <v>177027</v>
      </c>
      <c r="BU279" s="142">
        <v>202733</v>
      </c>
      <c r="BV279" s="143">
        <v>0.145209487818242</v>
      </c>
      <c r="BW279" s="143">
        <v>0.39094090691643402</v>
      </c>
      <c r="BX279" s="143">
        <v>0.28956034955119803</v>
      </c>
      <c r="BY279" s="143">
        <v>4.0152067198788902E-2</v>
      </c>
      <c r="BZ279" s="145">
        <v>7.4920774797064896E-2</v>
      </c>
      <c r="CA279" s="146">
        <v>0.239093471617324</v>
      </c>
      <c r="CB279" s="86" t="str">
        <f t="shared" si="58"/>
        <v/>
      </c>
      <c r="CC279" s="83" t="s">
        <v>598</v>
      </c>
      <c r="CD279" s="83" t="s">
        <v>598</v>
      </c>
      <c r="CE279" s="83" t="s">
        <v>598</v>
      </c>
      <c r="CF279" s="83" t="s">
        <v>598</v>
      </c>
      <c r="CG279" s="90" t="str">
        <f t="shared" si="59"/>
        <v/>
      </c>
      <c r="CH279" s="90" t="str">
        <f t="shared" si="56"/>
        <v/>
      </c>
      <c r="CI279" s="90" t="str">
        <f t="shared" si="43"/>
        <v/>
      </c>
      <c r="CK279" s="86" t="str">
        <f t="shared" si="54"/>
        <v/>
      </c>
      <c r="CL279" s="83" t="s">
        <v>598</v>
      </c>
      <c r="CM279" s="83" t="s">
        <v>598</v>
      </c>
      <c r="CN279" s="83" t="s">
        <v>598</v>
      </c>
      <c r="CO279" s="83" t="s">
        <v>598</v>
      </c>
      <c r="CP279" s="90" t="str">
        <f t="shared" si="55"/>
        <v/>
      </c>
      <c r="CQ279" s="90" t="str">
        <f t="shared" si="55"/>
        <v/>
      </c>
      <c r="CR279" s="90" t="str">
        <f t="shared" si="52"/>
        <v/>
      </c>
    </row>
    <row r="280" spans="1:97" ht="49.5" thickTop="1" thickBot="1" x14ac:dyDescent="0.3">
      <c r="A280" s="3" t="s">
        <v>288</v>
      </c>
      <c r="B280" s="3">
        <v>201</v>
      </c>
      <c r="C280" s="3" t="s">
        <v>28</v>
      </c>
      <c r="D280" s="16">
        <v>35935</v>
      </c>
      <c r="E280" s="16" t="s">
        <v>521</v>
      </c>
      <c r="F280" s="16" t="s">
        <v>657</v>
      </c>
      <c r="G280" s="17">
        <v>14847</v>
      </c>
      <c r="H280" s="17">
        <v>15679</v>
      </c>
      <c r="I280" s="17" t="s">
        <v>585</v>
      </c>
      <c r="J280" s="18"/>
      <c r="K280" s="18" t="s">
        <v>598</v>
      </c>
      <c r="L280" s="18" t="s">
        <v>519</v>
      </c>
      <c r="M280" s="18" t="s">
        <v>598</v>
      </c>
      <c r="N280" s="10">
        <v>37626</v>
      </c>
      <c r="O280" s="11">
        <v>29002</v>
      </c>
      <c r="P280" s="11">
        <v>24820</v>
      </c>
      <c r="Q280" s="11">
        <v>17340</v>
      </c>
      <c r="R280" s="12">
        <v>0.77079678945410102</v>
      </c>
      <c r="S280" s="12">
        <v>0.65965024185403698</v>
      </c>
      <c r="T280" s="12">
        <v>0.460851538829533</v>
      </c>
      <c r="U280" s="12">
        <v>0.111146547600064</v>
      </c>
      <c r="V280" s="12">
        <v>0.198798703024504</v>
      </c>
      <c r="W280" s="12">
        <v>0.15731143358316099</v>
      </c>
      <c r="X280" s="12">
        <v>0.30354010524637198</v>
      </c>
      <c r="Y280" s="13">
        <v>136795</v>
      </c>
      <c r="Z280" s="13">
        <v>179980</v>
      </c>
      <c r="AA280" s="13">
        <v>2357589</v>
      </c>
      <c r="AB280" s="11">
        <v>104507</v>
      </c>
      <c r="AC280" s="11">
        <v>106277</v>
      </c>
      <c r="AD280" s="12">
        <v>1.69366645296487E-2</v>
      </c>
      <c r="AE280" s="12">
        <v>0.68465972376921402</v>
      </c>
      <c r="AF280" s="12">
        <v>0.102883060464849</v>
      </c>
      <c r="AG280" s="12">
        <v>0.29403771996134198</v>
      </c>
      <c r="AH280" s="40">
        <v>6.9019300142574194E-2</v>
      </c>
      <c r="AI280" s="14">
        <v>0.25409781162984302</v>
      </c>
      <c r="AJ280" s="4">
        <v>88561</v>
      </c>
      <c r="AK280" s="5">
        <v>66393</v>
      </c>
      <c r="AL280" s="5">
        <v>56068</v>
      </c>
      <c r="AM280" s="5">
        <v>37996</v>
      </c>
      <c r="AN280" s="6">
        <v>0.749686656654735</v>
      </c>
      <c r="AO280" s="6">
        <v>0.63310034891204903</v>
      </c>
      <c r="AP280" s="6">
        <v>0.42903761249308398</v>
      </c>
      <c r="AQ280" s="6">
        <v>0.116586307742686</v>
      </c>
      <c r="AR280" s="6">
        <v>0.204062736418965</v>
      </c>
      <c r="AS280" s="6">
        <v>0.15231309492891901</v>
      </c>
      <c r="AT280" s="6">
        <v>0.276724517564165</v>
      </c>
      <c r="AU280" s="7">
        <v>127883</v>
      </c>
      <c r="AV280" s="7">
        <v>170801</v>
      </c>
      <c r="AW280" s="7">
        <v>2198688</v>
      </c>
      <c r="AX280" s="5">
        <v>246627</v>
      </c>
      <c r="AY280" s="5">
        <v>253919</v>
      </c>
      <c r="AZ280" s="6">
        <v>2.9566916842032699E-2</v>
      </c>
      <c r="BA280" s="6">
        <v>0.66097156398104295</v>
      </c>
      <c r="BB280" s="6">
        <v>0.12707448900566401</v>
      </c>
      <c r="BC280" s="6">
        <v>0.27297092370259501</v>
      </c>
      <c r="BD280" s="41">
        <v>8.0404821856487702E-2</v>
      </c>
      <c r="BE280" s="8">
        <v>0.24565842344917599</v>
      </c>
      <c r="BF280" s="10">
        <v>152475</v>
      </c>
      <c r="BG280" s="11">
        <v>114752</v>
      </c>
      <c r="BH280" s="11">
        <v>97601</v>
      </c>
      <c r="BI280" s="11">
        <v>66673</v>
      </c>
      <c r="BJ280" s="12">
        <v>0.75259550746023895</v>
      </c>
      <c r="BK280" s="12">
        <v>0.64011149368748999</v>
      </c>
      <c r="BL280" s="12">
        <v>0.43727168388260401</v>
      </c>
      <c r="BM280" s="12">
        <v>0.11248401377275</v>
      </c>
      <c r="BN280" s="12">
        <v>0.202839809804886</v>
      </c>
      <c r="BO280" s="12">
        <v>0.154812264305624</v>
      </c>
      <c r="BP280" s="12">
        <v>0.28245941957698001</v>
      </c>
      <c r="BQ280" s="13">
        <v>130061</v>
      </c>
      <c r="BR280" s="13">
        <v>173244</v>
      </c>
      <c r="BS280" s="13">
        <v>2208526</v>
      </c>
      <c r="BT280" s="11">
        <v>428060</v>
      </c>
      <c r="BU280" s="11">
        <v>445693</v>
      </c>
      <c r="BV280" s="12">
        <v>4.1192823435966898E-2</v>
      </c>
      <c r="BW280" s="12">
        <v>0.66121911628371799</v>
      </c>
      <c r="BX280" s="12">
        <v>0.143785917861982</v>
      </c>
      <c r="BY280" s="12">
        <v>0.24614306405644101</v>
      </c>
      <c r="BZ280" s="40">
        <v>8.3217305985142306E-2</v>
      </c>
      <c r="CA280" s="14">
        <v>0.23914871746951399</v>
      </c>
      <c r="CB280" s="86">
        <f t="shared" si="58"/>
        <v>10420918.316225205</v>
      </c>
      <c r="CC280" s="83">
        <v>6976156.98916642</v>
      </c>
      <c r="CD280" s="83">
        <v>154704.20000000001</v>
      </c>
      <c r="CE280" s="83">
        <v>2686717.1570587801</v>
      </c>
      <c r="CF280" s="83">
        <v>603339.97000000405</v>
      </c>
      <c r="CG280" s="90">
        <f t="shared" si="59"/>
        <v>0.66943783431299464</v>
      </c>
      <c r="CH280" s="90">
        <f t="shared" si="56"/>
        <v>1.4845543867197195E-2</v>
      </c>
      <c r="CI280" s="90">
        <f t="shared" si="43"/>
        <v>0.25781961584667679</v>
      </c>
      <c r="CK280" s="86">
        <f t="shared" si="54"/>
        <v>10187545</v>
      </c>
      <c r="CL280" s="83">
        <v>6747519</v>
      </c>
      <c r="CM280" s="83">
        <v>176173</v>
      </c>
      <c r="CN280" s="83">
        <v>2676332</v>
      </c>
      <c r="CO280" s="83">
        <v>587521</v>
      </c>
      <c r="CP280" s="90">
        <f t="shared" si="55"/>
        <v>0.66233022774377925</v>
      </c>
      <c r="CQ280" s="90">
        <f t="shared" si="55"/>
        <v>1.7292978828559777E-2</v>
      </c>
      <c r="CR280" s="90">
        <f t="shared" si="52"/>
        <v>0.26270627516246553</v>
      </c>
    </row>
    <row r="281" spans="1:97" ht="37.5" thickTop="1" thickBot="1" x14ac:dyDescent="0.3">
      <c r="A281" s="3" t="s">
        <v>288</v>
      </c>
      <c r="B281" s="3">
        <v>204</v>
      </c>
      <c r="C281" s="3" t="s">
        <v>31</v>
      </c>
      <c r="D281" s="16">
        <v>36404</v>
      </c>
      <c r="E281" s="16" t="s">
        <v>521</v>
      </c>
      <c r="F281" s="16" t="s">
        <v>319</v>
      </c>
      <c r="G281" s="17">
        <v>10587</v>
      </c>
      <c r="H281" s="17">
        <v>13200</v>
      </c>
      <c r="I281" s="17" t="s">
        <v>584</v>
      </c>
      <c r="J281" s="18"/>
      <c r="K281" s="18" t="s">
        <v>598</v>
      </c>
      <c r="L281" s="18" t="s">
        <v>587</v>
      </c>
      <c r="M281" s="18" t="s">
        <v>598</v>
      </c>
      <c r="N281" s="10">
        <v>31666</v>
      </c>
      <c r="O281" s="11">
        <v>23168</v>
      </c>
      <c r="P281" s="11">
        <v>19183</v>
      </c>
      <c r="Q281" s="11">
        <v>13039</v>
      </c>
      <c r="R281" s="12">
        <v>0.73163645550432599</v>
      </c>
      <c r="S281" s="12">
        <v>0.60579170087791301</v>
      </c>
      <c r="T281" s="12">
        <v>0.41176656350660001</v>
      </c>
      <c r="U281" s="12">
        <v>0.12584475462641301</v>
      </c>
      <c r="V281" s="12">
        <v>0.19402513737131299</v>
      </c>
      <c r="W281" s="12">
        <v>0.161561296027285</v>
      </c>
      <c r="X281" s="12">
        <v>0.25020526747931499</v>
      </c>
      <c r="Y281" s="13">
        <v>122323</v>
      </c>
      <c r="Z281" s="13">
        <v>156733</v>
      </c>
      <c r="AA281" s="13">
        <v>2107163</v>
      </c>
      <c r="AB281" s="11">
        <v>91634</v>
      </c>
      <c r="AC281" s="11">
        <v>98066</v>
      </c>
      <c r="AD281" s="12">
        <v>7.0192286705807905E-2</v>
      </c>
      <c r="AE281" s="12">
        <v>0.537096695860517</v>
      </c>
      <c r="AF281" s="12">
        <v>0.25812471353427802</v>
      </c>
      <c r="AG281" s="12">
        <v>0.18064255625641101</v>
      </c>
      <c r="AH281" s="40">
        <v>7.5343213217801297E-2</v>
      </c>
      <c r="AI281" s="14">
        <v>0.231333347883973</v>
      </c>
      <c r="AJ281" s="4">
        <v>68003</v>
      </c>
      <c r="AK281" s="5">
        <v>50975</v>
      </c>
      <c r="AL281" s="5">
        <v>42362</v>
      </c>
      <c r="AM281" s="5">
        <v>29048</v>
      </c>
      <c r="AN281" s="6">
        <v>0.74959928238460105</v>
      </c>
      <c r="AO281" s="6">
        <v>0.62294310545122999</v>
      </c>
      <c r="AP281" s="6">
        <v>0.42715762539887903</v>
      </c>
      <c r="AQ281" s="6">
        <v>0.126656176933371</v>
      </c>
      <c r="AR281" s="6">
        <v>0.195785480052351</v>
      </c>
      <c r="AS281" s="6">
        <v>0.15533138243901001</v>
      </c>
      <c r="AT281" s="6">
        <v>0.27182624295986901</v>
      </c>
      <c r="AU281" s="7">
        <v>126650</v>
      </c>
      <c r="AV281" s="7">
        <v>165364</v>
      </c>
      <c r="AW281" s="7">
        <v>2155865</v>
      </c>
      <c r="AX281" s="5">
        <v>190832</v>
      </c>
      <c r="AY281" s="5">
        <v>207223</v>
      </c>
      <c r="AZ281" s="6">
        <v>8.5892303177664095E-2</v>
      </c>
      <c r="BA281" s="6">
        <v>0.59181975143492704</v>
      </c>
      <c r="BB281" s="6">
        <v>0.22366269807998701</v>
      </c>
      <c r="BC281" s="6">
        <v>0.19436467678376801</v>
      </c>
      <c r="BD281" s="41">
        <v>8.7013708392722405E-2</v>
      </c>
      <c r="BE281" s="8">
        <v>0.231318646767838</v>
      </c>
      <c r="BF281" s="10">
        <v>123232</v>
      </c>
      <c r="BG281" s="11">
        <v>94635</v>
      </c>
      <c r="BH281" s="11">
        <v>79776</v>
      </c>
      <c r="BI281" s="11">
        <v>56359</v>
      </c>
      <c r="BJ281" s="12">
        <v>0.76794176837185102</v>
      </c>
      <c r="BK281" s="12">
        <v>0.64736432095559604</v>
      </c>
      <c r="BL281" s="12">
        <v>0.457340625811478</v>
      </c>
      <c r="BM281" s="12">
        <v>0.12057744741625601</v>
      </c>
      <c r="BN281" s="12">
        <v>0.19002369514411799</v>
      </c>
      <c r="BO281" s="12">
        <v>0.15714262529213199</v>
      </c>
      <c r="BP281" s="12">
        <v>0.30019800051934598</v>
      </c>
      <c r="BQ281" s="13">
        <v>135179</v>
      </c>
      <c r="BR281" s="13">
        <v>173901</v>
      </c>
      <c r="BS281" s="13">
        <v>2143180</v>
      </c>
      <c r="BT281" s="11">
        <v>342926</v>
      </c>
      <c r="BU281" s="11">
        <v>374901</v>
      </c>
      <c r="BV281" s="12">
        <v>9.3241690627132404E-2</v>
      </c>
      <c r="BW281" s="12">
        <v>0.63979849968925895</v>
      </c>
      <c r="BX281" s="12">
        <v>0.17204586412228901</v>
      </c>
      <c r="BY281" s="12">
        <v>0.22796171768836401</v>
      </c>
      <c r="BZ281" s="40">
        <v>8.9089191254089803E-2</v>
      </c>
      <c r="CA281" s="14">
        <v>0.22401334398674899</v>
      </c>
      <c r="CB281" s="86">
        <f t="shared" si="58"/>
        <v>8526764.1973331533</v>
      </c>
      <c r="CC281" s="83">
        <v>5961239.8033331502</v>
      </c>
      <c r="CD281" s="83">
        <v>142188.94</v>
      </c>
      <c r="CE281" s="83">
        <v>2038001.9040000001</v>
      </c>
      <c r="CF281" s="83">
        <v>385333.55000000203</v>
      </c>
      <c r="CG281" s="90">
        <f t="shared" si="59"/>
        <v>0.69912098720844174</v>
      </c>
      <c r="CH281" s="90">
        <f t="shared" si="56"/>
        <v>1.6675603629858943E-2</v>
      </c>
      <c r="CI281" s="90">
        <f t="shared" si="43"/>
        <v>0.23901234475762909</v>
      </c>
      <c r="CK281" s="86">
        <f t="shared" si="54"/>
        <v>8280099</v>
      </c>
      <c r="CL281" s="83">
        <v>5721493</v>
      </c>
      <c r="CM281" s="83">
        <v>162894</v>
      </c>
      <c r="CN281" s="83">
        <v>2013212</v>
      </c>
      <c r="CO281" s="83">
        <v>382500</v>
      </c>
      <c r="CP281" s="90">
        <f t="shared" si="55"/>
        <v>0.69099330817179838</v>
      </c>
      <c r="CQ281" s="90">
        <f t="shared" si="55"/>
        <v>1.9672953185704663E-2</v>
      </c>
      <c r="CR281" s="90">
        <f t="shared" si="52"/>
        <v>0.24313863880129935</v>
      </c>
    </row>
    <row r="282" spans="1:97" ht="49.5" thickTop="1" thickBot="1" x14ac:dyDescent="0.3">
      <c r="A282" s="3" t="s">
        <v>288</v>
      </c>
      <c r="B282" s="3">
        <v>219</v>
      </c>
      <c r="C282" s="3" t="s">
        <v>45</v>
      </c>
      <c r="D282" s="16">
        <v>43174</v>
      </c>
      <c r="E282" s="16" t="s">
        <v>521</v>
      </c>
      <c r="F282" s="16" t="s">
        <v>332</v>
      </c>
      <c r="G282" s="17">
        <v>11754</v>
      </c>
      <c r="H282" s="17">
        <v>15097</v>
      </c>
      <c r="I282" s="17" t="s">
        <v>584</v>
      </c>
      <c r="J282" s="18"/>
      <c r="K282" s="18" t="s">
        <v>598</v>
      </c>
      <c r="L282" s="18" t="s">
        <v>587</v>
      </c>
      <c r="M282" s="18" t="s">
        <v>598</v>
      </c>
      <c r="N282" s="10">
        <v>41829</v>
      </c>
      <c r="O282" s="11">
        <v>31614</v>
      </c>
      <c r="P282" s="11">
        <v>26779</v>
      </c>
      <c r="Q282" s="11">
        <v>18252</v>
      </c>
      <c r="R282" s="12">
        <v>0.75579143656314995</v>
      </c>
      <c r="S282" s="12">
        <v>0.64020177388892896</v>
      </c>
      <c r="T282" s="12">
        <v>0.436347988237825</v>
      </c>
      <c r="U282" s="12">
        <v>0.11558966267422099</v>
      </c>
      <c r="V282" s="12">
        <v>0.20385378565110299</v>
      </c>
      <c r="W282" s="12">
        <v>0.163212125558823</v>
      </c>
      <c r="X282" s="12">
        <v>0.27313586267900303</v>
      </c>
      <c r="Y282" s="13">
        <v>129883</v>
      </c>
      <c r="Z282" s="13">
        <v>173841</v>
      </c>
      <c r="AA282" s="13">
        <v>2172526</v>
      </c>
      <c r="AB282" s="11">
        <v>102813</v>
      </c>
      <c r="AC282" s="11">
        <v>107679</v>
      </c>
      <c r="AD282" s="12">
        <v>4.7328645210236102E-2</v>
      </c>
      <c r="AE282" s="12">
        <v>0.69752287005400604</v>
      </c>
      <c r="AF282" s="12">
        <v>0.15543754194508499</v>
      </c>
      <c r="AG282" s="12">
        <v>0.17646601110754501</v>
      </c>
      <c r="AH282" s="12">
        <v>9.6738739264489906E-2</v>
      </c>
      <c r="AI282" s="12">
        <v>0.247741044420453</v>
      </c>
      <c r="AJ282" s="5">
        <v>82573</v>
      </c>
      <c r="AK282" s="5">
        <v>64387</v>
      </c>
      <c r="AL282" s="5">
        <v>55359</v>
      </c>
      <c r="AM282" s="108">
        <v>39953</v>
      </c>
      <c r="AN282" s="41">
        <v>0.77975851670642904</v>
      </c>
      <c r="AO282" s="8">
        <v>0.670424957310501</v>
      </c>
      <c r="AP282" s="116">
        <v>0.48385065336126798</v>
      </c>
      <c r="AQ282" s="63">
        <v>0.109333559395928</v>
      </c>
      <c r="AR282" s="6">
        <v>0.18657430394923299</v>
      </c>
      <c r="AS282" s="6">
        <v>0.15899870417691001</v>
      </c>
      <c r="AT282" s="6">
        <v>0.324851949184358</v>
      </c>
      <c r="AU282" s="7">
        <v>144001</v>
      </c>
      <c r="AV282" s="7">
        <v>193144</v>
      </c>
      <c r="AW282" s="7">
        <v>2629620</v>
      </c>
      <c r="AX282" s="5">
        <v>227349</v>
      </c>
      <c r="AY282" s="5">
        <v>237073</v>
      </c>
      <c r="AZ282" s="6">
        <v>4.2771245969852503E-2</v>
      </c>
      <c r="BA282" s="6">
        <v>0.68580439218796996</v>
      </c>
      <c r="BB282" s="6">
        <v>0.16170733101970999</v>
      </c>
      <c r="BC282" s="6">
        <v>0.20246845158764701</v>
      </c>
      <c r="BD282" s="6">
        <v>8.1627805708404305E-2</v>
      </c>
      <c r="BE282" s="6">
        <v>0.25980321004271001</v>
      </c>
      <c r="BF282" s="11">
        <v>154802</v>
      </c>
      <c r="BG282" s="11">
        <v>117729</v>
      </c>
      <c r="BH282" s="11">
        <v>100442</v>
      </c>
      <c r="BI282" s="11">
        <v>70824</v>
      </c>
      <c r="BJ282" s="12">
        <v>0.76051343005904304</v>
      </c>
      <c r="BK282" s="12">
        <v>0.64884174623066904</v>
      </c>
      <c r="BL282" s="12">
        <v>0.45751346881823202</v>
      </c>
      <c r="BM282" s="12">
        <v>0.111671683828374</v>
      </c>
      <c r="BN282" s="12">
        <v>0.19132827741243699</v>
      </c>
      <c r="BO282" s="12">
        <v>0.153738323794266</v>
      </c>
      <c r="BP282" s="12">
        <v>0.30377514502396602</v>
      </c>
      <c r="BQ282" s="13">
        <v>135312</v>
      </c>
      <c r="BR282" s="115">
        <v>183264</v>
      </c>
      <c r="BS282" s="115">
        <v>2403288</v>
      </c>
      <c r="BT282" s="112">
        <v>417492</v>
      </c>
      <c r="BU282" s="10">
        <v>435664</v>
      </c>
      <c r="BV282" s="12">
        <v>4.3526582545294297E-2</v>
      </c>
      <c r="BW282" s="12">
        <v>0.67538370924713298</v>
      </c>
      <c r="BX282" s="12">
        <v>0.155540704971592</v>
      </c>
      <c r="BY282" s="12">
        <v>0.22161622258630101</v>
      </c>
      <c r="BZ282" s="12">
        <v>7.5987084782462896E-2</v>
      </c>
      <c r="CA282" s="12">
        <v>0.250050300365037</v>
      </c>
      <c r="CB282" s="86">
        <f t="shared" si="58"/>
        <v>11669407.337499663</v>
      </c>
      <c r="CC282" s="83">
        <v>8523771.3374997005</v>
      </c>
      <c r="CD282" s="83">
        <v>173382.5</v>
      </c>
      <c r="CE282" s="83">
        <v>2402362.7099999599</v>
      </c>
      <c r="CF282" s="83">
        <v>569890.79000000295</v>
      </c>
      <c r="CG282" s="90">
        <f t="shared" si="59"/>
        <v>0.7304373813491406</v>
      </c>
      <c r="CH282" s="90">
        <f t="shared" si="56"/>
        <v>1.4857866812381722E-2</v>
      </c>
      <c r="CI282" s="90">
        <f t="shared" si="43"/>
        <v>0.20586844220271261</v>
      </c>
      <c r="CK282" s="86">
        <f t="shared" si="54"/>
        <v>11303375</v>
      </c>
      <c r="CL282" s="83">
        <v>8209849</v>
      </c>
      <c r="CM282" s="83">
        <v>195448</v>
      </c>
      <c r="CN282" s="83">
        <v>2341296</v>
      </c>
      <c r="CO282" s="83">
        <v>556782</v>
      </c>
      <c r="CP282" s="90">
        <f t="shared" si="55"/>
        <v>0.72631837836044544</v>
      </c>
      <c r="CQ282" s="90">
        <f t="shared" si="55"/>
        <v>1.7291118803012373E-2</v>
      </c>
      <c r="CR282" s="90">
        <f t="shared" si="52"/>
        <v>0.20713247149634512</v>
      </c>
    </row>
    <row r="283" spans="1:97" ht="37.5" thickTop="1" thickBot="1" x14ac:dyDescent="0.3">
      <c r="A283" s="3" t="s">
        <v>288</v>
      </c>
      <c r="B283" s="3">
        <v>205</v>
      </c>
      <c r="C283" s="3" t="s">
        <v>32</v>
      </c>
      <c r="D283" s="16">
        <v>35935</v>
      </c>
      <c r="E283" s="16" t="s">
        <v>521</v>
      </c>
      <c r="F283" s="16" t="s">
        <v>320</v>
      </c>
      <c r="G283" s="17">
        <v>25109</v>
      </c>
      <c r="H283" s="17">
        <v>30504</v>
      </c>
      <c r="I283" s="17" t="s">
        <v>585</v>
      </c>
      <c r="J283" s="18" t="s">
        <v>581</v>
      </c>
      <c r="K283" s="18" t="s">
        <v>519</v>
      </c>
      <c r="L283" s="18" t="s">
        <v>587</v>
      </c>
      <c r="M283" s="18" t="s">
        <v>598</v>
      </c>
      <c r="N283" s="109">
        <v>37759</v>
      </c>
      <c r="O283" s="109">
        <v>29841</v>
      </c>
      <c r="P283" s="109">
        <v>26112</v>
      </c>
      <c r="Q283" s="10">
        <v>19966</v>
      </c>
      <c r="R283" s="12">
        <v>0.79030164993776297</v>
      </c>
      <c r="S283" s="12">
        <v>0.69154373791678803</v>
      </c>
      <c r="T283" s="12">
        <v>0.52877459678487204</v>
      </c>
      <c r="U283" s="12">
        <v>9.87579120209751E-2</v>
      </c>
      <c r="V283" s="12">
        <v>0.16276914113191601</v>
      </c>
      <c r="W283" s="12">
        <v>0.14176752562302999</v>
      </c>
      <c r="X283" s="12">
        <v>0.38700707116184202</v>
      </c>
      <c r="Y283" s="13">
        <v>157947</v>
      </c>
      <c r="Z283" s="13">
        <v>219733</v>
      </c>
      <c r="AA283" s="13">
        <v>2962295</v>
      </c>
      <c r="AB283" s="11">
        <v>95342</v>
      </c>
      <c r="AC283" s="11">
        <v>100333</v>
      </c>
      <c r="AD283" s="12">
        <v>5.2348387908791497E-2</v>
      </c>
      <c r="AE283" s="12">
        <v>0.80501285726952998</v>
      </c>
      <c r="AF283" s="12">
        <v>9.27398208554467E-2</v>
      </c>
      <c r="AG283" s="12">
        <v>0.20242914979757101</v>
      </c>
      <c r="AH283" s="12">
        <v>3.3416542552075698E-2</v>
      </c>
      <c r="AI283" s="12">
        <v>0.26387111661177698</v>
      </c>
      <c r="AJ283" s="5">
        <v>112024</v>
      </c>
      <c r="AK283" s="5">
        <v>87375</v>
      </c>
      <c r="AL283" s="5">
        <v>77398</v>
      </c>
      <c r="AM283" s="5">
        <v>59649</v>
      </c>
      <c r="AN283" s="6">
        <v>0.77996679283010795</v>
      </c>
      <c r="AO283" s="6">
        <v>0.69090552024566199</v>
      </c>
      <c r="AP283" s="6">
        <v>0.53246625723059304</v>
      </c>
      <c r="AQ283" s="41">
        <v>8.9061272584446197E-2</v>
      </c>
      <c r="AR283" s="41">
        <v>0.158439263015068</v>
      </c>
      <c r="AS283" s="8">
        <v>0.13819360137113501</v>
      </c>
      <c r="AT283" s="116">
        <v>0.39427265585945898</v>
      </c>
      <c r="AU283" s="64">
        <v>159315</v>
      </c>
      <c r="AV283" s="7">
        <v>221096</v>
      </c>
      <c r="AW283" s="7">
        <v>2995145</v>
      </c>
      <c r="AX283" s="5">
        <v>296251</v>
      </c>
      <c r="AY283" s="5">
        <v>305232</v>
      </c>
      <c r="AZ283" s="6">
        <v>3.0315509483512301E-2</v>
      </c>
      <c r="BA283" s="6">
        <v>0.76885970010461502</v>
      </c>
      <c r="BB283" s="6">
        <v>0.132340481551117</v>
      </c>
      <c r="BC283" s="6">
        <v>0.16859352373494099</v>
      </c>
      <c r="BD283" s="6">
        <v>4.1846272248869998E-2</v>
      </c>
      <c r="BE283" s="6">
        <v>0.26008013475059999</v>
      </c>
      <c r="BF283" s="11">
        <v>284734</v>
      </c>
      <c r="BG283" s="11">
        <v>208830</v>
      </c>
      <c r="BH283" s="11">
        <v>181750</v>
      </c>
      <c r="BI283" s="11">
        <v>134708</v>
      </c>
      <c r="BJ283" s="12">
        <v>0.733421368716065</v>
      </c>
      <c r="BK283" s="12">
        <v>0.638315058967317</v>
      </c>
      <c r="BL283" s="12">
        <v>0.473101210252376</v>
      </c>
      <c r="BM283" s="12">
        <v>9.5106309748747994E-2</v>
      </c>
      <c r="BN283" s="12">
        <v>0.16521384871494099</v>
      </c>
      <c r="BO283" s="12">
        <v>0.135234991254996</v>
      </c>
      <c r="BP283" s="12">
        <v>0.33786621899738001</v>
      </c>
      <c r="BQ283" s="13">
        <v>139183</v>
      </c>
      <c r="BR283" s="13">
        <v>198499</v>
      </c>
      <c r="BS283" s="13">
        <v>2338919</v>
      </c>
      <c r="BT283" s="11">
        <v>693985</v>
      </c>
      <c r="BU283" s="11">
        <v>719054</v>
      </c>
      <c r="BV283" s="40">
        <v>3.6123259148252498E-2</v>
      </c>
      <c r="BW283" s="40">
        <v>0.76166735300114696</v>
      </c>
      <c r="BX283" s="14">
        <v>0.150864932239169</v>
      </c>
      <c r="BY283" s="127">
        <v>0.152867857374439</v>
      </c>
      <c r="BZ283" s="67">
        <v>5.5302348033458897E-2</v>
      </c>
      <c r="CA283" s="12">
        <v>0.242016758287283</v>
      </c>
      <c r="CB283" s="86">
        <f t="shared" si="58"/>
        <v>33304659.378445409</v>
      </c>
      <c r="CC283" s="83">
        <v>26623825.4757789</v>
      </c>
      <c r="CD283" s="83">
        <v>293931.84000000003</v>
      </c>
      <c r="CE283" s="83">
        <v>4623711.6273331698</v>
      </c>
      <c r="CF283" s="83">
        <v>1763190.43533334</v>
      </c>
      <c r="CG283" s="90">
        <f t="shared" si="59"/>
        <v>0.79940242514564475</v>
      </c>
      <c r="CH283" s="90">
        <f t="shared" si="56"/>
        <v>8.8255471001823568E-3</v>
      </c>
      <c r="CI283" s="90">
        <f t="shared" si="43"/>
        <v>0.13883077364020754</v>
      </c>
      <c r="CK283" s="86">
        <f t="shared" si="54"/>
        <v>32626920</v>
      </c>
      <c r="CL283" s="83">
        <v>26043956</v>
      </c>
      <c r="CM283" s="83">
        <v>309036</v>
      </c>
      <c r="CN283" s="83">
        <v>4608633</v>
      </c>
      <c r="CO283" s="83">
        <v>1665295</v>
      </c>
      <c r="CP283" s="90">
        <f t="shared" si="55"/>
        <v>0.79823519964495571</v>
      </c>
      <c r="CQ283" s="90">
        <f t="shared" si="55"/>
        <v>9.4718103946066622E-3</v>
      </c>
      <c r="CR283" s="90">
        <f t="shared" si="52"/>
        <v>0.14125246882022574</v>
      </c>
    </row>
    <row r="284" spans="1:97" ht="37.5" thickTop="1" thickBot="1" x14ac:dyDescent="0.3">
      <c r="A284" s="3" t="s">
        <v>297</v>
      </c>
      <c r="B284" s="3">
        <v>1115</v>
      </c>
      <c r="C284" s="3" t="s">
        <v>181</v>
      </c>
      <c r="D284" s="16">
        <v>42409</v>
      </c>
      <c r="E284" s="16" t="s">
        <v>555</v>
      </c>
      <c r="F284" s="16" t="s">
        <v>449</v>
      </c>
      <c r="G284" s="17">
        <v>17345</v>
      </c>
      <c r="H284" s="17">
        <v>21372</v>
      </c>
      <c r="I284" s="17" t="s">
        <v>584</v>
      </c>
      <c r="J284" s="18"/>
      <c r="K284" s="18" t="s">
        <v>598</v>
      </c>
      <c r="L284" s="18" t="s">
        <v>519</v>
      </c>
      <c r="M284" s="18" t="s">
        <v>519</v>
      </c>
      <c r="N284" s="10">
        <v>28252</v>
      </c>
      <c r="O284" s="11">
        <v>21830</v>
      </c>
      <c r="P284" s="11">
        <v>18443</v>
      </c>
      <c r="Q284" s="11">
        <v>12433</v>
      </c>
      <c r="R284" s="12">
        <v>0.77268865920996699</v>
      </c>
      <c r="S284" s="12">
        <v>0.65280334135636398</v>
      </c>
      <c r="T284" s="12">
        <v>0.44007503893529698</v>
      </c>
      <c r="U284" s="12">
        <v>0.119885317853603</v>
      </c>
      <c r="V284" s="12">
        <v>0.21272830242106799</v>
      </c>
      <c r="W284" s="12">
        <v>0.17329746566614801</v>
      </c>
      <c r="X284" s="12">
        <v>0.26677757326914903</v>
      </c>
      <c r="Y284" s="13">
        <v>131538</v>
      </c>
      <c r="Z284" s="13">
        <v>162501</v>
      </c>
      <c r="AA284" s="13">
        <v>1824522</v>
      </c>
      <c r="AB284" s="11">
        <v>86527</v>
      </c>
      <c r="AC284" s="11">
        <v>89374</v>
      </c>
      <c r="AD284" s="12">
        <v>3.29030244894657E-2</v>
      </c>
      <c r="AE284" s="12">
        <v>0.52965650379443496</v>
      </c>
      <c r="AF284" s="12">
        <v>0.17919262195615199</v>
      </c>
      <c r="AG284" s="12">
        <v>0.53212292116911497</v>
      </c>
      <c r="AH284" s="12">
        <v>2.6650640840431301E-2</v>
      </c>
      <c r="AI284" s="12">
        <v>0.24548406855663499</v>
      </c>
      <c r="AJ284" s="5">
        <v>75469</v>
      </c>
      <c r="AK284" s="5">
        <v>58352</v>
      </c>
      <c r="AL284" s="5">
        <v>50142</v>
      </c>
      <c r="AM284" s="108">
        <v>34900</v>
      </c>
      <c r="AN284" s="41">
        <v>0.77319164160118703</v>
      </c>
      <c r="AO284" s="8">
        <v>0.66440525248777604</v>
      </c>
      <c r="AP284" s="116">
        <v>0.46244153228477902</v>
      </c>
      <c r="AQ284" s="63">
        <v>0.108786389113411</v>
      </c>
      <c r="AR284" s="6">
        <v>0.20196372020299699</v>
      </c>
      <c r="AS284" s="6">
        <v>0.16989757383826501</v>
      </c>
      <c r="AT284" s="6">
        <v>0.29254395844651399</v>
      </c>
      <c r="AU284" s="7">
        <v>137450</v>
      </c>
      <c r="AV284" s="7">
        <v>170324</v>
      </c>
      <c r="AW284" s="7">
        <v>1906279</v>
      </c>
      <c r="AX284" s="5">
        <v>232454</v>
      </c>
      <c r="AY284" s="5">
        <v>240579</v>
      </c>
      <c r="AZ284" s="6">
        <v>3.4953152021475198E-2</v>
      </c>
      <c r="BA284" s="6">
        <v>0.54534035580815499</v>
      </c>
      <c r="BB284" s="6">
        <v>0.179222555860514</v>
      </c>
      <c r="BC284" s="6">
        <v>0.53973689418121396</v>
      </c>
      <c r="BD284" s="6">
        <v>2.5673896770974002E-2</v>
      </c>
      <c r="BE284" s="6">
        <v>0.24240925086253601</v>
      </c>
      <c r="BF284" s="11">
        <v>120464</v>
      </c>
      <c r="BG284" s="11">
        <v>92566</v>
      </c>
      <c r="BH284" s="11">
        <v>80081</v>
      </c>
      <c r="BI284" s="11">
        <v>56927</v>
      </c>
      <c r="BJ284" s="12">
        <v>0.768412139726391</v>
      </c>
      <c r="BK284" s="12">
        <v>0.66477121795723204</v>
      </c>
      <c r="BL284" s="12">
        <v>0.47256441758533702</v>
      </c>
      <c r="BM284" s="12">
        <v>0.103640921769159</v>
      </c>
      <c r="BN284" s="12">
        <v>0.192206800371895</v>
      </c>
      <c r="BO284" s="12">
        <v>0.16870600345331399</v>
      </c>
      <c r="BP284" s="12">
        <v>0.30385841413202302</v>
      </c>
      <c r="BQ284" s="13">
        <v>140275</v>
      </c>
      <c r="BR284" s="115">
        <v>171118</v>
      </c>
      <c r="BS284" s="115">
        <v>1838764</v>
      </c>
      <c r="BT284" s="112">
        <v>371662</v>
      </c>
      <c r="BU284" s="111">
        <v>386465</v>
      </c>
      <c r="BV284" s="67">
        <v>3.9829199649143603E-2</v>
      </c>
      <c r="BW284" s="12">
        <v>0.54602627410789195</v>
      </c>
      <c r="BX284" s="12">
        <v>0.168986875171527</v>
      </c>
      <c r="BY284" s="12">
        <v>0.56294697870645904</v>
      </c>
      <c r="BZ284" s="12">
        <v>2.7788689723458399E-2</v>
      </c>
      <c r="CA284" s="12">
        <v>0.23608816612944</v>
      </c>
      <c r="CB284" s="86">
        <f t="shared" si="58"/>
        <v>16214470.339999486</v>
      </c>
      <c r="CC284" s="83">
        <v>4379939.1399998898</v>
      </c>
      <c r="CD284" s="83">
        <v>9002484.6999996006</v>
      </c>
      <c r="CE284" s="83">
        <v>2007016.8999999899</v>
      </c>
      <c r="CF284" s="83">
        <v>825029.60000000801</v>
      </c>
      <c r="CG284" s="90">
        <f t="shared" si="59"/>
        <v>0.27012532929891736</v>
      </c>
      <c r="CH284" s="90">
        <f t="shared" si="56"/>
        <v>0.55521299871210505</v>
      </c>
      <c r="CI284" s="90">
        <f t="shared" si="43"/>
        <v>0.12377936854643218</v>
      </c>
      <c r="CK284" s="86">
        <f t="shared" si="54"/>
        <v>15418624</v>
      </c>
      <c r="CL284" s="83">
        <v>4046395</v>
      </c>
      <c r="CM284" s="83">
        <v>8683344</v>
      </c>
      <c r="CN284" s="83">
        <v>1916649</v>
      </c>
      <c r="CO284" s="83">
        <v>772236</v>
      </c>
      <c r="CP284" s="90">
        <f t="shared" si="55"/>
        <v>0.26243554548058246</v>
      </c>
      <c r="CQ284" s="90">
        <f t="shared" si="55"/>
        <v>0.56317243354530211</v>
      </c>
      <c r="CR284" s="90">
        <f t="shared" si="52"/>
        <v>0.12430739604260406</v>
      </c>
    </row>
    <row r="285" spans="1:97" ht="37.5" thickTop="1" thickBot="1" x14ac:dyDescent="0.3">
      <c r="A285" s="3" t="s">
        <v>297</v>
      </c>
      <c r="B285" s="3">
        <v>1127</v>
      </c>
      <c r="C285" s="3" t="s">
        <v>193</v>
      </c>
      <c r="D285" s="16">
        <v>43580</v>
      </c>
      <c r="E285" s="16" t="s">
        <v>555</v>
      </c>
      <c r="F285" s="16" t="s">
        <v>461</v>
      </c>
      <c r="G285" s="17">
        <v>20721</v>
      </c>
      <c r="H285" s="17">
        <v>25653</v>
      </c>
      <c r="I285" s="17" t="s">
        <v>585</v>
      </c>
      <c r="J285" s="18"/>
      <c r="K285" s="18" t="s">
        <v>519</v>
      </c>
      <c r="L285" s="18" t="s">
        <v>519</v>
      </c>
      <c r="M285" s="18" t="s">
        <v>519</v>
      </c>
      <c r="N285" s="10">
        <v>95255</v>
      </c>
      <c r="O285" s="11">
        <v>69029</v>
      </c>
      <c r="P285" s="11">
        <v>60834</v>
      </c>
      <c r="Q285" s="11">
        <v>46585</v>
      </c>
      <c r="R285" s="12">
        <v>0.72467587003306899</v>
      </c>
      <c r="S285" s="12">
        <v>0.63864364075376601</v>
      </c>
      <c r="T285" s="12">
        <v>0.489055692614561</v>
      </c>
      <c r="U285" s="12">
        <v>8.6032229279302902E-2</v>
      </c>
      <c r="V285" s="12">
        <v>0.14958794813920501</v>
      </c>
      <c r="W285" s="12">
        <v>0.135856385491575</v>
      </c>
      <c r="X285" s="12">
        <v>0.35319930712298597</v>
      </c>
      <c r="Y285" s="13">
        <v>145040</v>
      </c>
      <c r="Z285" s="13">
        <v>181149</v>
      </c>
      <c r="AA285" s="13">
        <v>1661596</v>
      </c>
      <c r="AB285" s="11">
        <v>259356</v>
      </c>
      <c r="AC285" s="11">
        <v>266115</v>
      </c>
      <c r="AD285" s="12">
        <v>2.6060704205802102E-2</v>
      </c>
      <c r="AE285" s="12">
        <v>0.66291656871634697</v>
      </c>
      <c r="AF285" s="12">
        <v>0.13876679159148</v>
      </c>
      <c r="AG285" s="12">
        <v>0.51231897469115795</v>
      </c>
      <c r="AH285" s="12">
        <v>2.23438054257468E-2</v>
      </c>
      <c r="AI285" s="12">
        <v>0.23752294143956601</v>
      </c>
      <c r="AJ285" s="5">
        <v>202687</v>
      </c>
      <c r="AK285" s="5">
        <v>144759</v>
      </c>
      <c r="AL285" s="5">
        <v>127178</v>
      </c>
      <c r="AM285" s="108">
        <v>97180</v>
      </c>
      <c r="AN285" s="41">
        <v>0.71419972667216003</v>
      </c>
      <c r="AO285" s="8">
        <v>0.62746007390705905</v>
      </c>
      <c r="AP285" s="116">
        <v>0.479458475383226</v>
      </c>
      <c r="AQ285" s="63">
        <v>8.67396527651009E-2</v>
      </c>
      <c r="AR285" s="6">
        <v>0.14800159852383199</v>
      </c>
      <c r="AS285" s="6">
        <v>0.13163153038922101</v>
      </c>
      <c r="AT285" s="6">
        <v>0.34782694499400602</v>
      </c>
      <c r="AU285" s="7">
        <v>140808</v>
      </c>
      <c r="AV285" s="7">
        <v>181548</v>
      </c>
      <c r="AW285" s="7">
        <v>1727026</v>
      </c>
      <c r="AX285" s="5">
        <v>541413</v>
      </c>
      <c r="AY285" s="5">
        <v>562931</v>
      </c>
      <c r="AZ285" s="6">
        <v>3.9744150953154103E-2</v>
      </c>
      <c r="BA285" s="6">
        <v>0.64377877109880599</v>
      </c>
      <c r="BB285" s="6">
        <v>0.171872489208793</v>
      </c>
      <c r="BC285" s="6">
        <v>0.43373542933028902</v>
      </c>
      <c r="BD285" s="6">
        <v>2.4330778906306302E-2</v>
      </c>
      <c r="BE285" s="6">
        <v>0.23830236806282801</v>
      </c>
      <c r="BF285" s="11">
        <v>333305</v>
      </c>
      <c r="BG285" s="11">
        <v>238870</v>
      </c>
      <c r="BH285" s="11">
        <v>211207</v>
      </c>
      <c r="BI285" s="11">
        <v>161598</v>
      </c>
      <c r="BJ285" s="12">
        <v>0.71667091702794705</v>
      </c>
      <c r="BK285" s="12">
        <v>0.63367486236330095</v>
      </c>
      <c r="BL285" s="12">
        <v>0.48483521099293397</v>
      </c>
      <c r="BM285" s="12">
        <v>8.2996054664646504E-2</v>
      </c>
      <c r="BN285" s="12">
        <v>0.14883965137036601</v>
      </c>
      <c r="BO285" s="12">
        <v>0.132842291594786</v>
      </c>
      <c r="BP285" s="12">
        <v>0.35199291939814897</v>
      </c>
      <c r="BQ285" s="13">
        <v>143165</v>
      </c>
      <c r="BR285" s="115">
        <v>184242</v>
      </c>
      <c r="BS285" s="115">
        <v>1723885</v>
      </c>
      <c r="BT285" s="112">
        <v>881701</v>
      </c>
      <c r="BU285" s="111">
        <v>919275</v>
      </c>
      <c r="BV285" s="67">
        <v>4.2615353731026699E-2</v>
      </c>
      <c r="BW285" s="12">
        <v>0.63306030400952795</v>
      </c>
      <c r="BX285" s="12">
        <v>0.19433231900610301</v>
      </c>
      <c r="BY285" s="12">
        <v>0.39137530750220301</v>
      </c>
      <c r="BZ285" s="12">
        <v>2.5320375047777E-2</v>
      </c>
      <c r="CA285" s="12">
        <v>0.23504793575146199</v>
      </c>
      <c r="CB285" s="86">
        <f t="shared" si="58"/>
        <v>22550626.469999168</v>
      </c>
      <c r="CC285" s="83">
        <v>8446607.6699997205</v>
      </c>
      <c r="CD285" s="83">
        <v>10134651.1899995</v>
      </c>
      <c r="CE285" s="83">
        <v>2842515.3999999398</v>
      </c>
      <c r="CF285" s="83">
        <v>1126852.21000001</v>
      </c>
      <c r="CG285" s="90">
        <f t="shared" si="59"/>
        <v>0.37456199637011822</v>
      </c>
      <c r="CH285" s="90">
        <f t="shared" si="56"/>
        <v>0.4494177225400991</v>
      </c>
      <c r="CI285" s="90">
        <f t="shared" si="43"/>
        <v>0.12605039615114713</v>
      </c>
      <c r="CK285" s="86">
        <f t="shared" si="54"/>
        <v>22923353</v>
      </c>
      <c r="CL285" s="83">
        <v>8473259</v>
      </c>
      <c r="CM285" s="83">
        <v>10484141</v>
      </c>
      <c r="CN285" s="83">
        <v>2823496</v>
      </c>
      <c r="CO285" s="83">
        <v>1142457</v>
      </c>
      <c r="CP285" s="90">
        <f t="shared" si="55"/>
        <v>0.36963436369888819</v>
      </c>
      <c r="CQ285" s="90">
        <f t="shared" si="55"/>
        <v>0.45735634747674131</v>
      </c>
      <c r="CR285" s="90">
        <f t="shared" si="52"/>
        <v>0.12317116086813304</v>
      </c>
    </row>
    <row r="286" spans="1:97" ht="25.5" thickTop="1" thickBot="1" x14ac:dyDescent="0.3">
      <c r="A286" s="3" t="s">
        <v>291</v>
      </c>
      <c r="B286" s="3" t="s">
        <v>628</v>
      </c>
      <c r="C286" s="3" t="s">
        <v>628</v>
      </c>
      <c r="D286" s="16" t="str">
        <f>"2025"</f>
        <v>2025</v>
      </c>
      <c r="E286" s="39" t="s">
        <v>529</v>
      </c>
      <c r="F286" s="16" t="s">
        <v>629</v>
      </c>
      <c r="G286" s="17">
        <v>17822</v>
      </c>
      <c r="H286" s="17">
        <v>23000</v>
      </c>
      <c r="I286" s="17" t="s">
        <v>584</v>
      </c>
      <c r="J286" s="18"/>
      <c r="K286" s="18"/>
      <c r="L286" s="18"/>
      <c r="M286" s="18" t="s">
        <v>598</v>
      </c>
      <c r="N286" s="121">
        <v>14042</v>
      </c>
      <c r="O286" s="118">
        <v>8947</v>
      </c>
      <c r="P286" s="137">
        <v>7164</v>
      </c>
      <c r="Q286" s="138">
        <v>4532</v>
      </c>
      <c r="R286" s="135">
        <v>0.63715994872525294</v>
      </c>
      <c r="S286" s="135">
        <v>0.51018373451075305</v>
      </c>
      <c r="T286" s="135">
        <v>0.32274604757157099</v>
      </c>
      <c r="U286" s="135">
        <v>0.12697621421449901</v>
      </c>
      <c r="V286" s="135">
        <v>0.187437686939182</v>
      </c>
      <c r="W286" s="135">
        <v>0.16343825665859599</v>
      </c>
      <c r="X286" s="135">
        <v>0.15930779091297501</v>
      </c>
      <c r="Y286" s="139">
        <v>101795</v>
      </c>
      <c r="Z286" s="139">
        <v>138250</v>
      </c>
      <c r="AA286" s="139">
        <v>1689151</v>
      </c>
      <c r="AB286" s="138">
        <v>37675</v>
      </c>
      <c r="AC286" s="138">
        <v>40623</v>
      </c>
      <c r="AD286" s="135">
        <v>7.8248175182481797E-2</v>
      </c>
      <c r="AE286" s="135">
        <v>0.45288988347866299</v>
      </c>
      <c r="AF286" s="135">
        <v>0.210404777704048</v>
      </c>
      <c r="AG286" s="135">
        <v>3.53284671532847E-2</v>
      </c>
      <c r="AH286" s="135">
        <v>8.6741871267418696E-2</v>
      </c>
      <c r="AI286" s="135">
        <v>0.25093563370935601</v>
      </c>
      <c r="AJ286" s="142">
        <v>33784</v>
      </c>
      <c r="AK286" s="142">
        <v>23154</v>
      </c>
      <c r="AL286" s="142">
        <v>18628</v>
      </c>
      <c r="AM286" s="142">
        <v>11321</v>
      </c>
      <c r="AN286" s="143">
        <v>0.68535401373431204</v>
      </c>
      <c r="AO286" s="143">
        <v>0.55138527113426505</v>
      </c>
      <c r="AP286" s="143">
        <v>0.33509945536348601</v>
      </c>
      <c r="AQ286" s="145">
        <v>0.13396874260004701</v>
      </c>
      <c r="AR286" s="145">
        <v>0.21628581577077899</v>
      </c>
      <c r="AS286" s="146">
        <v>0.16679493251243199</v>
      </c>
      <c r="AT286" s="95">
        <v>0.16830452285105399</v>
      </c>
      <c r="AU286" s="126">
        <v>108293</v>
      </c>
      <c r="AV286" s="144">
        <v>142626</v>
      </c>
      <c r="AW286" s="144">
        <v>1748769</v>
      </c>
      <c r="AX286" s="142">
        <v>97204</v>
      </c>
      <c r="AY286" s="142">
        <v>103085</v>
      </c>
      <c r="AZ286" s="143">
        <v>6.0501625447512399E-2</v>
      </c>
      <c r="BA286" s="143">
        <v>0.44832314982705801</v>
      </c>
      <c r="BB286" s="143">
        <v>0.192049709888482</v>
      </c>
      <c r="BC286" s="143">
        <v>4.1963293691617602E-2</v>
      </c>
      <c r="BD286" s="143">
        <v>0.102917575408419</v>
      </c>
      <c r="BE286" s="143">
        <v>0.24801448500061701</v>
      </c>
      <c r="BF286" s="138">
        <v>54364</v>
      </c>
      <c r="BG286" s="138">
        <v>36918</v>
      </c>
      <c r="BH286" s="138">
        <v>29646</v>
      </c>
      <c r="BI286" s="138">
        <v>17571</v>
      </c>
      <c r="BJ286" s="135">
        <v>0.67908910308292203</v>
      </c>
      <c r="BK286" s="135">
        <v>0.54532411154440397</v>
      </c>
      <c r="BL286" s="135">
        <v>0.32321021264071798</v>
      </c>
      <c r="BM286" s="135">
        <v>0.13376499153851801</v>
      </c>
      <c r="BN286" s="135">
        <v>0.22211389890368599</v>
      </c>
      <c r="BO286" s="135">
        <v>0.155544110072842</v>
      </c>
      <c r="BP286" s="135">
        <v>0.16766610256787601</v>
      </c>
      <c r="BQ286" s="139">
        <v>106956</v>
      </c>
      <c r="BR286" s="139">
        <v>140973</v>
      </c>
      <c r="BS286" s="139">
        <v>1645406</v>
      </c>
      <c r="BT286" s="138">
        <v>157834</v>
      </c>
      <c r="BU286" s="138">
        <v>172625</v>
      </c>
      <c r="BV286" s="140">
        <v>9.3712381362697494E-2</v>
      </c>
      <c r="BW286" s="140">
        <v>0.42601973060140402</v>
      </c>
      <c r="BX286" s="136">
        <v>0.20836448420492401</v>
      </c>
      <c r="BY286" s="96">
        <v>4.5547854074534003E-2</v>
      </c>
      <c r="BZ286" s="97">
        <v>0.12503009490984199</v>
      </c>
      <c r="CA286" s="135">
        <v>0.24029676748989401</v>
      </c>
      <c r="CB286" s="86" t="str">
        <f t="shared" si="58"/>
        <v/>
      </c>
      <c r="CC286" s="83" t="s">
        <v>598</v>
      </c>
      <c r="CD286" s="83" t="s">
        <v>598</v>
      </c>
      <c r="CE286" s="83" t="s">
        <v>598</v>
      </c>
      <c r="CF286" s="83" t="s">
        <v>598</v>
      </c>
      <c r="CG286" s="90" t="str">
        <f t="shared" si="59"/>
        <v/>
      </c>
      <c r="CH286" s="90" t="str">
        <f t="shared" si="56"/>
        <v/>
      </c>
      <c r="CI286" s="90" t="str">
        <f t="shared" si="43"/>
        <v/>
      </c>
      <c r="CK286" s="86" t="str">
        <f t="shared" si="54"/>
        <v/>
      </c>
      <c r="CL286" s="83" t="s">
        <v>598</v>
      </c>
      <c r="CM286" s="83" t="s">
        <v>598</v>
      </c>
      <c r="CN286" s="83" t="s">
        <v>598</v>
      </c>
      <c r="CO286" s="83" t="s">
        <v>598</v>
      </c>
      <c r="CP286" s="90" t="str">
        <f t="shared" si="55"/>
        <v/>
      </c>
      <c r="CQ286" s="90" t="str">
        <f t="shared" si="55"/>
        <v/>
      </c>
      <c r="CR286" s="90" t="str">
        <f t="shared" si="52"/>
        <v/>
      </c>
    </row>
    <row r="287" spans="1:97" ht="49.5" thickTop="1" thickBot="1" x14ac:dyDescent="0.3">
      <c r="A287" s="3" t="s">
        <v>297</v>
      </c>
      <c r="B287" s="3">
        <v>1128</v>
      </c>
      <c r="C287" s="3" t="s">
        <v>194</v>
      </c>
      <c r="D287" s="16">
        <v>43181</v>
      </c>
      <c r="E287" s="16" t="s">
        <v>555</v>
      </c>
      <c r="F287" s="16" t="s">
        <v>462</v>
      </c>
      <c r="G287" s="17">
        <v>21223</v>
      </c>
      <c r="H287" s="17">
        <v>27000</v>
      </c>
      <c r="I287" s="17" t="s">
        <v>585</v>
      </c>
      <c r="J287" s="18"/>
      <c r="K287" s="18" t="s">
        <v>519</v>
      </c>
      <c r="L287" s="18" t="s">
        <v>519</v>
      </c>
      <c r="M287" s="18" t="s">
        <v>598</v>
      </c>
      <c r="N287" s="109">
        <v>58136</v>
      </c>
      <c r="O287" s="109">
        <v>43066</v>
      </c>
      <c r="P287" s="109">
        <v>38506</v>
      </c>
      <c r="Q287" s="109">
        <v>28653</v>
      </c>
      <c r="R287" s="132">
        <v>0.74078023943855797</v>
      </c>
      <c r="S287" s="132">
        <v>0.66234347048300501</v>
      </c>
      <c r="T287" s="132">
        <v>0.49286156598321201</v>
      </c>
      <c r="U287" s="132">
        <v>7.8436768955552502E-2</v>
      </c>
      <c r="V287" s="132">
        <v>0.169481904499794</v>
      </c>
      <c r="W287" s="132">
        <v>0.142596669877529</v>
      </c>
      <c r="X287" s="132">
        <v>0.35026489610568301</v>
      </c>
      <c r="Y287" s="125">
        <v>147073</v>
      </c>
      <c r="Z287" s="125">
        <v>183647</v>
      </c>
      <c r="AA287" s="125">
        <v>1938619</v>
      </c>
      <c r="AB287" s="109">
        <v>148409</v>
      </c>
      <c r="AC287" s="109">
        <v>151548</v>
      </c>
      <c r="AD287" s="132">
        <v>2.1151008362026599E-2</v>
      </c>
      <c r="AE287" s="132">
        <v>0.61805206743937002</v>
      </c>
      <c r="AF287" s="132">
        <v>0.18710455565363299</v>
      </c>
      <c r="AG287" s="132">
        <v>0.33786360665458298</v>
      </c>
      <c r="AH287" s="132">
        <v>1.81323235113773E-2</v>
      </c>
      <c r="AI287" s="132">
        <v>0.24905497645021499</v>
      </c>
      <c r="AJ287" s="134">
        <v>91054</v>
      </c>
      <c r="AK287" s="134">
        <v>68796</v>
      </c>
      <c r="AL287" s="134">
        <v>61938</v>
      </c>
      <c r="AM287" s="134">
        <v>47369</v>
      </c>
      <c r="AN287" s="124">
        <v>0.75555165066883401</v>
      </c>
      <c r="AO287" s="124">
        <v>0.68023370747029199</v>
      </c>
      <c r="AP287" s="124">
        <v>0.52022975377248704</v>
      </c>
      <c r="AQ287" s="124">
        <v>7.5317943198541501E-2</v>
      </c>
      <c r="AR287" s="124">
        <v>0.16000395369780601</v>
      </c>
      <c r="AS287" s="124">
        <v>0.137412963735805</v>
      </c>
      <c r="AT287" s="124">
        <v>0.38281679003668201</v>
      </c>
      <c r="AU287" s="119">
        <v>155687</v>
      </c>
      <c r="AV287" s="119">
        <v>199110</v>
      </c>
      <c r="AW287" s="119">
        <v>2320557</v>
      </c>
      <c r="AX287" s="134">
        <v>228018</v>
      </c>
      <c r="AY287" s="134">
        <v>232031</v>
      </c>
      <c r="AZ287" s="124">
        <v>1.7599487759738301E-2</v>
      </c>
      <c r="BA287" s="124">
        <v>0.64710459041902901</v>
      </c>
      <c r="BB287" s="124">
        <v>0.162908191458569</v>
      </c>
      <c r="BC287" s="124">
        <v>0.30181389188572799</v>
      </c>
      <c r="BD287" s="124">
        <v>1.53365085212571E-2</v>
      </c>
      <c r="BE287" s="124">
        <v>0.261220605390802</v>
      </c>
      <c r="BF287" s="109">
        <v>123243</v>
      </c>
      <c r="BG287" s="109">
        <v>90662</v>
      </c>
      <c r="BH287" s="109">
        <v>81488</v>
      </c>
      <c r="BI287" s="109">
        <v>62593</v>
      </c>
      <c r="BJ287" s="132">
        <v>0.73563610103616395</v>
      </c>
      <c r="BK287" s="132">
        <v>0.66119779622372099</v>
      </c>
      <c r="BL287" s="132">
        <v>0.50788280064587799</v>
      </c>
      <c r="BM287" s="132">
        <v>7.4438304812443706E-2</v>
      </c>
      <c r="BN287" s="132">
        <v>0.15331499557784201</v>
      </c>
      <c r="BO287" s="132">
        <v>0.13131780303952401</v>
      </c>
      <c r="BP287" s="132">
        <v>0.37656499760635498</v>
      </c>
      <c r="BQ287" s="125">
        <v>152272</v>
      </c>
      <c r="BR287" s="125">
        <v>195933</v>
      </c>
      <c r="BS287" s="125">
        <v>2286178</v>
      </c>
      <c r="BT287" s="109">
        <v>317784</v>
      </c>
      <c r="BU287" s="109">
        <v>325255</v>
      </c>
      <c r="BV287" s="132">
        <v>2.3509679530750401E-2</v>
      </c>
      <c r="BW287" s="132">
        <v>0.61805695007831596</v>
      </c>
      <c r="BX287" s="132">
        <v>0.209006746721043</v>
      </c>
      <c r="BY287" s="132">
        <v>0.26791468418800202</v>
      </c>
      <c r="BZ287" s="132">
        <v>1.6706316239961699E-2</v>
      </c>
      <c r="CA287" s="132">
        <v>0.25921695239533799</v>
      </c>
      <c r="CB287" s="86">
        <f t="shared" si="58"/>
        <v>22005990.775165901</v>
      </c>
      <c r="CC287" s="83">
        <v>8824279.4843330607</v>
      </c>
      <c r="CD287" s="83">
        <v>9124156.8599995598</v>
      </c>
      <c r="CE287" s="83">
        <v>2953895.4608332701</v>
      </c>
      <c r="CF287" s="83">
        <v>1103658.97000001</v>
      </c>
      <c r="CG287" s="90">
        <f t="shared" si="59"/>
        <v>0.40099441895119742</v>
      </c>
      <c r="CH287" s="90">
        <f t="shared" si="56"/>
        <v>0.4146214979920973</v>
      </c>
      <c r="CI287" s="90">
        <f t="shared" si="43"/>
        <v>0.13423142320711989</v>
      </c>
      <c r="CK287" s="86">
        <f t="shared" si="54"/>
        <v>21640682</v>
      </c>
      <c r="CL287" s="83">
        <v>8511849</v>
      </c>
      <c r="CM287" s="83">
        <v>9112628</v>
      </c>
      <c r="CN287" s="83">
        <v>2944259</v>
      </c>
      <c r="CO287" s="83">
        <v>1071946</v>
      </c>
      <c r="CP287" s="90">
        <f t="shared" si="55"/>
        <v>0.39332628241568357</v>
      </c>
      <c r="CQ287" s="90">
        <f t="shared" si="55"/>
        <v>0.42108783817441614</v>
      </c>
      <c r="CR287" s="90">
        <f t="shared" si="52"/>
        <v>0.13605204309180274</v>
      </c>
    </row>
    <row r="288" spans="1:97" ht="49.5" thickTop="1" thickBot="1" x14ac:dyDescent="0.3">
      <c r="A288" s="3" t="s">
        <v>288</v>
      </c>
      <c r="B288" s="3">
        <v>218</v>
      </c>
      <c r="C288" s="3" t="s">
        <v>44</v>
      </c>
      <c r="D288" s="16">
        <v>42586</v>
      </c>
      <c r="E288" s="16" t="s">
        <v>521</v>
      </c>
      <c r="F288" s="16" t="s">
        <v>331</v>
      </c>
      <c r="G288" s="17">
        <v>10360</v>
      </c>
      <c r="H288" s="17">
        <v>13090</v>
      </c>
      <c r="I288" s="17" t="s">
        <v>584</v>
      </c>
      <c r="J288" s="18"/>
      <c r="K288" s="18" t="s">
        <v>598</v>
      </c>
      <c r="L288" s="18"/>
      <c r="M288" s="18" t="s">
        <v>598</v>
      </c>
      <c r="N288" s="10">
        <v>20160</v>
      </c>
      <c r="O288" s="11">
        <v>14872</v>
      </c>
      <c r="P288" s="11">
        <v>12624</v>
      </c>
      <c r="Q288" s="11">
        <v>9171</v>
      </c>
      <c r="R288" s="12">
        <v>0.73769841269841296</v>
      </c>
      <c r="S288" s="12">
        <v>0.62619047619047596</v>
      </c>
      <c r="T288" s="12">
        <v>0.454910714285714</v>
      </c>
      <c r="U288" s="12">
        <v>0.111507936507937</v>
      </c>
      <c r="V288" s="12">
        <v>0.17127976190476199</v>
      </c>
      <c r="W288" s="12">
        <v>0.154117063492063</v>
      </c>
      <c r="X288" s="12">
        <v>0.300793650793651</v>
      </c>
      <c r="Y288" s="13">
        <v>133049</v>
      </c>
      <c r="Z288" s="13">
        <v>168383</v>
      </c>
      <c r="AA288" s="13">
        <v>1801774</v>
      </c>
      <c r="AB288" s="11">
        <v>60645</v>
      </c>
      <c r="AC288" s="11">
        <v>67387</v>
      </c>
      <c r="AD288" s="12">
        <v>0.11117157226482</v>
      </c>
      <c r="AE288" s="12">
        <v>0.58248520095544698</v>
      </c>
      <c r="AF288" s="12">
        <v>0.19934042377772301</v>
      </c>
      <c r="AG288" s="12">
        <v>0.125385439854893</v>
      </c>
      <c r="AH288" s="12">
        <v>0.105070492208756</v>
      </c>
      <c r="AI288" s="12">
        <v>0.20484788523373701</v>
      </c>
      <c r="AJ288" s="5">
        <v>32062</v>
      </c>
      <c r="AK288" s="5">
        <v>24672</v>
      </c>
      <c r="AL288" s="5">
        <v>21219</v>
      </c>
      <c r="AM288" s="108">
        <v>15936</v>
      </c>
      <c r="AN288" s="41">
        <v>0.76950907616493003</v>
      </c>
      <c r="AO288" s="8">
        <v>0.66181149023766495</v>
      </c>
      <c r="AP288" s="116">
        <v>0.49703699083026598</v>
      </c>
      <c r="AQ288" s="63">
        <v>0.107697585927266</v>
      </c>
      <c r="AR288" s="6">
        <v>0.164774499407398</v>
      </c>
      <c r="AS288" s="6">
        <v>0.15401409768573401</v>
      </c>
      <c r="AT288" s="6">
        <v>0.34302289314453199</v>
      </c>
      <c r="AU288" s="7">
        <v>148736</v>
      </c>
      <c r="AV288" s="7">
        <v>180543</v>
      </c>
      <c r="AW288" s="7">
        <v>2109334</v>
      </c>
      <c r="AX288" s="5">
        <v>94915</v>
      </c>
      <c r="AY288" s="5">
        <v>105581</v>
      </c>
      <c r="AZ288" s="6">
        <v>0.112374229573829</v>
      </c>
      <c r="BA288" s="6">
        <v>0.61953017804301502</v>
      </c>
      <c r="BB288" s="6">
        <v>0.161576147078965</v>
      </c>
      <c r="BC288" s="6">
        <v>0.14078912711373301</v>
      </c>
      <c r="BD288" s="6">
        <v>9.4157930780171706E-2</v>
      </c>
      <c r="BE288" s="6">
        <v>0.21231628299004399</v>
      </c>
      <c r="BF288" s="11">
        <v>53962</v>
      </c>
      <c r="BG288" s="11">
        <v>42574</v>
      </c>
      <c r="BH288" s="11">
        <v>36838</v>
      </c>
      <c r="BI288" s="11">
        <v>27822</v>
      </c>
      <c r="BJ288" s="12">
        <v>0.78896260331344303</v>
      </c>
      <c r="BK288" s="12">
        <v>0.68266557948185802</v>
      </c>
      <c r="BL288" s="12">
        <v>0.51558504132537697</v>
      </c>
      <c r="BM288" s="12">
        <v>0.106297023831585</v>
      </c>
      <c r="BN288" s="12">
        <v>0.16708053815648</v>
      </c>
      <c r="BO288" s="12">
        <v>0.15416404136244</v>
      </c>
      <c r="BP288" s="12">
        <v>0.36142099996293697</v>
      </c>
      <c r="BQ288" s="13">
        <v>153775</v>
      </c>
      <c r="BR288" s="115">
        <v>186568</v>
      </c>
      <c r="BS288" s="115">
        <v>2343145</v>
      </c>
      <c r="BT288" s="112">
        <v>157015</v>
      </c>
      <c r="BU288" s="111">
        <v>176588</v>
      </c>
      <c r="BV288" s="67">
        <v>0.124656879915932</v>
      </c>
      <c r="BW288" s="12">
        <v>0.63698826506905504</v>
      </c>
      <c r="BX288" s="12">
        <v>0.14706875139317899</v>
      </c>
      <c r="BY288" s="12">
        <v>0.15497882367926599</v>
      </c>
      <c r="BZ288" s="12">
        <v>8.8061650160812702E-2</v>
      </c>
      <c r="CA288" s="12">
        <v>0.22262841129828401</v>
      </c>
      <c r="CB288" s="86">
        <f t="shared" si="58"/>
        <v>10534457.815952132</v>
      </c>
      <c r="CC288" s="83">
        <v>7684985.0459521497</v>
      </c>
      <c r="CD288" s="83">
        <v>157694.45000000001</v>
      </c>
      <c r="CE288" s="83">
        <v>2202634.0499999798</v>
      </c>
      <c r="CF288" s="83">
        <v>489144.27000000101</v>
      </c>
      <c r="CG288" s="90">
        <f t="shared" si="59"/>
        <v>0.72950930937469993</v>
      </c>
      <c r="CH288" s="90">
        <f t="shared" si="56"/>
        <v>1.4969394035752486E-2</v>
      </c>
      <c r="CI288" s="90">
        <f t="shared" si="43"/>
        <v>0.20908850635526513</v>
      </c>
      <c r="CK288" s="86">
        <f t="shared" si="54"/>
        <v>10373478</v>
      </c>
      <c r="CL288" s="83">
        <v>7534287</v>
      </c>
      <c r="CM288" s="83">
        <v>163767</v>
      </c>
      <c r="CN288" s="83">
        <v>2163696</v>
      </c>
      <c r="CO288" s="83">
        <v>511728</v>
      </c>
      <c r="CP288" s="90">
        <f t="shared" si="55"/>
        <v>0.72630288510757912</v>
      </c>
      <c r="CQ288" s="90">
        <f t="shared" si="55"/>
        <v>1.5787087030984207E-2</v>
      </c>
      <c r="CR288" s="90">
        <f t="shared" si="52"/>
        <v>0.2085796104257415</v>
      </c>
    </row>
    <row r="289" spans="1:96" ht="37.5" thickTop="1" thickBot="1" x14ac:dyDescent="0.3">
      <c r="A289" s="3" t="s">
        <v>297</v>
      </c>
      <c r="B289" s="3">
        <v>1117</v>
      </c>
      <c r="C289" s="3" t="s">
        <v>183</v>
      </c>
      <c r="D289" s="16">
        <v>42838</v>
      </c>
      <c r="E289" s="16" t="s">
        <v>555</v>
      </c>
      <c r="F289" s="16" t="s">
        <v>451</v>
      </c>
      <c r="G289" s="17">
        <v>15469</v>
      </c>
      <c r="H289" s="17">
        <v>18320</v>
      </c>
      <c r="I289" s="17" t="s">
        <v>583</v>
      </c>
      <c r="J289" s="103"/>
      <c r="K289" s="103" t="s">
        <v>598</v>
      </c>
      <c r="L289" s="103" t="s">
        <v>519</v>
      </c>
      <c r="M289" s="103" t="s">
        <v>519</v>
      </c>
      <c r="N289" s="10">
        <v>51913</v>
      </c>
      <c r="O289" s="11">
        <v>39195</v>
      </c>
      <c r="P289" s="11">
        <v>35505</v>
      </c>
      <c r="Q289" s="11">
        <v>28474</v>
      </c>
      <c r="R289" s="12">
        <v>0.75501319515343002</v>
      </c>
      <c r="S289" s="12">
        <v>0.68393273361200502</v>
      </c>
      <c r="T289" s="12">
        <v>0.54849459672914302</v>
      </c>
      <c r="U289" s="12">
        <v>7.1080461541425097E-2</v>
      </c>
      <c r="V289" s="12">
        <v>0.13543813688286199</v>
      </c>
      <c r="W289" s="12">
        <v>0.12384181226282399</v>
      </c>
      <c r="X289" s="12">
        <v>0.42465278446631899</v>
      </c>
      <c r="Y289" s="13">
        <v>166451</v>
      </c>
      <c r="Z289" s="13">
        <v>215809</v>
      </c>
      <c r="AA289" s="13">
        <v>2143303</v>
      </c>
      <c r="AB289" s="11">
        <v>127672</v>
      </c>
      <c r="AC289" s="11">
        <v>134426</v>
      </c>
      <c r="AD289" s="12">
        <v>5.2901184284729598E-2</v>
      </c>
      <c r="AE289" s="12">
        <v>0.76171814968495499</v>
      </c>
      <c r="AF289" s="12">
        <v>0.15445829939219199</v>
      </c>
      <c r="AG289" s="12">
        <v>0.35924869979321999</v>
      </c>
      <c r="AH289" s="40">
        <v>2.2620464941412399E-2</v>
      </c>
      <c r="AI289" s="14">
        <v>0.24512030828999301</v>
      </c>
      <c r="AJ289" s="4">
        <v>113869</v>
      </c>
      <c r="AK289" s="5">
        <v>83411</v>
      </c>
      <c r="AL289" s="5">
        <v>75570</v>
      </c>
      <c r="AM289" s="5">
        <v>60645</v>
      </c>
      <c r="AN289" s="6">
        <v>0.73251719080697997</v>
      </c>
      <c r="AO289" s="6">
        <v>0.66365736065127501</v>
      </c>
      <c r="AP289" s="6">
        <v>0.53258569057425598</v>
      </c>
      <c r="AQ289" s="6">
        <v>6.8859830155705196E-2</v>
      </c>
      <c r="AR289" s="6">
        <v>0.131071670077018</v>
      </c>
      <c r="AS289" s="6">
        <v>0.12090208924290199</v>
      </c>
      <c r="AT289" s="6">
        <v>0.41168360133135401</v>
      </c>
      <c r="AU289" s="7">
        <v>160965</v>
      </c>
      <c r="AV289" s="7">
        <v>211307</v>
      </c>
      <c r="AW289" s="7">
        <v>2129200</v>
      </c>
      <c r="AX289" s="5">
        <v>297718</v>
      </c>
      <c r="AY289" s="5">
        <v>308950</v>
      </c>
      <c r="AZ289" s="6">
        <v>3.7726976534841701E-2</v>
      </c>
      <c r="BA289" s="6">
        <v>0.71382260331327196</v>
      </c>
      <c r="BB289" s="6">
        <v>0.18765408876856601</v>
      </c>
      <c r="BC289" s="6">
        <v>0.33335908477149501</v>
      </c>
      <c r="BD289" s="41">
        <v>3.3017822234463499E-2</v>
      </c>
      <c r="BE289" s="8">
        <v>0.22676156631443201</v>
      </c>
      <c r="BF289" s="10">
        <v>177971</v>
      </c>
      <c r="BG289" s="11">
        <v>131610</v>
      </c>
      <c r="BH289" s="11">
        <v>118711</v>
      </c>
      <c r="BI289" s="11">
        <v>94470</v>
      </c>
      <c r="BJ289" s="12">
        <v>0.73950250321681599</v>
      </c>
      <c r="BK289" s="12">
        <v>0.66702440285215003</v>
      </c>
      <c r="BL289" s="12">
        <v>0.53081681847042494</v>
      </c>
      <c r="BM289" s="12">
        <v>7.2478100364666107E-2</v>
      </c>
      <c r="BN289" s="12">
        <v>0.13620758438172501</v>
      </c>
      <c r="BO289" s="12">
        <v>0.122486247759466</v>
      </c>
      <c r="BP289" s="12">
        <v>0.40833057071095902</v>
      </c>
      <c r="BQ289" s="13">
        <v>160170</v>
      </c>
      <c r="BR289" s="13">
        <v>209510</v>
      </c>
      <c r="BS289" s="13">
        <v>2184547</v>
      </c>
      <c r="BT289" s="11">
        <v>474235</v>
      </c>
      <c r="BU289" s="11">
        <v>495325</v>
      </c>
      <c r="BV289" s="12">
        <v>4.4471622718694301E-2</v>
      </c>
      <c r="BW289" s="12">
        <v>0.70300427345194505</v>
      </c>
      <c r="BX289" s="12">
        <v>0.18062563918732299</v>
      </c>
      <c r="BY289" s="12">
        <v>0.36628464790662901</v>
      </c>
      <c r="BZ289" s="40">
        <v>2.8159035077545899E-2</v>
      </c>
      <c r="CA289" s="14">
        <v>0.22973209484749099</v>
      </c>
      <c r="CB289" s="86">
        <f t="shared" si="58"/>
        <v>13806721.585999595</v>
      </c>
      <c r="CC289" s="83">
        <v>5533958.5659998497</v>
      </c>
      <c r="CD289" s="83">
        <v>5885827.9899997404</v>
      </c>
      <c r="CE289" s="83">
        <v>1740817.39</v>
      </c>
      <c r="CF289" s="83">
        <v>646117.64000000397</v>
      </c>
      <c r="CG289" s="90">
        <f t="shared" si="59"/>
        <v>0.40081626413119242</v>
      </c>
      <c r="CH289" s="90">
        <f t="shared" si="56"/>
        <v>0.42630163528234943</v>
      </c>
      <c r="CI289" s="90">
        <f t="shared" si="43"/>
        <v>0.12608477538688387</v>
      </c>
      <c r="CK289" s="86">
        <f t="shared" si="54"/>
        <v>13824787</v>
      </c>
      <c r="CL289" s="83">
        <v>5449898</v>
      </c>
      <c r="CM289" s="83">
        <v>5931953</v>
      </c>
      <c r="CN289" s="83">
        <v>1778722</v>
      </c>
      <c r="CO289" s="83">
        <v>664214</v>
      </c>
      <c r="CP289" s="90">
        <f t="shared" si="55"/>
        <v>0.3942120771914967</v>
      </c>
      <c r="CQ289" s="90">
        <f t="shared" si="55"/>
        <v>0.42908096884241326</v>
      </c>
      <c r="CR289" s="90">
        <f t="shared" si="52"/>
        <v>0.12866180144402947</v>
      </c>
    </row>
    <row r="290" spans="1:96" ht="37.5" thickTop="1" thickBot="1" x14ac:dyDescent="0.3">
      <c r="A290" s="3" t="s">
        <v>297</v>
      </c>
      <c r="B290" s="3">
        <v>1121</v>
      </c>
      <c r="C290" s="3" t="s">
        <v>187</v>
      </c>
      <c r="D290" s="16">
        <v>43034</v>
      </c>
      <c r="E290" s="16" t="s">
        <v>555</v>
      </c>
      <c r="F290" s="16" t="s">
        <v>455</v>
      </c>
      <c r="G290" s="17">
        <v>23909</v>
      </c>
      <c r="H290" s="17">
        <v>28530</v>
      </c>
      <c r="I290" s="17" t="s">
        <v>585</v>
      </c>
      <c r="J290" s="18"/>
      <c r="K290" s="103" t="s">
        <v>598</v>
      </c>
      <c r="L290" s="103" t="s">
        <v>519</v>
      </c>
      <c r="M290" s="103" t="s">
        <v>598</v>
      </c>
      <c r="N290" s="10">
        <v>37406</v>
      </c>
      <c r="O290" s="11">
        <v>31222</v>
      </c>
      <c r="P290" s="11">
        <v>28006</v>
      </c>
      <c r="Q290" s="11">
        <v>21345</v>
      </c>
      <c r="R290" s="12">
        <v>0.83467892851414205</v>
      </c>
      <c r="S290" s="12">
        <v>0.74870341656418804</v>
      </c>
      <c r="T290" s="12">
        <v>0.570630380152917</v>
      </c>
      <c r="U290" s="12">
        <v>8.5975511949954606E-2</v>
      </c>
      <c r="V290" s="12">
        <v>0.17807303641127101</v>
      </c>
      <c r="W290" s="12">
        <v>0.17285996898893199</v>
      </c>
      <c r="X290" s="12">
        <v>0.39777041116398398</v>
      </c>
      <c r="Y290" s="13">
        <v>166659</v>
      </c>
      <c r="Z290" s="13">
        <v>197014</v>
      </c>
      <c r="AA290" s="13">
        <v>2263315</v>
      </c>
      <c r="AB290" s="11">
        <v>110493</v>
      </c>
      <c r="AC290" s="11">
        <v>118509</v>
      </c>
      <c r="AD290" s="12">
        <v>7.2547582199777402E-2</v>
      </c>
      <c r="AE290" s="12">
        <v>0.64112206660111104</v>
      </c>
      <c r="AF290" s="12">
        <v>0.122243038020508</v>
      </c>
      <c r="AG290" s="12">
        <v>0.35751586073325903</v>
      </c>
      <c r="AH290" s="40">
        <v>4.3541219805779602E-2</v>
      </c>
      <c r="AI290" s="14">
        <v>0.240766383390803</v>
      </c>
      <c r="AJ290" s="4">
        <v>65961</v>
      </c>
      <c r="AK290" s="5">
        <v>54483</v>
      </c>
      <c r="AL290" s="5">
        <v>48949</v>
      </c>
      <c r="AM290" s="5">
        <v>37351</v>
      </c>
      <c r="AN290" s="6">
        <v>0.82598808386774003</v>
      </c>
      <c r="AO290" s="6">
        <v>0.74209002289231496</v>
      </c>
      <c r="AP290" s="6">
        <v>0.56625884992647202</v>
      </c>
      <c r="AQ290" s="6">
        <v>8.3898060975424904E-2</v>
      </c>
      <c r="AR290" s="6">
        <v>0.175831172965843</v>
      </c>
      <c r="AS290" s="6">
        <v>0.17072209335819699</v>
      </c>
      <c r="AT290" s="6">
        <v>0.39553675656827503</v>
      </c>
      <c r="AU290" s="7">
        <v>165740</v>
      </c>
      <c r="AV290" s="7">
        <v>197081</v>
      </c>
      <c r="AW290" s="7">
        <v>2343649</v>
      </c>
      <c r="AX290" s="5">
        <v>194457</v>
      </c>
      <c r="AY290" s="5">
        <v>206296</v>
      </c>
      <c r="AZ290" s="6">
        <v>6.0882354453683799E-2</v>
      </c>
      <c r="BA290" s="6">
        <v>0.63911789575406197</v>
      </c>
      <c r="BB290" s="6">
        <v>0.12558560504378899</v>
      </c>
      <c r="BC290" s="6">
        <v>0.34943457936716099</v>
      </c>
      <c r="BD290" s="41">
        <v>3.4053801097414897E-2</v>
      </c>
      <c r="BE290" s="8">
        <v>0.24264490350051701</v>
      </c>
      <c r="BF290" s="10">
        <v>97790</v>
      </c>
      <c r="BG290" s="11">
        <v>78885</v>
      </c>
      <c r="BH290" s="11">
        <v>70554</v>
      </c>
      <c r="BI290" s="11">
        <v>53777</v>
      </c>
      <c r="BJ290" s="12">
        <v>0.80667757439411003</v>
      </c>
      <c r="BK290" s="12">
        <v>0.7214848143982</v>
      </c>
      <c r="BL290" s="12">
        <v>0.54992330504141496</v>
      </c>
      <c r="BM290" s="12">
        <v>8.5192759995909598E-2</v>
      </c>
      <c r="BN290" s="12">
        <v>0.17156150935678499</v>
      </c>
      <c r="BO290" s="12">
        <v>0.16411698537682801</v>
      </c>
      <c r="BP290" s="12">
        <v>0.38580631966458701</v>
      </c>
      <c r="BQ290" s="13">
        <v>162045</v>
      </c>
      <c r="BR290" s="13">
        <v>193698</v>
      </c>
      <c r="BS290" s="13">
        <v>2324075</v>
      </c>
      <c r="BT290" s="11">
        <v>283784</v>
      </c>
      <c r="BU290" s="11">
        <v>299004</v>
      </c>
      <c r="BV290" s="12">
        <v>5.3632340089645597E-2</v>
      </c>
      <c r="BW290" s="12">
        <v>0.62885857860732197</v>
      </c>
      <c r="BX290" s="12">
        <v>0.13725580018605699</v>
      </c>
      <c r="BY290" s="12">
        <v>0.32541299016153102</v>
      </c>
      <c r="BZ290" s="40">
        <v>3.0484452964226302E-2</v>
      </c>
      <c r="CA290" s="14">
        <v>0.24642333605841099</v>
      </c>
      <c r="CB290" s="86">
        <f t="shared" si="58"/>
        <v>18662219.036666062</v>
      </c>
      <c r="CC290" s="83">
        <v>6328298.8466664897</v>
      </c>
      <c r="CD290" s="83">
        <v>9274241.7499995697</v>
      </c>
      <c r="CE290" s="83">
        <v>2079417.8999999899</v>
      </c>
      <c r="CF290" s="83">
        <v>980260.54000001098</v>
      </c>
      <c r="CG290" s="90">
        <f t="shared" si="59"/>
        <v>0.33909680484583027</v>
      </c>
      <c r="CH290" s="90">
        <f t="shared" si="56"/>
        <v>0.49695278636362955</v>
      </c>
      <c r="CI290" s="90">
        <f t="shared" si="43"/>
        <v>0.1114239360236054</v>
      </c>
      <c r="CK290" s="86">
        <f t="shared" si="54"/>
        <v>18546154</v>
      </c>
      <c r="CL290" s="83">
        <v>6105198</v>
      </c>
      <c r="CM290" s="83">
        <v>9478848</v>
      </c>
      <c r="CN290" s="83">
        <v>2026337</v>
      </c>
      <c r="CO290" s="83">
        <v>935771</v>
      </c>
      <c r="CP290" s="90">
        <f t="shared" si="55"/>
        <v>0.32918943733563305</v>
      </c>
      <c r="CQ290" s="90">
        <f t="shared" si="55"/>
        <v>0.51109507663960951</v>
      </c>
      <c r="CR290" s="90">
        <f t="shared" si="52"/>
        <v>0.10925914882406347</v>
      </c>
    </row>
    <row r="291" spans="1:96" ht="37.5" thickTop="1" thickBot="1" x14ac:dyDescent="0.3">
      <c r="A291" s="3" t="s">
        <v>297</v>
      </c>
      <c r="B291" s="3">
        <v>1124</v>
      </c>
      <c r="C291" s="3" t="s">
        <v>190</v>
      </c>
      <c r="D291" s="16">
        <v>42978</v>
      </c>
      <c r="E291" s="16" t="s">
        <v>555</v>
      </c>
      <c r="F291" s="16" t="s">
        <v>458</v>
      </c>
      <c r="G291" s="17">
        <v>12628</v>
      </c>
      <c r="H291" s="17">
        <v>14942</v>
      </c>
      <c r="I291" s="17" t="s">
        <v>583</v>
      </c>
      <c r="J291" s="103"/>
      <c r="K291" s="103" t="s">
        <v>598</v>
      </c>
      <c r="L291" s="103" t="s">
        <v>519</v>
      </c>
      <c r="M291" s="103" t="s">
        <v>519</v>
      </c>
      <c r="N291" s="10">
        <v>26298</v>
      </c>
      <c r="O291" s="11">
        <v>22100</v>
      </c>
      <c r="P291" s="11">
        <v>20132</v>
      </c>
      <c r="Q291" s="11">
        <v>15655</v>
      </c>
      <c r="R291" s="12">
        <v>0.84036808882804803</v>
      </c>
      <c r="S291" s="12">
        <v>0.76553350064643699</v>
      </c>
      <c r="T291" s="12">
        <v>0.59529241767434804</v>
      </c>
      <c r="U291" s="12">
        <v>7.4834588181610803E-2</v>
      </c>
      <c r="V291" s="12">
        <v>0.17024108297208901</v>
      </c>
      <c r="W291" s="12">
        <v>0.16822572058711699</v>
      </c>
      <c r="X291" s="12">
        <v>0.427066697087231</v>
      </c>
      <c r="Y291" s="13">
        <v>174462</v>
      </c>
      <c r="Z291" s="13">
        <v>212461</v>
      </c>
      <c r="AA291" s="13">
        <v>3119027</v>
      </c>
      <c r="AB291" s="11">
        <v>70647</v>
      </c>
      <c r="AC291" s="11">
        <v>72843</v>
      </c>
      <c r="AD291" s="12">
        <v>3.10841224680454E-2</v>
      </c>
      <c r="AE291" s="12">
        <v>0.71688249014718897</v>
      </c>
      <c r="AF291" s="12">
        <v>9.4356448256826195E-2</v>
      </c>
      <c r="AG291" s="12">
        <v>0.27899273854516099</v>
      </c>
      <c r="AH291" s="40">
        <v>2.16569705719988E-2</v>
      </c>
      <c r="AI291" s="14">
        <v>0.28561722366130199</v>
      </c>
      <c r="AJ291" s="4">
        <v>54828</v>
      </c>
      <c r="AK291" s="5">
        <v>46375</v>
      </c>
      <c r="AL291" s="5">
        <v>42385</v>
      </c>
      <c r="AM291" s="5">
        <v>33445</v>
      </c>
      <c r="AN291" s="6">
        <v>0.84582694973371297</v>
      </c>
      <c r="AO291" s="6">
        <v>0.77305391405850998</v>
      </c>
      <c r="AP291" s="6">
        <v>0.60999854089151495</v>
      </c>
      <c r="AQ291" s="6">
        <v>7.2773035675202394E-2</v>
      </c>
      <c r="AR291" s="6">
        <v>0.163055373166995</v>
      </c>
      <c r="AS291" s="6">
        <v>0.15355292916028301</v>
      </c>
      <c r="AT291" s="6">
        <v>0.45644561173123199</v>
      </c>
      <c r="AU291" s="7">
        <v>182711</v>
      </c>
      <c r="AV291" s="7">
        <v>220959</v>
      </c>
      <c r="AW291" s="7">
        <v>3037929</v>
      </c>
      <c r="AX291" s="5">
        <v>155688</v>
      </c>
      <c r="AY291" s="5">
        <v>161805</v>
      </c>
      <c r="AZ291" s="6">
        <v>3.9290118698936297E-2</v>
      </c>
      <c r="BA291" s="6">
        <v>0.70696335761256301</v>
      </c>
      <c r="BB291" s="6">
        <v>9.1259441960844803E-2</v>
      </c>
      <c r="BC291" s="6">
        <v>0.32913262422280498</v>
      </c>
      <c r="BD291" s="41">
        <v>2.2146857818200499E-2</v>
      </c>
      <c r="BE291" s="8">
        <v>0.26722676121473699</v>
      </c>
      <c r="BF291" s="10">
        <v>76622</v>
      </c>
      <c r="BG291" s="11">
        <v>64894</v>
      </c>
      <c r="BH291" s="11">
        <v>59063</v>
      </c>
      <c r="BI291" s="11">
        <v>46320</v>
      </c>
      <c r="BJ291" s="12">
        <v>0.84693691106992797</v>
      </c>
      <c r="BK291" s="12">
        <v>0.77083605230873598</v>
      </c>
      <c r="BL291" s="12">
        <v>0.60452611521495103</v>
      </c>
      <c r="BM291" s="12">
        <v>7.6100858761191298E-2</v>
      </c>
      <c r="BN291" s="12">
        <v>0.166309937093785</v>
      </c>
      <c r="BO291" s="12">
        <v>0.15575161180861899</v>
      </c>
      <c r="BP291" s="12">
        <v>0.44877450340633201</v>
      </c>
      <c r="BQ291" s="13">
        <v>180176</v>
      </c>
      <c r="BR291" s="13">
        <v>220646</v>
      </c>
      <c r="BS291" s="13">
        <v>3041079</v>
      </c>
      <c r="BT291" s="11">
        <v>221871</v>
      </c>
      <c r="BU291" s="11">
        <v>231696</v>
      </c>
      <c r="BV291" s="12">
        <v>4.4282488473031602E-2</v>
      </c>
      <c r="BW291" s="12">
        <v>0.67890074831078895</v>
      </c>
      <c r="BX291" s="12">
        <v>0.103213128349356</v>
      </c>
      <c r="BY291" s="12">
        <v>0.32034831050475299</v>
      </c>
      <c r="BZ291" s="40">
        <v>3.3149893406528998E-2</v>
      </c>
      <c r="CA291" s="14">
        <v>0.26705157501430998</v>
      </c>
      <c r="CB291" s="86">
        <f t="shared" si="58"/>
        <v>14233600.123332974</v>
      </c>
      <c r="CC291" s="83">
        <v>5819106.6233331999</v>
      </c>
      <c r="CD291" s="83">
        <v>5970153.8999997703</v>
      </c>
      <c r="CE291" s="83">
        <v>1746785.18</v>
      </c>
      <c r="CF291" s="83">
        <v>697554.420000004</v>
      </c>
      <c r="CG291" s="90">
        <f t="shared" si="59"/>
        <v>0.40882886781356226</v>
      </c>
      <c r="CH291" s="90">
        <f t="shared" si="56"/>
        <v>0.4194408897446098</v>
      </c>
      <c r="CI291" s="90">
        <f t="shared" si="56"/>
        <v>0.12272265378149239</v>
      </c>
      <c r="CK291" s="86">
        <f t="shared" si="54"/>
        <v>14148196</v>
      </c>
      <c r="CL291" s="83">
        <v>5652327</v>
      </c>
      <c r="CM291" s="83">
        <v>6028610</v>
      </c>
      <c r="CN291" s="83">
        <v>1772634</v>
      </c>
      <c r="CO291" s="83">
        <v>694625</v>
      </c>
      <c r="CP291" s="90">
        <f t="shared" si="55"/>
        <v>0.39950867234239618</v>
      </c>
      <c r="CQ291" s="90">
        <f t="shared" si="55"/>
        <v>0.42610450123817906</v>
      </c>
      <c r="CR291" s="90">
        <f t="shared" si="52"/>
        <v>0.12529046105948771</v>
      </c>
    </row>
    <row r="292" spans="1:96" ht="37.5" thickTop="1" thickBot="1" x14ac:dyDescent="0.3">
      <c r="A292" s="3" t="s">
        <v>304</v>
      </c>
      <c r="B292" s="3"/>
      <c r="C292" s="3" t="s">
        <v>749</v>
      </c>
      <c r="D292" s="16" t="s">
        <v>750</v>
      </c>
      <c r="E292" s="16" t="s">
        <v>569</v>
      </c>
      <c r="F292" s="16" t="s">
        <v>751</v>
      </c>
      <c r="G292" s="17"/>
      <c r="H292" s="17">
        <v>30050</v>
      </c>
      <c r="N292" s="10">
        <v>31352</v>
      </c>
      <c r="O292" s="11">
        <v>9549</v>
      </c>
      <c r="P292" s="11">
        <v>6104</v>
      </c>
      <c r="Q292" s="11">
        <v>2303</v>
      </c>
      <c r="R292" s="12">
        <v>0.30283521501966298</v>
      </c>
      <c r="S292" s="12">
        <v>0.193581123937587</v>
      </c>
      <c r="T292" s="12">
        <v>7.3036914880121803E-2</v>
      </c>
      <c r="U292" s="12">
        <v>0.109254091082075</v>
      </c>
      <c r="V292" s="12">
        <v>0.120544209057465</v>
      </c>
      <c r="W292" s="12">
        <v>4.0149689204617499E-2</v>
      </c>
      <c r="X292" s="12">
        <v>3.28872256755042E-2</v>
      </c>
      <c r="Y292" s="13">
        <v>48388</v>
      </c>
      <c r="Z292" s="13">
        <v>70163</v>
      </c>
      <c r="AA292" s="13">
        <v>450021</v>
      </c>
      <c r="AB292" s="11">
        <v>66405</v>
      </c>
      <c r="AC292" s="11">
        <v>66735</v>
      </c>
      <c r="AD292" s="12">
        <v>4.9695053083352201E-3</v>
      </c>
      <c r="AE292" s="12">
        <v>0.40799999999999997</v>
      </c>
      <c r="AF292" s="12">
        <v>5.26918153753482E-2</v>
      </c>
      <c r="AG292" s="12">
        <v>3.2979444318951903E-2</v>
      </c>
      <c r="AH292" s="12">
        <v>2.8461712220465299E-2</v>
      </c>
      <c r="AI292" s="14">
        <v>0.23799999999999999</v>
      </c>
      <c r="AJ292" s="4">
        <v>68440</v>
      </c>
      <c r="AK292" s="5">
        <v>19124</v>
      </c>
      <c r="AL292" s="5">
        <v>12584</v>
      </c>
      <c r="AM292" s="5">
        <v>5029</v>
      </c>
      <c r="AN292" s="6">
        <v>0.279427235534775</v>
      </c>
      <c r="AO292" s="6">
        <v>0.183869082407949</v>
      </c>
      <c r="AP292" s="6">
        <v>7.3480420806545904E-2</v>
      </c>
      <c r="AQ292" s="6">
        <v>9.5558153126826403E-2</v>
      </c>
      <c r="AR292" s="6">
        <v>0.110388661601403</v>
      </c>
      <c r="AS292" s="6">
        <v>3.9903565166569302E-2</v>
      </c>
      <c r="AT292" s="6">
        <v>3.3576855639976602E-2</v>
      </c>
      <c r="AU292" s="7">
        <v>44170</v>
      </c>
      <c r="AV292" s="7">
        <v>67092</v>
      </c>
      <c r="AW292" s="7">
        <v>459096</v>
      </c>
      <c r="AX292" s="5">
        <v>152188</v>
      </c>
      <c r="AY292" s="5">
        <v>154097</v>
      </c>
      <c r="AZ292" s="6">
        <v>1.2543695955003001E-2</v>
      </c>
      <c r="BA292" s="6">
        <v>0.38900000000000001</v>
      </c>
      <c r="BB292" s="6">
        <v>5.4104134360133498E-2</v>
      </c>
      <c r="BC292" s="6">
        <v>3.0817147212657998E-2</v>
      </c>
      <c r="BD292" s="6">
        <v>3.9530054932057697E-2</v>
      </c>
      <c r="BE292" s="8">
        <v>0.221</v>
      </c>
      <c r="BF292" s="70">
        <v>104891</v>
      </c>
      <c r="BG292" s="147">
        <v>30578</v>
      </c>
      <c r="BH292" s="147">
        <v>19527</v>
      </c>
      <c r="BI292" s="147">
        <v>7629</v>
      </c>
      <c r="BJ292" s="148">
        <v>0.29152167488154401</v>
      </c>
      <c r="BK292" s="148">
        <v>0.18616468524468299</v>
      </c>
      <c r="BL292" s="148">
        <v>7.2732646270890697E-2</v>
      </c>
      <c r="BM292" s="148">
        <v>0.10535698963686101</v>
      </c>
      <c r="BN292" s="148">
        <v>0.113432038973792</v>
      </c>
      <c r="BO292" s="148">
        <v>4.1128409491758097E-2</v>
      </c>
      <c r="BP292" s="148">
        <v>3.16042367791326E-2</v>
      </c>
      <c r="BQ292" s="149">
        <v>46106</v>
      </c>
      <c r="BR292" s="149">
        <v>67741</v>
      </c>
      <c r="BS292" s="149">
        <v>437336</v>
      </c>
      <c r="BT292" s="147">
        <v>242275</v>
      </c>
      <c r="BU292" s="147">
        <v>246912</v>
      </c>
      <c r="BV292" s="148">
        <v>1.9139407697864E-2</v>
      </c>
      <c r="BW292" s="72">
        <v>0.35872237367345</v>
      </c>
      <c r="BX292" s="148">
        <v>5.2968733876792899E-2</v>
      </c>
      <c r="BY292" s="148">
        <v>2.5083066762975999E-2</v>
      </c>
      <c r="BZ292" s="150">
        <v>3.9558353111134002E-2</v>
      </c>
      <c r="CA292" s="74">
        <v>0.22419977298524399</v>
      </c>
      <c r="CB292" s="151">
        <v>14350000</v>
      </c>
      <c r="CC292" s="151">
        <f>CB292*28.2%</f>
        <v>4046699.9999999995</v>
      </c>
      <c r="CD292" s="151">
        <f>CB292*51.1%</f>
        <v>7332850</v>
      </c>
      <c r="CE292" s="151"/>
      <c r="CF292" s="151"/>
      <c r="CG292" s="152">
        <f t="shared" si="59"/>
        <v>0.28199999999999997</v>
      </c>
      <c r="CH292" s="152">
        <f t="shared" si="56"/>
        <v>0.51100000000000001</v>
      </c>
      <c r="CK292" s="86" t="str">
        <f t="shared" si="54"/>
        <v/>
      </c>
      <c r="CL292" s="83" t="s">
        <v>598</v>
      </c>
      <c r="CM292" s="83" t="s">
        <v>598</v>
      </c>
      <c r="CN292" s="83" t="s">
        <v>598</v>
      </c>
      <c r="CO292" s="83" t="s">
        <v>598</v>
      </c>
      <c r="CP292" s="90" t="str">
        <f t="shared" si="55"/>
        <v/>
      </c>
      <c r="CQ292" s="90" t="str">
        <f t="shared" si="55"/>
        <v/>
      </c>
      <c r="CR292" s="90" t="str">
        <f t="shared" si="52"/>
        <v/>
      </c>
    </row>
    <row r="293" spans="1:96" ht="37.5" thickTop="1" thickBot="1" x14ac:dyDescent="0.3">
      <c r="A293" s="3" t="s">
        <v>301</v>
      </c>
      <c r="B293" s="3"/>
      <c r="C293" s="3" t="s">
        <v>752</v>
      </c>
      <c r="D293" s="16" t="s">
        <v>750</v>
      </c>
      <c r="E293" s="16" t="s">
        <v>564</v>
      </c>
      <c r="F293" s="16" t="s">
        <v>753</v>
      </c>
      <c r="G293" s="17"/>
      <c r="H293" s="17">
        <v>25000</v>
      </c>
      <c r="N293" s="10">
        <v>16918</v>
      </c>
      <c r="O293" s="11">
        <v>10697</v>
      </c>
      <c r="P293" s="11">
        <v>8479</v>
      </c>
      <c r="Q293" s="11">
        <v>4612</v>
      </c>
      <c r="R293" s="12">
        <v>0.63228514008748105</v>
      </c>
      <c r="S293" s="12">
        <v>0.50118217283366795</v>
      </c>
      <c r="T293" s="12">
        <v>0.27260905544390601</v>
      </c>
      <c r="U293" s="12">
        <v>0.13110296725381301</v>
      </c>
      <c r="V293" s="12">
        <v>0.22857311738976199</v>
      </c>
      <c r="W293" s="12">
        <v>0.12607873271072201</v>
      </c>
      <c r="X293" s="12">
        <v>0.146530322733184</v>
      </c>
      <c r="Y293" s="13">
        <v>100161</v>
      </c>
      <c r="Z293" s="13">
        <v>127809</v>
      </c>
      <c r="AA293" s="13">
        <v>1602205</v>
      </c>
      <c r="AB293" s="11">
        <v>45917</v>
      </c>
      <c r="AC293" s="11">
        <v>46332</v>
      </c>
      <c r="AD293" s="12">
        <v>9.03804691073023E-3</v>
      </c>
      <c r="AE293" s="12">
        <v>0.40300000000000002</v>
      </c>
      <c r="AF293" s="12">
        <v>0.223294204760764</v>
      </c>
      <c r="AG293" s="12">
        <v>7.0605658035150398E-2</v>
      </c>
      <c r="AH293" s="12">
        <v>5.88017509854738E-2</v>
      </c>
      <c r="AI293" s="14">
        <v>0.26400000000000001</v>
      </c>
      <c r="AJ293" s="4">
        <v>43807</v>
      </c>
      <c r="AK293" s="5">
        <v>25550</v>
      </c>
      <c r="AL293" s="5">
        <v>20256</v>
      </c>
      <c r="AM293" s="5">
        <v>11547</v>
      </c>
      <c r="AN293" s="6">
        <v>0.58324012144177895</v>
      </c>
      <c r="AO293" s="6">
        <v>0.462391855182962</v>
      </c>
      <c r="AP293" s="6">
        <v>0.26358801104846302</v>
      </c>
      <c r="AQ293" s="6">
        <v>0.12084826625881701</v>
      </c>
      <c r="AR293" s="6">
        <v>0.198803844134499</v>
      </c>
      <c r="AS293" s="6">
        <v>0.11272171114205499</v>
      </c>
      <c r="AT293" s="6">
        <v>0.15086629990640801</v>
      </c>
      <c r="AU293" s="7">
        <v>90763</v>
      </c>
      <c r="AV293" s="7">
        <v>124786</v>
      </c>
      <c r="AW293" s="7">
        <v>1522420</v>
      </c>
      <c r="AX293" s="5">
        <v>120197</v>
      </c>
      <c r="AY293" s="5">
        <v>121556</v>
      </c>
      <c r="AZ293" s="6">
        <v>1.13064385966372E-2</v>
      </c>
      <c r="BA293" s="6">
        <v>0.39700000000000002</v>
      </c>
      <c r="BB293" s="6">
        <v>0.26776874630814401</v>
      </c>
      <c r="BC293" s="6">
        <v>5.7680308160769397E-2</v>
      </c>
      <c r="BD293" s="6">
        <v>5.4003011722422403E-2</v>
      </c>
      <c r="BE293" s="8">
        <v>0.25059999999999999</v>
      </c>
      <c r="BF293" s="70">
        <v>57413</v>
      </c>
      <c r="BG293" s="147">
        <v>35484</v>
      </c>
      <c r="BH293" s="147">
        <v>28712</v>
      </c>
      <c r="BI293" s="147">
        <v>17282</v>
      </c>
      <c r="BJ293" s="148">
        <v>0.61804817724208805</v>
      </c>
      <c r="BK293" s="148">
        <v>0.500095797119119</v>
      </c>
      <c r="BL293" s="148">
        <v>0.301011965931061</v>
      </c>
      <c r="BM293" s="148">
        <v>0.11795238012296901</v>
      </c>
      <c r="BN293" s="148">
        <v>0.199083831188058</v>
      </c>
      <c r="BO293" s="148">
        <v>0.121052723250832</v>
      </c>
      <c r="BP293" s="148">
        <v>0.179959242680229</v>
      </c>
      <c r="BQ293" s="149">
        <v>100015</v>
      </c>
      <c r="BR293" s="149">
        <v>135739</v>
      </c>
      <c r="BS293" s="149">
        <v>1843953</v>
      </c>
      <c r="BT293" s="147">
        <v>155709</v>
      </c>
      <c r="BU293" s="147">
        <v>157149</v>
      </c>
      <c r="BV293" s="148">
        <v>9.2480203456447602E-3</v>
      </c>
      <c r="BW293" s="72">
        <v>0.432</v>
      </c>
      <c r="BX293" s="148">
        <v>0.23100000000000001</v>
      </c>
      <c r="BY293" s="148">
        <v>5.3999999999999999E-2</v>
      </c>
      <c r="BZ293" s="150">
        <v>4.9000000000000002E-2</v>
      </c>
      <c r="CA293" s="74">
        <v>0.26900000000000002</v>
      </c>
      <c r="CB293" s="151">
        <v>19000000</v>
      </c>
      <c r="CC293" s="151">
        <f>CB293*CG293</f>
        <v>7600000</v>
      </c>
      <c r="CD293" s="151">
        <f>CB293*CH293</f>
        <v>6840000</v>
      </c>
      <c r="CE293" s="151"/>
      <c r="CF293" s="151"/>
      <c r="CG293" s="152">
        <v>0.4</v>
      </c>
      <c r="CH293" s="152">
        <v>0.36</v>
      </c>
      <c r="CK293" s="86" t="str">
        <f t="shared" si="54"/>
        <v/>
      </c>
      <c r="CL293" s="83" t="s">
        <v>598</v>
      </c>
      <c r="CM293" s="83"/>
      <c r="CN293" s="83" t="s">
        <v>598</v>
      </c>
      <c r="CO293" s="83" t="s">
        <v>598</v>
      </c>
      <c r="CP293" s="90" t="str">
        <f t="shared" si="55"/>
        <v/>
      </c>
      <c r="CQ293" s="90" t="str">
        <f t="shared" si="55"/>
        <v/>
      </c>
      <c r="CR293" s="90" t="str">
        <f t="shared" si="52"/>
        <v/>
      </c>
    </row>
    <row r="294" spans="1:96" ht="15.75" thickTop="1" x14ac:dyDescent="0.25"/>
  </sheetData>
  <autoFilter ref="A2:CI293" xr:uid="{4B9C50AB-C59D-452C-AE2B-66D2C63029A7}"/>
  <mergeCells count="5">
    <mergeCell ref="N1:AI1"/>
    <mergeCell ref="AJ1:BE1"/>
    <mergeCell ref="BF1:CA1"/>
    <mergeCell ref="CB1:CF1"/>
    <mergeCell ref="CK1:C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R52 pre 5.22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 Samuel</dc:creator>
  <cp:lastModifiedBy>Lacey Caesar</cp:lastModifiedBy>
  <dcterms:created xsi:type="dcterms:W3CDTF">2022-08-25T13:51:47Z</dcterms:created>
  <dcterms:modified xsi:type="dcterms:W3CDTF">2024-09-23T14:28:37Z</dcterms:modified>
</cp:coreProperties>
</file>